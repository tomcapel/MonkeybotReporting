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ca01\OneDrive - Sky Betting and Gaming\New Folder June 2021\Interview Sheets\Monkeybot Report Template\"/>
    </mc:Choice>
  </mc:AlternateContent>
  <xr:revisionPtr revIDLastSave="0" documentId="8_{B42E14B0-E0AE-4A15-AF53-EBDB2B0F9B9F}" xr6:coauthVersionLast="46" xr6:coauthVersionMax="46" xr10:uidLastSave="{00000000-0000-0000-0000-000000000000}"/>
  <bookViews>
    <workbookView xWindow="-120" yWindow="-120" windowWidth="29040" windowHeight="15840" tabRatio="821" xr2:uid="{00000000-000D-0000-FFFF-FFFF00000000}"/>
  </bookViews>
  <sheets>
    <sheet name="Import" sheetId="9" r:id="rId1"/>
    <sheet name="RawData" sheetId="1" state="hidden" r:id="rId2"/>
    <sheet name="Formatted Data" sheetId="2" state="hidden" r:id="rId3"/>
    <sheet name="Headline Data" sheetId="3" state="hidden" r:id="rId4"/>
    <sheet name="Week Overview" sheetId="4" state="hidden" r:id="rId5"/>
    <sheet name="Summary" sheetId="11" state="hidden" r:id="rId6"/>
    <sheet name="Lists" sheetId="10" state="hidden" r:id="rId7"/>
  </sheets>
  <functionGroups builtInGroupCount="19"/>
  <definedNames>
    <definedName name="_xlnm._FilterDatabase" localSheetId="2" hidden="1">'Formatted Data'!$A$1:$L$606</definedName>
    <definedName name="_xlnm._FilterDatabase" localSheetId="1" hidden="1">RawData!$A$1:$KK$2857</definedName>
    <definedName name="avgResp">Lists!$C$23</definedName>
    <definedName name="avgTime" localSheetId="5">Summary!$B$15</definedName>
    <definedName name="avgTime">#REF!</definedName>
    <definedName name="componentCount">Lists!$I$4</definedName>
    <definedName name="dayCount">Lists!$AB$3</definedName>
    <definedName name="earliestDate">Lists!$C$25</definedName>
    <definedName name="fileCount">Import!$P$3</definedName>
    <definedName name="FileList">FILES(Import!$G$2)</definedName>
    <definedName name="FileName">Import!$G$5</definedName>
    <definedName name="latestDate">Lists!$C$26</definedName>
    <definedName name="LatestFileName">Import!$G$4</definedName>
    <definedName name="LatestSheetName">Import!$G$3</definedName>
    <definedName name="listofFiles">Import!$L$3:$L$97</definedName>
    <definedName name="RequestsReceived">Summary!$B$3</definedName>
    <definedName name="requestsRejected" localSheetId="5">Summary!$B$7</definedName>
    <definedName name="requestsRejected">#REF!</definedName>
    <definedName name="totalTime" localSheetId="5">Summary!$B$11</definedName>
    <definedName name="totalTime">#REF!</definedName>
    <definedName name="totHrs">Lists!$C$22</definedName>
    <definedName name="totReq" localSheetId="5">Lists!$C$24</definedName>
    <definedName name="totReq">Lists!$C$24</definedName>
    <definedName name="totTime">'Headline Data'!#REF!</definedName>
    <definedName name="TraderCount">Lists!$F$4</definedName>
    <definedName name="TraderNames">Lists!$C$4:$C$19</definedName>
    <definedName name="TraderUsernames">Lists!$B$4:$B$19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1" i="11" l="1"/>
  <c r="Q3" i="11"/>
  <c r="Q5" i="11"/>
  <c r="Q7" i="11"/>
  <c r="G3" i="9"/>
  <c r="G4" i="9"/>
  <c r="G5" i="9"/>
  <c r="H5" i="9"/>
  <c r="L4" i="9"/>
  <c r="L8" i="9"/>
  <c r="L12" i="9"/>
  <c r="L16" i="9"/>
  <c r="L20" i="9"/>
  <c r="L24" i="9"/>
  <c r="L28" i="9"/>
  <c r="L32" i="9"/>
  <c r="L36" i="9"/>
  <c r="L40" i="9"/>
  <c r="L44" i="9"/>
  <c r="L48" i="9"/>
  <c r="L52" i="9"/>
  <c r="L56" i="9"/>
  <c r="L60" i="9"/>
  <c r="L64" i="9"/>
  <c r="L68" i="9"/>
  <c r="L72" i="9"/>
  <c r="L76" i="9"/>
  <c r="L80" i="9"/>
  <c r="L84" i="9"/>
  <c r="L88" i="9"/>
  <c r="L92" i="9"/>
  <c r="L96" i="9"/>
  <c r="L97" i="9"/>
  <c r="L11" i="9"/>
  <c r="L19" i="9"/>
  <c r="L35" i="9"/>
  <c r="L47" i="9"/>
  <c r="L59" i="9"/>
  <c r="L63" i="9"/>
  <c r="L75" i="9"/>
  <c r="L87" i="9"/>
  <c r="L5" i="9"/>
  <c r="L9" i="9"/>
  <c r="L13" i="9"/>
  <c r="L17" i="9"/>
  <c r="L21" i="9"/>
  <c r="L25" i="9"/>
  <c r="L29" i="9"/>
  <c r="L33" i="9"/>
  <c r="L37" i="9"/>
  <c r="L41" i="9"/>
  <c r="L45" i="9"/>
  <c r="L49" i="9"/>
  <c r="L53" i="9"/>
  <c r="L57" i="9"/>
  <c r="L61" i="9"/>
  <c r="L65" i="9"/>
  <c r="L69" i="9"/>
  <c r="L73" i="9"/>
  <c r="L77" i="9"/>
  <c r="L81" i="9"/>
  <c r="L85" i="9"/>
  <c r="L89" i="9"/>
  <c r="L93" i="9"/>
  <c r="L15" i="9"/>
  <c r="L27" i="9"/>
  <c r="L39" i="9"/>
  <c r="L51" i="9"/>
  <c r="L67" i="9"/>
  <c r="L79" i="9"/>
  <c r="L91" i="9"/>
  <c r="L6" i="9"/>
  <c r="L10" i="9"/>
  <c r="L14" i="9"/>
  <c r="L18" i="9"/>
  <c r="L22" i="9"/>
  <c r="L26" i="9"/>
  <c r="L30" i="9"/>
  <c r="L34" i="9"/>
  <c r="L38" i="9"/>
  <c r="L42" i="9"/>
  <c r="L46" i="9"/>
  <c r="L50" i="9"/>
  <c r="L54" i="9"/>
  <c r="L58" i="9"/>
  <c r="L62" i="9"/>
  <c r="L66" i="9"/>
  <c r="L70" i="9"/>
  <c r="L74" i="9"/>
  <c r="L78" i="9"/>
  <c r="L82" i="9"/>
  <c r="L86" i="9"/>
  <c r="L90" i="9"/>
  <c r="L94" i="9"/>
  <c r="L7" i="9"/>
  <c r="L23" i="9"/>
  <c r="L31" i="9"/>
  <c r="L43" i="9"/>
  <c r="L55" i="9"/>
  <c r="L71" i="9"/>
  <c r="L83" i="9"/>
  <c r="L95" i="9"/>
  <c r="L3" i="9"/>
  <c r="Q9" i="11" l="1"/>
  <c r="B14" i="3"/>
  <c r="B15" i="3"/>
  <c r="B16" i="3"/>
  <c r="B3" i="3"/>
  <c r="B4" i="3"/>
  <c r="B5" i="3"/>
  <c r="B6" i="3"/>
  <c r="B7" i="3"/>
  <c r="B8" i="3"/>
  <c r="B9" i="3"/>
  <c r="B10" i="3"/>
  <c r="B11" i="3"/>
  <c r="B12" i="3"/>
  <c r="B13" i="3"/>
  <c r="B2" i="3"/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2" i="3"/>
  <c r="D3" i="3" l="1"/>
  <c r="D8" i="3"/>
  <c r="D12" i="3"/>
  <c r="D4" i="3"/>
  <c r="D9" i="3"/>
  <c r="D13" i="3"/>
  <c r="D5" i="3"/>
  <c r="D10" i="3"/>
  <c r="D11" i="3"/>
  <c r="D7" i="3"/>
  <c r="D2" i="3"/>
  <c r="M13" i="3"/>
  <c r="F11" i="3"/>
  <c r="G11" i="3"/>
  <c r="H11" i="3"/>
  <c r="E11" i="3"/>
  <c r="G10" i="3"/>
  <c r="H10" i="3"/>
  <c r="E10" i="3"/>
  <c r="F10" i="3"/>
  <c r="H13" i="3"/>
  <c r="E13" i="3"/>
  <c r="J13" i="3"/>
  <c r="K13" i="3"/>
  <c r="I12" i="3"/>
  <c r="J12" i="3"/>
  <c r="K12" i="3"/>
  <c r="L12" i="3"/>
  <c r="Q12" i="3"/>
  <c r="G12" i="3"/>
  <c r="J11" i="3"/>
  <c r="K11" i="3"/>
  <c r="L11" i="3"/>
  <c r="I11" i="3"/>
  <c r="K10" i="3"/>
  <c r="L10" i="3"/>
  <c r="I10" i="3"/>
  <c r="J10" i="3"/>
  <c r="L13" i="3"/>
  <c r="I13" i="3"/>
  <c r="N13" i="3"/>
  <c r="O13" i="3"/>
  <c r="M12" i="3"/>
  <c r="N12" i="3"/>
  <c r="O12" i="3"/>
  <c r="P12" i="3"/>
  <c r="R12" i="3"/>
  <c r="T12" i="3"/>
  <c r="N11" i="3"/>
  <c r="O11" i="3"/>
  <c r="P11" i="3"/>
  <c r="M11" i="3"/>
  <c r="O10" i="3"/>
  <c r="P10" i="3"/>
  <c r="M10" i="3"/>
  <c r="N10" i="3"/>
  <c r="P13" i="3"/>
  <c r="Q13" i="3"/>
  <c r="R13" i="3"/>
  <c r="S13" i="3"/>
  <c r="S12" i="3"/>
  <c r="R11" i="3"/>
  <c r="S11" i="3"/>
  <c r="T11" i="3"/>
  <c r="Q11" i="3"/>
  <c r="S10" i="3"/>
  <c r="T10" i="3"/>
  <c r="Q10" i="3"/>
  <c r="R10" i="3"/>
  <c r="T13" i="3"/>
  <c r="F13" i="3"/>
  <c r="G13" i="3"/>
  <c r="E12" i="3"/>
  <c r="F12" i="3"/>
  <c r="H12" i="3"/>
  <c r="P28" i="3"/>
  <c r="S22" i="3"/>
  <c r="R23" i="3"/>
  <c r="Q24" i="3"/>
  <c r="Q25" i="3"/>
  <c r="P26" i="3"/>
  <c r="O27" i="3"/>
  <c r="O28" i="3"/>
  <c r="P29" i="3"/>
  <c r="O30" i="3"/>
  <c r="N31" i="3"/>
  <c r="M32" i="3"/>
  <c r="M21" i="3"/>
  <c r="C27" i="3"/>
  <c r="D27" i="3" s="1"/>
  <c r="J26" i="3"/>
  <c r="I28" i="3"/>
  <c r="V29" i="3"/>
  <c r="T31" i="3"/>
  <c r="S21" i="3"/>
  <c r="P22" i="3"/>
  <c r="O23" i="3"/>
  <c r="N24" i="3"/>
  <c r="M25" i="3"/>
  <c r="M26" i="3"/>
  <c r="L27" i="3"/>
  <c r="L28" i="3"/>
  <c r="M29" i="3"/>
  <c r="L30" i="3"/>
  <c r="K31" i="3"/>
  <c r="J32" i="3"/>
  <c r="J21" i="3"/>
  <c r="C24" i="3"/>
  <c r="D24" i="3" s="1"/>
  <c r="I22" i="3"/>
  <c r="H23" i="3"/>
  <c r="G24" i="3"/>
  <c r="F25" i="3"/>
  <c r="V26" i="3"/>
  <c r="F29" i="3"/>
  <c r="H31" i="3"/>
  <c r="G21" i="3"/>
  <c r="P24" i="3"/>
  <c r="N28" i="3"/>
  <c r="L32" i="3"/>
  <c r="L24" i="3"/>
  <c r="F22" i="3"/>
  <c r="T25" i="3"/>
  <c r="S29" i="3"/>
  <c r="P21" i="3"/>
  <c r="M23" i="3"/>
  <c r="C29" i="3"/>
  <c r="D29" i="3" s="1"/>
  <c r="G25" i="3"/>
  <c r="G29" i="3"/>
  <c r="T32" i="3"/>
  <c r="J28" i="3"/>
  <c r="D6" i="3"/>
  <c r="C13" i="3"/>
  <c r="C12" i="3"/>
  <c r="C11" i="3"/>
  <c r="C10" i="3"/>
  <c r="E29" i="3" l="1"/>
  <c r="I31" i="3"/>
  <c r="T21" i="3"/>
  <c r="F30" i="3"/>
  <c r="G26" i="3"/>
  <c r="J22" i="3"/>
  <c r="K26" i="3"/>
  <c r="C25" i="3"/>
  <c r="D25" i="3" s="1"/>
  <c r="R30" i="3"/>
  <c r="S26" i="3"/>
  <c r="V22" i="3"/>
  <c r="J27" i="3"/>
  <c r="L21" i="3"/>
  <c r="O29" i="3"/>
  <c r="P25" i="3"/>
  <c r="O21" i="3"/>
  <c r="P31" i="3"/>
  <c r="R29" i="3"/>
  <c r="M27" i="3"/>
  <c r="J25" i="3"/>
  <c r="K24" i="3"/>
  <c r="L23" i="3"/>
  <c r="M22" i="3"/>
  <c r="C28" i="3"/>
  <c r="D28" i="3" s="1"/>
  <c r="N21" i="3"/>
  <c r="N32" i="3"/>
  <c r="O31" i="3"/>
  <c r="P30" i="3"/>
  <c r="Q29" i="3"/>
  <c r="Q28" i="3"/>
  <c r="P27" i="3"/>
  <c r="Q26" i="3"/>
  <c r="R25" i="3"/>
  <c r="R24" i="3"/>
  <c r="S23" i="3"/>
  <c r="T22" i="3"/>
  <c r="V28" i="3"/>
  <c r="K32" i="3"/>
  <c r="M30" i="3"/>
  <c r="R28" i="3"/>
  <c r="R26" i="3"/>
  <c r="C31" i="3"/>
  <c r="E31" i="3" s="1"/>
  <c r="Q21" i="3"/>
  <c r="Q32" i="3"/>
  <c r="R31" i="3"/>
  <c r="S30" i="3"/>
  <c r="T29" i="3"/>
  <c r="T28" i="3"/>
  <c r="S27" i="3"/>
  <c r="T26" i="3"/>
  <c r="U25" i="3"/>
  <c r="U24" i="3"/>
  <c r="V23" i="3"/>
  <c r="F23" i="3"/>
  <c r="G22" i="3"/>
  <c r="K25" i="3"/>
  <c r="U31" i="3"/>
  <c r="F28" i="3"/>
  <c r="H24" i="3"/>
  <c r="H32" i="3"/>
  <c r="C26" i="3"/>
  <c r="D26" i="3" s="1"/>
  <c r="P32" i="3"/>
  <c r="S28" i="3"/>
  <c r="T24" i="3"/>
  <c r="H21" i="3"/>
  <c r="C30" i="3"/>
  <c r="D30" i="3" s="1"/>
  <c r="M31" i="3"/>
  <c r="N27" i="3"/>
  <c r="Q23" i="3"/>
  <c r="O32" i="3"/>
  <c r="Q30" i="3"/>
  <c r="M28" i="3"/>
  <c r="N26" i="3"/>
  <c r="S24" i="3"/>
  <c r="T23" i="3"/>
  <c r="U22" i="3"/>
  <c r="V27" i="3"/>
  <c r="V21" i="3"/>
  <c r="V32" i="3"/>
  <c r="F32" i="3"/>
  <c r="G31" i="3"/>
  <c r="H30" i="3"/>
  <c r="I29" i="3"/>
  <c r="H28" i="3"/>
  <c r="H27" i="3"/>
  <c r="I26" i="3"/>
  <c r="I25" i="3"/>
  <c r="J24" i="3"/>
  <c r="K23" i="3"/>
  <c r="L22" i="3"/>
  <c r="K21" i="3"/>
  <c r="L31" i="3"/>
  <c r="N29" i="3"/>
  <c r="Q27" i="3"/>
  <c r="F26" i="3"/>
  <c r="C23" i="3"/>
  <c r="D23" i="3" s="1"/>
  <c r="I21" i="3"/>
  <c r="I32" i="3"/>
  <c r="J31" i="3"/>
  <c r="K30" i="3"/>
  <c r="L29" i="3"/>
  <c r="K28" i="3"/>
  <c r="K27" i="3"/>
  <c r="L26" i="3"/>
  <c r="L25" i="3"/>
  <c r="M24" i="3"/>
  <c r="N23" i="3"/>
  <c r="O22" i="3"/>
  <c r="F21" i="3"/>
  <c r="N22" i="3"/>
  <c r="V30" i="3"/>
  <c r="F27" i="3"/>
  <c r="I23" i="3"/>
  <c r="K29" i="3"/>
  <c r="C21" i="3"/>
  <c r="Q31" i="3"/>
  <c r="R27" i="3"/>
  <c r="U23" i="3"/>
  <c r="J30" i="3"/>
  <c r="C22" i="3"/>
  <c r="D22" i="3" s="1"/>
  <c r="N30" i="3"/>
  <c r="O26" i="3"/>
  <c r="R22" i="3"/>
  <c r="G32" i="3"/>
  <c r="I30" i="3"/>
  <c r="U27" i="3"/>
  <c r="S25" i="3"/>
  <c r="O24" i="3"/>
  <c r="P23" i="3"/>
  <c r="Q22" i="3"/>
  <c r="C32" i="3"/>
  <c r="E32" i="3" s="1"/>
  <c r="R21" i="3"/>
  <c r="R32" i="3"/>
  <c r="S31" i="3"/>
  <c r="T30" i="3"/>
  <c r="U29" i="3"/>
  <c r="U28" i="3"/>
  <c r="T27" i="3"/>
  <c r="U26" i="3"/>
  <c r="V25" i="3"/>
  <c r="V24" i="3"/>
  <c r="F24" i="3"/>
  <c r="G23" i="3"/>
  <c r="H22" i="3"/>
  <c r="S32" i="3"/>
  <c r="U30" i="3"/>
  <c r="J29" i="3"/>
  <c r="I27" i="3"/>
  <c r="O25" i="3"/>
  <c r="U21" i="3"/>
  <c r="U32" i="3"/>
  <c r="V31" i="3"/>
  <c r="F31" i="3"/>
  <c r="G30" i="3"/>
  <c r="H29" i="3"/>
  <c r="G28" i="3"/>
  <c r="G27" i="3"/>
  <c r="H26" i="3"/>
  <c r="H25" i="3"/>
  <c r="I24" i="3"/>
  <c r="J23" i="3"/>
  <c r="K22" i="3"/>
  <c r="D31" i="3" l="1"/>
  <c r="E30" i="3"/>
  <c r="D32" i="3"/>
  <c r="J36" i="3"/>
  <c r="C36" i="3"/>
  <c r="L36" i="3"/>
  <c r="K36" i="3"/>
  <c r="Q36" i="3"/>
  <c r="O36" i="3"/>
  <c r="U36" i="3"/>
  <c r="H36" i="3"/>
  <c r="G36" i="3"/>
  <c r="S36" i="3"/>
  <c r="P36" i="3"/>
  <c r="M36" i="3"/>
  <c r="V36" i="3"/>
  <c r="R36" i="3"/>
  <c r="T36" i="3"/>
  <c r="D21" i="3"/>
  <c r="N36" i="3"/>
  <c r="F36" i="3"/>
  <c r="I36" i="3"/>
  <c r="D36" i="3" l="1"/>
  <c r="H2" i="3"/>
  <c r="L2" i="3"/>
  <c r="P2" i="3"/>
  <c r="T2" i="3"/>
  <c r="E2" i="3"/>
  <c r="I2" i="3"/>
  <c r="M2" i="3"/>
  <c r="Q2" i="3"/>
  <c r="F2" i="3"/>
  <c r="J2" i="3"/>
  <c r="N2" i="3"/>
  <c r="R2" i="3"/>
  <c r="G2" i="3"/>
  <c r="K2" i="3"/>
  <c r="O2" i="3"/>
  <c r="S2" i="3"/>
  <c r="G6" i="3"/>
  <c r="K6" i="3"/>
  <c r="O6" i="3"/>
  <c r="S6" i="3"/>
  <c r="H6" i="3"/>
  <c r="L6" i="3"/>
  <c r="P6" i="3"/>
  <c r="T6" i="3"/>
  <c r="E6" i="3"/>
  <c r="I6" i="3"/>
  <c r="M6" i="3"/>
  <c r="Q6" i="3"/>
  <c r="F6" i="3"/>
  <c r="J6" i="3"/>
  <c r="N6" i="3"/>
  <c r="R6" i="3"/>
  <c r="F3" i="3"/>
  <c r="J3" i="3"/>
  <c r="N3" i="3"/>
  <c r="R3" i="3"/>
  <c r="G3" i="3"/>
  <c r="K3" i="3"/>
  <c r="O3" i="3"/>
  <c r="S3" i="3"/>
  <c r="H3" i="3"/>
  <c r="L3" i="3"/>
  <c r="P3" i="3"/>
  <c r="T3" i="3"/>
  <c r="E3" i="3"/>
  <c r="I3" i="3"/>
  <c r="M3" i="3"/>
  <c r="Q3" i="3"/>
  <c r="F7" i="3"/>
  <c r="J7" i="3"/>
  <c r="N7" i="3"/>
  <c r="R7" i="3"/>
  <c r="G7" i="3"/>
  <c r="K7" i="3"/>
  <c r="O7" i="3"/>
  <c r="S7" i="3"/>
  <c r="H7" i="3"/>
  <c r="L7" i="3"/>
  <c r="P7" i="3"/>
  <c r="T7" i="3"/>
  <c r="E7" i="3"/>
  <c r="I7" i="3"/>
  <c r="M7" i="3"/>
  <c r="Q7" i="3"/>
  <c r="E4" i="3"/>
  <c r="I4" i="3"/>
  <c r="M4" i="3"/>
  <c r="Q4" i="3"/>
  <c r="F4" i="3"/>
  <c r="J4" i="3"/>
  <c r="N4" i="3"/>
  <c r="R4" i="3"/>
  <c r="G4" i="3"/>
  <c r="K4" i="3"/>
  <c r="O4" i="3"/>
  <c r="S4" i="3"/>
  <c r="H4" i="3"/>
  <c r="L4" i="3"/>
  <c r="P4" i="3"/>
  <c r="T4" i="3"/>
  <c r="E8" i="3"/>
  <c r="I8" i="3"/>
  <c r="M8" i="3"/>
  <c r="Q8" i="3"/>
  <c r="F8" i="3"/>
  <c r="J8" i="3"/>
  <c r="N8" i="3"/>
  <c r="R8" i="3"/>
  <c r="G8" i="3"/>
  <c r="K8" i="3"/>
  <c r="O8" i="3"/>
  <c r="S8" i="3"/>
  <c r="H8" i="3"/>
  <c r="L8" i="3"/>
  <c r="P8" i="3"/>
  <c r="T8" i="3"/>
  <c r="H5" i="3"/>
  <c r="L5" i="3"/>
  <c r="P5" i="3"/>
  <c r="T5" i="3"/>
  <c r="E5" i="3"/>
  <c r="I5" i="3"/>
  <c r="M5" i="3"/>
  <c r="Q5" i="3"/>
  <c r="F5" i="3"/>
  <c r="J5" i="3"/>
  <c r="N5" i="3"/>
  <c r="R5" i="3"/>
  <c r="G5" i="3"/>
  <c r="K5" i="3"/>
  <c r="O5" i="3"/>
  <c r="S5" i="3"/>
  <c r="H9" i="3"/>
  <c r="L9" i="3"/>
  <c r="P9" i="3"/>
  <c r="T9" i="3"/>
  <c r="E9" i="3"/>
  <c r="I9" i="3"/>
  <c r="M9" i="3"/>
  <c r="Q9" i="3"/>
  <c r="F9" i="3"/>
  <c r="J9" i="3"/>
  <c r="N9" i="3"/>
  <c r="R9" i="3"/>
  <c r="G9" i="3"/>
  <c r="K9" i="3"/>
  <c r="O9" i="3"/>
  <c r="S9" i="3"/>
  <c r="C7" i="3"/>
  <c r="E26" i="3" s="1"/>
  <c r="C9" i="3"/>
  <c r="E28" i="3" s="1"/>
  <c r="D17" i="3"/>
  <c r="C5" i="3"/>
  <c r="E24" i="3" s="1"/>
  <c r="C3" i="3"/>
  <c r="E22" i="3" s="1"/>
  <c r="C8" i="3"/>
  <c r="E27" i="3" s="1"/>
  <c r="C6" i="3"/>
  <c r="E25" i="3" s="1"/>
  <c r="C4" i="3"/>
  <c r="E23" i="3" s="1"/>
  <c r="C2" i="3"/>
  <c r="O18" i="3" l="1"/>
  <c r="N18" i="3"/>
  <c r="Q18" i="3"/>
  <c r="T18" i="3"/>
  <c r="E21" i="3"/>
  <c r="E36" i="3" s="1"/>
  <c r="C18" i="3"/>
  <c r="K18" i="3"/>
  <c r="J18" i="3"/>
  <c r="M18" i="3"/>
  <c r="P18" i="3"/>
  <c r="G18" i="3"/>
  <c r="F18" i="3"/>
  <c r="I18" i="3"/>
  <c r="L18" i="3"/>
  <c r="S18" i="3"/>
  <c r="R18" i="3"/>
  <c r="D18" i="3"/>
  <c r="E18" i="3"/>
  <c r="H18" i="3"/>
  <c r="C17" i="3"/>
  <c r="G17" i="3"/>
  <c r="M17" i="3"/>
  <c r="F17" i="3"/>
  <c r="K17" i="3"/>
  <c r="J17" i="3"/>
  <c r="O17" i="3"/>
  <c r="H17" i="3"/>
  <c r="E17" i="3"/>
  <c r="N17" i="3"/>
  <c r="I17" i="3"/>
  <c r="L17" i="3"/>
  <c r="Z9" i="4"/>
  <c r="V9" i="4"/>
  <c r="R9" i="4"/>
  <c r="N9" i="4"/>
  <c r="J9" i="4"/>
  <c r="F9" i="4"/>
  <c r="W8" i="4"/>
  <c r="S8" i="4"/>
  <c r="O8" i="4"/>
  <c r="K8" i="4"/>
  <c r="G8" i="4"/>
  <c r="C8" i="4"/>
  <c r="X7" i="4"/>
  <c r="T7" i="4"/>
  <c r="P7" i="4"/>
  <c r="L7" i="4"/>
  <c r="H7" i="4"/>
  <c r="D7" i="4"/>
  <c r="Y6" i="4"/>
  <c r="U6" i="4"/>
  <c r="Q6" i="4"/>
  <c r="M6" i="4"/>
  <c r="I6" i="4"/>
  <c r="E6" i="4"/>
  <c r="Z5" i="4"/>
  <c r="V5" i="4"/>
  <c r="R5" i="4"/>
  <c r="N5" i="4"/>
  <c r="J5" i="4"/>
  <c r="F5" i="4"/>
  <c r="W4" i="4"/>
  <c r="S4" i="4"/>
  <c r="O4" i="4"/>
  <c r="K4" i="4"/>
  <c r="G4" i="4"/>
  <c r="C4" i="4"/>
  <c r="X3" i="4"/>
  <c r="T3" i="4"/>
  <c r="P3" i="4"/>
  <c r="L3" i="4"/>
  <c r="H3" i="4"/>
  <c r="D3" i="4"/>
  <c r="Y9" i="4"/>
  <c r="U9" i="4"/>
  <c r="Q9" i="4"/>
  <c r="M9" i="4"/>
  <c r="I9" i="4"/>
  <c r="E9" i="4"/>
  <c r="Z8" i="4"/>
  <c r="V8" i="4"/>
  <c r="R8" i="4"/>
  <c r="N8" i="4"/>
  <c r="J8" i="4"/>
  <c r="F8" i="4"/>
  <c r="W7" i="4"/>
  <c r="S7" i="4"/>
  <c r="O7" i="4"/>
  <c r="K7" i="4"/>
  <c r="G7" i="4"/>
  <c r="C7" i="4"/>
  <c r="X6" i="4"/>
  <c r="T6" i="4"/>
  <c r="P6" i="4"/>
  <c r="L6" i="4"/>
  <c r="H6" i="4"/>
  <c r="D6" i="4"/>
  <c r="Y5" i="4"/>
  <c r="U5" i="4"/>
  <c r="Q5" i="4"/>
  <c r="M5" i="4"/>
  <c r="I5" i="4"/>
  <c r="E5" i="4"/>
  <c r="Z4" i="4"/>
  <c r="V4" i="4"/>
  <c r="R4" i="4"/>
  <c r="N4" i="4"/>
  <c r="J4" i="4"/>
  <c r="F4" i="4"/>
  <c r="W3" i="4"/>
  <c r="S3" i="4"/>
  <c r="O3" i="4"/>
  <c r="K3" i="4"/>
  <c r="G3" i="4"/>
  <c r="C3" i="4"/>
  <c r="X9" i="4"/>
  <c r="T9" i="4"/>
  <c r="P9" i="4"/>
  <c r="L9" i="4"/>
  <c r="H9" i="4"/>
  <c r="D9" i="4"/>
  <c r="Y8" i="4"/>
  <c r="U8" i="4"/>
  <c r="Q8" i="4"/>
  <c r="M8" i="4"/>
  <c r="I8" i="4"/>
  <c r="E8" i="4"/>
  <c r="Z7" i="4"/>
  <c r="V7" i="4"/>
  <c r="R7" i="4"/>
  <c r="N7" i="4"/>
  <c r="J7" i="4"/>
  <c r="F7" i="4"/>
  <c r="W6" i="4"/>
  <c r="S6" i="4"/>
  <c r="O6" i="4"/>
  <c r="K6" i="4"/>
  <c r="G6" i="4"/>
  <c r="C6" i="4"/>
  <c r="X5" i="4"/>
  <c r="T5" i="4"/>
  <c r="P5" i="4"/>
  <c r="L5" i="4"/>
  <c r="H5" i="4"/>
  <c r="D5" i="4"/>
  <c r="Y4" i="4"/>
  <c r="U4" i="4"/>
  <c r="Q4" i="4"/>
  <c r="M4" i="4"/>
  <c r="I4" i="4"/>
  <c r="E4" i="4"/>
  <c r="Z3" i="4"/>
  <c r="V3" i="4"/>
  <c r="R3" i="4"/>
  <c r="N3" i="4"/>
  <c r="J3" i="4"/>
  <c r="F3" i="4"/>
  <c r="K9" i="4"/>
  <c r="T8" i="4"/>
  <c r="D8" i="4"/>
  <c r="M7" i="4"/>
  <c r="V6" i="4"/>
  <c r="F6" i="4"/>
  <c r="O5" i="4"/>
  <c r="X4" i="4"/>
  <c r="H4" i="4"/>
  <c r="Q3" i="4"/>
  <c r="W9" i="4"/>
  <c r="G9" i="4"/>
  <c r="P8" i="4"/>
  <c r="Y7" i="4"/>
  <c r="I7" i="4"/>
  <c r="R6" i="4"/>
  <c r="K5" i="4"/>
  <c r="T4" i="4"/>
  <c r="D4" i="4"/>
  <c r="M3" i="4"/>
  <c r="S9" i="4"/>
  <c r="C9" i="4"/>
  <c r="L8" i="4"/>
  <c r="U7" i="4"/>
  <c r="E7" i="4"/>
  <c r="N6" i="4"/>
  <c r="W5" i="4"/>
  <c r="G5" i="4"/>
  <c r="P4" i="4"/>
  <c r="Y3" i="4"/>
  <c r="I3" i="4"/>
  <c r="O9" i="4"/>
  <c r="X8" i="4"/>
  <c r="H8" i="4"/>
  <c r="Q7" i="4"/>
  <c r="Z6" i="4"/>
  <c r="J6" i="4"/>
  <c r="S5" i="4"/>
  <c r="C5" i="4"/>
  <c r="L4" i="4"/>
  <c r="U3" i="4"/>
  <c r="E3" i="4"/>
  <c r="AA9" i="4" l="1"/>
  <c r="AA6" i="4"/>
  <c r="AA5" i="4"/>
  <c r="AA3" i="4"/>
  <c r="AA7" i="4"/>
  <c r="AA4" i="4"/>
  <c r="AA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C8E4FF-A86B-4470-AA40-95B29A9A2E35}" keepAlive="1" name="Query - SkyBet JIRA 2020-09-19T12_50_56+0100" description="Connection to the 'SkyBet JIRA 2020-09-19T12_50_56+0100' query in the workbook." type="5" refreshedVersion="6" background="1">
    <dbPr connection="Provider=Microsoft.Mashup.OleDb.1;Data Source=$Workbook$;Location=SkyBet JIRA 2020-09-19T12_50_56+0100;Extended Properties=&quot;&quot;" command="SELECT * FROM [SkyBet JIRA 2020-09-19T12_50_56+0100]"/>
  </connection>
</connections>
</file>

<file path=xl/sharedStrings.xml><?xml version="1.0" encoding="utf-8"?>
<sst xmlns="http://schemas.openxmlformats.org/spreadsheetml/2006/main" count="121" uniqueCount="96">
  <si>
    <t>Manager</t>
  </si>
  <si>
    <t>Rejected</t>
  </si>
  <si>
    <t>Match Market Addition</t>
  </si>
  <si>
    <t>Outright</t>
  </si>
  <si>
    <t>Cross Match RAB</t>
  </si>
  <si>
    <t>Missing Fixture</t>
  </si>
  <si>
    <t>Coupons</t>
  </si>
  <si>
    <t>Error</t>
  </si>
  <si>
    <t>Specials</t>
  </si>
  <si>
    <t>OPTA</t>
  </si>
  <si>
    <t>BMS</t>
  </si>
  <si>
    <t>Single Match RAB</t>
  </si>
  <si>
    <t>Transfer</t>
  </si>
  <si>
    <t>Antepost RAB</t>
  </si>
  <si>
    <t>Trader</t>
  </si>
  <si>
    <t>Tuesday</t>
  </si>
  <si>
    <t>Wednesday</t>
  </si>
  <si>
    <t>Not Assigned</t>
  </si>
  <si>
    <t>Thursday</t>
  </si>
  <si>
    <t>Friday</t>
  </si>
  <si>
    <t>Saturday</t>
  </si>
  <si>
    <t>Sunday</t>
  </si>
  <si>
    <t>Monday</t>
  </si>
  <si>
    <t>Alyn Merriman</t>
  </si>
  <si>
    <t>Danny Longley</t>
  </si>
  <si>
    <t>Jack Abbott</t>
  </si>
  <si>
    <t>Richard Evison</t>
  </si>
  <si>
    <t>Mikey Mumford</t>
  </si>
  <si>
    <t>Rob Carr</t>
  </si>
  <si>
    <t>Tom Capel</t>
  </si>
  <si>
    <t>Ivor Davies</t>
  </si>
  <si>
    <t>Day</t>
  </si>
  <si>
    <t>Total</t>
  </si>
  <si>
    <t>Avg Response Time</t>
  </si>
  <si>
    <t>dei02</t>
  </si>
  <si>
    <t>KLI07</t>
  </si>
  <si>
    <t>gilln</t>
  </si>
  <si>
    <t>NVA08</t>
  </si>
  <si>
    <t>lma03</t>
  </si>
  <si>
    <t>Andy Clarke</t>
  </si>
  <si>
    <t>Dean Littlewood</t>
  </si>
  <si>
    <t>Kyran Littlewood</t>
  </si>
  <si>
    <t>Nick Gill</t>
  </si>
  <si>
    <t>Nathan Vause</t>
  </si>
  <si>
    <t>Liam Maddison</t>
  </si>
  <si>
    <t>File Path</t>
  </si>
  <si>
    <t>File Name</t>
  </si>
  <si>
    <t>File Name &amp; Extension</t>
  </si>
  <si>
    <t>Username</t>
  </si>
  <si>
    <t>Trader Lookup</t>
  </si>
  <si>
    <t>Requests Rejected</t>
  </si>
  <si>
    <t>File Name(1)</t>
  </si>
  <si>
    <t>Wrong Channel</t>
  </si>
  <si>
    <t>RequestABet</t>
  </si>
  <si>
    <t>listOfFiles</t>
  </si>
  <si>
    <t>AvgTime</t>
  </si>
  <si>
    <t>Average</t>
  </si>
  <si>
    <t>TotHrs</t>
  </si>
  <si>
    <t>TotMins</t>
  </si>
  <si>
    <t xml:space="preserve"> </t>
  </si>
  <si>
    <t>%</t>
  </si>
  <si>
    <t>Total Time (Mins)</t>
  </si>
  <si>
    <t>Trader Summary</t>
  </si>
  <si>
    <t>Trader Response Times By Component</t>
  </si>
  <si>
    <t>Total Requests</t>
  </si>
  <si>
    <t>% By Day</t>
  </si>
  <si>
    <t>Trader Requests By Component</t>
  </si>
  <si>
    <t>Top 5 Components</t>
  </si>
  <si>
    <t>X:\Bet Tribe\Trading\FOOTBALL DEPARTMENT\RAB Reports\Monkeybot Reports\JIRA Data\*</t>
  </si>
  <si>
    <t>kco03</t>
  </si>
  <si>
    <t>wde01</t>
  </si>
  <si>
    <t>dpe03</t>
  </si>
  <si>
    <t>Kieran Cobley</t>
  </si>
  <si>
    <t>Will Dean</t>
  </si>
  <si>
    <t>David Peake</t>
  </si>
  <si>
    <t>Time Spent During Period</t>
  </si>
  <si>
    <t>project = RABR AND created &gt; startOfMonth(-1) AND created &lt;startOfMonth(0)</t>
  </si>
  <si>
    <t>JIRA Query</t>
  </si>
  <si>
    <t>Count</t>
  </si>
  <si>
    <t>Component</t>
  </si>
  <si>
    <t>Top Components</t>
  </si>
  <si>
    <t>dateCreated</t>
  </si>
  <si>
    <t>requestComponent(1)</t>
  </si>
  <si>
    <t>requestComponent(2)</t>
  </si>
  <si>
    <t>componentString</t>
  </si>
  <si>
    <t>assignedTrader</t>
  </si>
  <si>
    <t>dateResolved</t>
  </si>
  <si>
    <t>resolveTime</t>
  </si>
  <si>
    <t>weekDay</t>
  </si>
  <si>
    <t>requestTime</t>
  </si>
  <si>
    <t>Time(Rnd)</t>
  </si>
  <si>
    <t>Include?</t>
  </si>
  <si>
    <t>AvgResp</t>
  </si>
  <si>
    <t>TotReq</t>
  </si>
  <si>
    <t>Earliest Date</t>
  </si>
  <si>
    <t>Latest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</si>
</sst>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0;;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Sky Text"/>
      <family val="2"/>
    </font>
    <font>
      <sz val="10"/>
      <color theme="1"/>
      <name val="Sky Text"/>
      <family val="2"/>
    </font>
    <font>
      <sz val="10"/>
      <color theme="1"/>
      <name val="Calibri"/>
      <family val="2"/>
      <scheme val="minor"/>
    </font>
    <font>
      <sz val="12"/>
      <color theme="1"/>
      <name val="Sky Text"/>
      <family val="2"/>
    </font>
    <font>
      <sz val="9"/>
      <color theme="1"/>
      <name val="Sky Text"/>
      <family val="2"/>
    </font>
    <font>
      <b/>
      <sz val="10"/>
      <color theme="0"/>
      <name val="Sky Text"/>
      <family val="2"/>
    </font>
    <font>
      <b/>
      <sz val="12"/>
      <color theme="1"/>
      <name val="Sky Text"/>
      <family val="2"/>
    </font>
    <font>
      <sz val="12"/>
      <color theme="1" tint="0.249977111117893"/>
      <name val="Sky Text"/>
      <family val="2"/>
    </font>
    <font>
      <sz val="11"/>
      <color theme="1"/>
      <name val="Sky Text"/>
      <family val="2"/>
    </font>
    <font>
      <b/>
      <sz val="11"/>
      <color theme="0"/>
      <name val="Sky Text"/>
      <family val="2"/>
    </font>
    <font>
      <b/>
      <sz val="12"/>
      <color theme="0"/>
      <name val="Sky Text"/>
      <family val="2"/>
    </font>
    <font>
      <b/>
      <sz val="10"/>
      <color theme="1"/>
      <name val="Sky Text"/>
      <family val="2"/>
    </font>
    <font>
      <b/>
      <sz val="9"/>
      <color theme="1"/>
      <name val="Sky Text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8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0" fontId="0" fillId="33" borderId="0" xfId="0" applyFill="1"/>
    <xf numFmtId="0" fontId="16" fillId="33" borderId="10" xfId="0" applyFont="1" applyFill="1" applyBorder="1"/>
    <xf numFmtId="0" fontId="16" fillId="33" borderId="10" xfId="0" applyFont="1" applyFill="1" applyBorder="1" applyAlignment="1">
      <alignment horizontal="center"/>
    </xf>
    <xf numFmtId="0" fontId="0" fillId="33" borderId="18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0" fontId="0" fillId="33" borderId="22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0" fillId="33" borderId="24" xfId="0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21" xfId="0" applyFill="1" applyBorder="1" applyAlignment="1">
      <alignment horizontal="center" vertical="center"/>
    </xf>
    <xf numFmtId="0" fontId="0" fillId="33" borderId="14" xfId="0" applyFill="1" applyBorder="1" applyAlignment="1">
      <alignment horizontal="center" vertical="center"/>
    </xf>
    <xf numFmtId="0" fontId="16" fillId="33" borderId="17" xfId="0" applyFont="1" applyFill="1" applyBorder="1"/>
    <xf numFmtId="0" fontId="16" fillId="33" borderId="18" xfId="0" applyFont="1" applyFill="1" applyBorder="1"/>
    <xf numFmtId="0" fontId="16" fillId="33" borderId="19" xfId="0" applyFont="1" applyFill="1" applyBorder="1"/>
    <xf numFmtId="20" fontId="16" fillId="33" borderId="20" xfId="0" applyNumberFormat="1" applyFont="1" applyFill="1" applyBorder="1" applyAlignment="1">
      <alignment horizontal="center" vertical="center"/>
    </xf>
    <xf numFmtId="20" fontId="16" fillId="33" borderId="16" xfId="0" applyNumberFormat="1" applyFont="1" applyFill="1" applyBorder="1" applyAlignment="1">
      <alignment horizontal="center" vertical="center"/>
    </xf>
    <xf numFmtId="0" fontId="0" fillId="34" borderId="0" xfId="0" applyFill="1" applyAlignment="1">
      <alignment horizontal="left"/>
    </xf>
    <xf numFmtId="0" fontId="0" fillId="34" borderId="0" xfId="0" applyFill="1"/>
    <xf numFmtId="0" fontId="21" fillId="33" borderId="0" xfId="0" applyFont="1" applyFill="1"/>
    <xf numFmtId="0" fontId="0" fillId="33" borderId="0" xfId="0" applyFill="1" applyBorder="1"/>
    <xf numFmtId="0" fontId="22" fillId="35" borderId="0" xfId="0" applyFont="1" applyFill="1"/>
    <xf numFmtId="0" fontId="23" fillId="33" borderId="0" xfId="0" applyFont="1" applyFill="1" applyAlignment="1">
      <alignment vertical="center"/>
    </xf>
    <xf numFmtId="0" fontId="24" fillId="36" borderId="0" xfId="0" applyFont="1" applyFill="1" applyAlignment="1">
      <alignment vertical="center"/>
    </xf>
    <xf numFmtId="1" fontId="20" fillId="33" borderId="0" xfId="0" applyNumberFormat="1" applyFont="1" applyFill="1" applyBorder="1" applyAlignment="1">
      <alignment horizontal="center"/>
    </xf>
    <xf numFmtId="0" fontId="0" fillId="33" borderId="34" xfId="0" applyFill="1" applyBorder="1"/>
    <xf numFmtId="0" fontId="25" fillId="33" borderId="10" xfId="0" applyFont="1" applyFill="1" applyBorder="1"/>
    <xf numFmtId="0" fontId="22" fillId="33" borderId="18" xfId="0" applyFont="1" applyFill="1" applyBorder="1"/>
    <xf numFmtId="0" fontId="26" fillId="35" borderId="0" xfId="0" applyFont="1" applyFill="1"/>
    <xf numFmtId="0" fontId="27" fillId="33" borderId="0" xfId="0" applyFont="1" applyFill="1"/>
    <xf numFmtId="0" fontId="21" fillId="33" borderId="0" xfId="0" applyFont="1" applyFill="1" applyBorder="1"/>
    <xf numFmtId="0" fontId="20" fillId="33" borderId="28" xfId="0" applyFont="1" applyFill="1" applyBorder="1" applyAlignment="1">
      <alignment horizontal="center"/>
    </xf>
    <xf numFmtId="0" fontId="20" fillId="33" borderId="31" xfId="0" applyFont="1" applyFill="1" applyBorder="1" applyAlignment="1">
      <alignment horizontal="center"/>
    </xf>
    <xf numFmtId="0" fontId="20" fillId="33" borderId="33" xfId="0" applyFont="1" applyFill="1" applyBorder="1" applyAlignment="1">
      <alignment horizontal="center"/>
    </xf>
    <xf numFmtId="0" fontId="22" fillId="33" borderId="0" xfId="0" applyFont="1" applyFill="1"/>
    <xf numFmtId="0" fontId="22" fillId="33" borderId="0" xfId="0" applyFont="1" applyFill="1" applyAlignment="1">
      <alignment horizontal="center"/>
    </xf>
    <xf numFmtId="0" fontId="22" fillId="33" borderId="0" xfId="0" applyFont="1" applyFill="1" applyBorder="1" applyAlignment="1">
      <alignment horizontal="center"/>
    </xf>
    <xf numFmtId="0" fontId="22" fillId="33" borderId="0" xfId="0" applyFont="1" applyFill="1" applyAlignment="1">
      <alignment vertical="center"/>
    </xf>
    <xf numFmtId="0" fontId="25" fillId="33" borderId="0" xfId="0" applyFont="1" applyFill="1" applyBorder="1"/>
    <xf numFmtId="1" fontId="25" fillId="33" borderId="0" xfId="0" applyNumberFormat="1" applyFont="1" applyFill="1" applyBorder="1" applyAlignment="1">
      <alignment horizontal="center"/>
    </xf>
    <xf numFmtId="2" fontId="25" fillId="33" borderId="0" xfId="0" applyNumberFormat="1" applyFont="1" applyFill="1" applyBorder="1" applyAlignment="1">
      <alignment horizontal="center"/>
    </xf>
    <xf numFmtId="0" fontId="22" fillId="33" borderId="0" xfId="0" applyFont="1" applyFill="1" applyAlignment="1"/>
    <xf numFmtId="0" fontId="25" fillId="33" borderId="13" xfId="0" applyFont="1" applyFill="1" applyBorder="1" applyAlignment="1">
      <alignment vertical="center"/>
    </xf>
    <xf numFmtId="2" fontId="22" fillId="33" borderId="28" xfId="0" applyNumberFormat="1" applyFont="1" applyFill="1" applyBorder="1" applyAlignment="1">
      <alignment horizontal="center" vertical="center"/>
    </xf>
    <xf numFmtId="1" fontId="22" fillId="33" borderId="28" xfId="0" applyNumberFormat="1" applyFont="1" applyFill="1" applyBorder="1" applyAlignment="1">
      <alignment horizontal="center" vertical="center"/>
    </xf>
    <xf numFmtId="2" fontId="22" fillId="33" borderId="26" xfId="0" applyNumberFormat="1" applyFont="1" applyFill="1" applyBorder="1" applyAlignment="1">
      <alignment horizontal="center" vertical="center"/>
    </xf>
    <xf numFmtId="2" fontId="22" fillId="33" borderId="29" xfId="0" applyNumberFormat="1" applyFont="1" applyFill="1" applyBorder="1" applyAlignment="1">
      <alignment horizontal="center" vertical="center"/>
    </xf>
    <xf numFmtId="2" fontId="22" fillId="33" borderId="32" xfId="0" applyNumberFormat="1" applyFont="1" applyFill="1" applyBorder="1" applyAlignment="1">
      <alignment horizontal="center" vertical="center"/>
    </xf>
    <xf numFmtId="1" fontId="22" fillId="33" borderId="31" xfId="0" applyNumberFormat="1" applyFont="1" applyFill="1" applyBorder="1" applyAlignment="1">
      <alignment horizontal="center" vertical="center"/>
    </xf>
    <xf numFmtId="2" fontId="22" fillId="33" borderId="33" xfId="0" applyNumberFormat="1" applyFont="1" applyFill="1" applyBorder="1" applyAlignment="1">
      <alignment horizontal="center" vertical="center"/>
    </xf>
    <xf numFmtId="1" fontId="25" fillId="33" borderId="10" xfId="0" applyNumberFormat="1" applyFont="1" applyFill="1" applyBorder="1" applyAlignment="1">
      <alignment horizontal="center" vertical="center"/>
    </xf>
    <xf numFmtId="0" fontId="22" fillId="33" borderId="36" xfId="0" applyFont="1" applyFill="1" applyBorder="1" applyAlignment="1">
      <alignment horizontal="center" vertical="center"/>
    </xf>
    <xf numFmtId="0" fontId="22" fillId="33" borderId="40" xfId="0" applyFont="1" applyFill="1" applyBorder="1" applyAlignment="1">
      <alignment horizontal="center" vertical="center"/>
    </xf>
    <xf numFmtId="1" fontId="25" fillId="33" borderId="15" xfId="0" applyNumberFormat="1" applyFont="1" applyFill="1" applyBorder="1" applyAlignment="1">
      <alignment horizontal="center" vertical="center"/>
    </xf>
    <xf numFmtId="0" fontId="22" fillId="33" borderId="41" xfId="0" applyFont="1" applyFill="1" applyBorder="1" applyAlignment="1">
      <alignment vertical="center"/>
    </xf>
    <xf numFmtId="0" fontId="22" fillId="33" borderId="42" xfId="0" applyFont="1" applyFill="1" applyBorder="1" applyAlignment="1">
      <alignment vertical="center"/>
    </xf>
    <xf numFmtId="0" fontId="22" fillId="33" borderId="43" xfId="0" applyFont="1" applyFill="1" applyBorder="1" applyAlignment="1">
      <alignment vertical="center"/>
    </xf>
    <xf numFmtId="0" fontId="22" fillId="33" borderId="27" xfId="0" applyFont="1" applyFill="1" applyBorder="1" applyAlignment="1">
      <alignment horizontal="center" vertical="center"/>
    </xf>
    <xf numFmtId="0" fontId="22" fillId="33" borderId="30" xfId="0" applyFont="1" applyFill="1" applyBorder="1" applyAlignment="1">
      <alignment horizontal="center" vertical="center"/>
    </xf>
    <xf numFmtId="2" fontId="22" fillId="33" borderId="25" xfId="0" quotePrefix="1" applyNumberFormat="1" applyFont="1" applyFill="1" applyBorder="1" applyAlignment="1">
      <alignment horizontal="center" vertical="center"/>
    </xf>
    <xf numFmtId="2" fontId="22" fillId="33" borderId="27" xfId="0" quotePrefix="1" applyNumberFormat="1" applyFont="1" applyFill="1" applyBorder="1" applyAlignment="1">
      <alignment horizontal="center" vertical="center"/>
    </xf>
    <xf numFmtId="2" fontId="22" fillId="33" borderId="27" xfId="0" applyNumberFormat="1" applyFont="1" applyFill="1" applyBorder="1" applyAlignment="1">
      <alignment horizontal="center" vertical="center"/>
    </xf>
    <xf numFmtId="2" fontId="22" fillId="33" borderId="39" xfId="0" applyNumberFormat="1" applyFont="1" applyFill="1" applyBorder="1" applyAlignment="1">
      <alignment horizontal="center" vertical="center"/>
    </xf>
    <xf numFmtId="2" fontId="25" fillId="33" borderId="10" xfId="0" applyNumberFormat="1" applyFont="1" applyFill="1" applyBorder="1" applyAlignment="1">
      <alignment horizontal="center" vertical="center"/>
    </xf>
    <xf numFmtId="0" fontId="28" fillId="37" borderId="22" xfId="0" applyFont="1" applyFill="1" applyBorder="1"/>
    <xf numFmtId="0" fontId="29" fillId="37" borderId="22" xfId="0" applyFont="1" applyFill="1" applyBorder="1" applyAlignment="1">
      <alignment horizontal="left" vertical="center" wrapText="1"/>
    </xf>
    <xf numFmtId="22" fontId="29" fillId="37" borderId="15" xfId="0" applyNumberFormat="1" applyFont="1" applyFill="1" applyBorder="1" applyAlignment="1">
      <alignment horizontal="center" vertical="center"/>
    </xf>
    <xf numFmtId="22" fontId="29" fillId="37" borderId="20" xfId="0" applyNumberFormat="1" applyFont="1" applyFill="1" applyBorder="1" applyAlignment="1">
      <alignment horizontal="center" vertical="center"/>
    </xf>
    <xf numFmtId="22" fontId="29" fillId="37" borderId="16" xfId="0" applyNumberFormat="1" applyFont="1" applyFill="1" applyBorder="1" applyAlignment="1">
      <alignment horizontal="center" vertical="center"/>
    </xf>
    <xf numFmtId="22" fontId="13" fillId="37" borderId="10" xfId="0" applyNumberFormat="1" applyFont="1" applyFill="1" applyBorder="1" applyAlignment="1">
      <alignment horizontal="center" vertical="center"/>
    </xf>
    <xf numFmtId="0" fontId="25" fillId="33" borderId="10" xfId="0" applyFont="1" applyFill="1" applyBorder="1" applyAlignment="1">
      <alignment vertical="center"/>
    </xf>
    <xf numFmtId="0" fontId="22" fillId="33" borderId="44" xfId="0" applyFont="1" applyFill="1" applyBorder="1" applyAlignment="1">
      <alignment horizontal="center" vertical="center"/>
    </xf>
    <xf numFmtId="0" fontId="22" fillId="33" borderId="38" xfId="0" applyFont="1" applyFill="1" applyBorder="1" applyAlignment="1">
      <alignment horizontal="center" vertical="center"/>
    </xf>
    <xf numFmtId="0" fontId="22" fillId="33" borderId="35" xfId="0" quotePrefix="1" applyFont="1" applyFill="1" applyBorder="1" applyAlignment="1">
      <alignment horizontal="center" vertical="center"/>
    </xf>
    <xf numFmtId="0" fontId="22" fillId="33" borderId="36" xfId="0" quotePrefix="1" applyFont="1" applyFill="1" applyBorder="1" applyAlignment="1">
      <alignment horizontal="center" vertical="center"/>
    </xf>
    <xf numFmtId="0" fontId="22" fillId="33" borderId="37" xfId="0" quotePrefix="1" applyFont="1" applyFill="1" applyBorder="1" applyAlignment="1">
      <alignment horizontal="center" vertical="center"/>
    </xf>
    <xf numFmtId="0" fontId="20" fillId="33" borderId="0" xfId="0" applyFont="1" applyFill="1" applyBorder="1"/>
    <xf numFmtId="0" fontId="20" fillId="33" borderId="0" xfId="0" applyFont="1" applyFill="1" applyBorder="1" applyAlignment="1">
      <alignment horizontal="center"/>
    </xf>
    <xf numFmtId="0" fontId="21" fillId="33" borderId="0" xfId="0" applyFont="1" applyFill="1" applyBorder="1" applyAlignment="1">
      <alignment horizontal="center"/>
    </xf>
    <xf numFmtId="10" fontId="21" fillId="33" borderId="0" xfId="42" applyNumberFormat="1" applyFont="1" applyFill="1" applyBorder="1" applyAlignment="1">
      <alignment horizontal="center"/>
    </xf>
    <xf numFmtId="0" fontId="20" fillId="33" borderId="34" xfId="0" applyFont="1" applyFill="1" applyBorder="1"/>
    <xf numFmtId="0" fontId="20" fillId="33" borderId="34" xfId="0" applyFont="1" applyFill="1" applyBorder="1" applyAlignment="1">
      <alignment horizontal="center"/>
    </xf>
    <xf numFmtId="0" fontId="20" fillId="33" borderId="27" xfId="0" applyFont="1" applyFill="1" applyBorder="1"/>
    <xf numFmtId="0" fontId="20" fillId="33" borderId="30" xfId="0" applyFont="1" applyFill="1" applyBorder="1"/>
    <xf numFmtId="10" fontId="20" fillId="33" borderId="32" xfId="42" applyNumberFormat="1" applyFont="1" applyFill="1" applyBorder="1" applyAlignment="1">
      <alignment horizontal="center"/>
    </xf>
    <xf numFmtId="0" fontId="0" fillId="33" borderId="0" xfId="0" applyFill="1" applyAlignment="1">
      <alignment horizontal="center"/>
    </xf>
    <xf numFmtId="0" fontId="28" fillId="37" borderId="24" xfId="0" applyFont="1" applyFill="1" applyBorder="1" applyAlignment="1">
      <alignment horizontal="center"/>
    </xf>
    <xf numFmtId="22" fontId="0" fillId="33" borderId="0" xfId="0" applyNumberFormat="1" applyFill="1"/>
    <xf numFmtId="0" fontId="27" fillId="33" borderId="25" xfId="0" applyFont="1" applyFill="1" applyBorder="1" applyAlignment="1">
      <alignment horizontal="center"/>
    </xf>
    <xf numFmtId="0" fontId="27" fillId="33" borderId="26" xfId="0" applyFont="1" applyFill="1" applyBorder="1" applyAlignment="1">
      <alignment horizontal="center"/>
    </xf>
    <xf numFmtId="0" fontId="27" fillId="33" borderId="29" xfId="0" applyFont="1" applyFill="1" applyBorder="1" applyAlignment="1">
      <alignment horizontal="center"/>
    </xf>
    <xf numFmtId="0" fontId="27" fillId="33" borderId="31" xfId="0" applyFont="1" applyFill="1" applyBorder="1" applyAlignment="1">
      <alignment horizontal="center"/>
    </xf>
    <xf numFmtId="10" fontId="27" fillId="33" borderId="31" xfId="0" applyNumberFormat="1" applyFont="1" applyFill="1" applyBorder="1" applyAlignment="1">
      <alignment horizontal="center"/>
    </xf>
    <xf numFmtId="10" fontId="27" fillId="33" borderId="33" xfId="0" applyNumberFormat="1" applyFont="1" applyFill="1" applyBorder="1" applyAlignment="1">
      <alignment horizontal="center"/>
    </xf>
    <xf numFmtId="10" fontId="28" fillId="37" borderId="43" xfId="0" applyNumberFormat="1" applyFont="1" applyFill="1" applyBorder="1"/>
    <xf numFmtId="0" fontId="28" fillId="37" borderId="41" xfId="0" applyFont="1" applyFill="1" applyBorder="1"/>
    <xf numFmtId="0" fontId="28" fillId="37" borderId="43" xfId="0" applyFont="1" applyFill="1" applyBorder="1"/>
    <xf numFmtId="0" fontId="27" fillId="33" borderId="28" xfId="0" applyFont="1" applyFill="1" applyBorder="1" applyAlignment="1">
      <alignment horizontal="center"/>
    </xf>
    <xf numFmtId="0" fontId="27" fillId="33" borderId="27" xfId="0" applyFont="1" applyFill="1" applyBorder="1" applyAlignment="1">
      <alignment horizontal="center"/>
    </xf>
    <xf numFmtId="0" fontId="27" fillId="33" borderId="32" xfId="0" applyFont="1" applyFill="1" applyBorder="1" applyAlignment="1">
      <alignment horizontal="center"/>
    </xf>
    <xf numFmtId="10" fontId="27" fillId="33" borderId="30" xfId="0" applyNumberFormat="1" applyFont="1" applyFill="1" applyBorder="1" applyAlignment="1">
      <alignment horizontal="center"/>
    </xf>
    <xf numFmtId="10" fontId="20" fillId="33" borderId="33" xfId="42" applyNumberFormat="1" applyFont="1" applyFill="1" applyBorder="1" applyAlignment="1">
      <alignment horizontal="center"/>
    </xf>
    <xf numFmtId="22" fontId="0" fillId="33" borderId="34" xfId="0" applyNumberFormat="1" applyFill="1" applyBorder="1"/>
    <xf numFmtId="0" fontId="28" fillId="37" borderId="25" xfId="0" applyFont="1" applyFill="1" applyBorder="1"/>
    <xf numFmtId="0" fontId="28" fillId="37" borderId="26" xfId="0" applyFont="1" applyFill="1" applyBorder="1" applyAlignment="1">
      <alignment horizontal="center"/>
    </xf>
    <xf numFmtId="0" fontId="28" fillId="37" borderId="29" xfId="0" applyFont="1" applyFill="1" applyBorder="1" applyAlignment="1">
      <alignment horizontal="center"/>
    </xf>
    <xf numFmtId="0" fontId="28" fillId="37" borderId="23" xfId="0" applyFont="1" applyFill="1" applyBorder="1" applyAlignment="1">
      <alignment horizontal="center"/>
    </xf>
    <xf numFmtId="0" fontId="24" fillId="37" borderId="0" xfId="0" applyFont="1" applyFill="1" applyAlignment="1">
      <alignment horizontal="left" vertical="center"/>
    </xf>
    <xf numFmtId="20" fontId="30" fillId="33" borderId="0" xfId="0" applyNumberFormat="1" applyFont="1" applyFill="1"/>
    <xf numFmtId="0" fontId="20" fillId="33" borderId="0" xfId="0" applyFont="1" applyFill="1"/>
    <xf numFmtId="22" fontId="20" fillId="33" borderId="0" xfId="0" applyNumberFormat="1" applyFont="1" applyFill="1" applyAlignment="1">
      <alignment horizontal="left"/>
    </xf>
    <xf numFmtId="2" fontId="20" fillId="33" borderId="0" xfId="0" applyNumberFormat="1" applyFont="1" applyFill="1" applyAlignment="1">
      <alignment horizontal="left"/>
    </xf>
    <xf numFmtId="0" fontId="20" fillId="33" borderId="0" xfId="0" applyFont="1" applyFill="1" applyAlignment="1">
      <alignment horizontal="left"/>
    </xf>
    <xf numFmtId="20" fontId="20" fillId="33" borderId="0" xfId="0" applyNumberFormat="1" applyFont="1" applyFill="1" applyAlignment="1">
      <alignment horizontal="left"/>
    </xf>
    <xf numFmtId="14" fontId="20" fillId="33" borderId="0" xfId="0" applyNumberFormat="1" applyFont="1" applyFill="1"/>
    <xf numFmtId="20" fontId="20" fillId="33" borderId="0" xfId="0" applyNumberFormat="1" applyFont="1" applyFill="1"/>
    <xf numFmtId="45" fontId="20" fillId="33" borderId="0" xfId="0" applyNumberFormat="1" applyFont="1" applyFill="1" applyAlignment="1">
      <alignment horizontal="left"/>
    </xf>
    <xf numFmtId="0" fontId="24" fillId="37" borderId="0" xfId="0" applyFont="1" applyFill="1" applyBorder="1" applyAlignment="1">
      <alignment horizontal="center" vertical="center"/>
    </xf>
    <xf numFmtId="20" fontId="20" fillId="33" borderId="0" xfId="0" applyNumberFormat="1" applyFont="1" applyFill="1" applyBorder="1" applyAlignment="1">
      <alignment horizontal="center"/>
    </xf>
    <xf numFmtId="0" fontId="24" fillId="37" borderId="0" xfId="0" applyFont="1" applyFill="1" applyBorder="1" applyAlignment="1">
      <alignment horizontal="left" vertical="center"/>
    </xf>
    <xf numFmtId="20" fontId="20" fillId="33" borderId="0" xfId="0" applyNumberFormat="1" applyFont="1" applyFill="1" applyBorder="1" applyAlignment="1">
      <alignment horizontal="left"/>
    </xf>
    <xf numFmtId="20" fontId="20" fillId="33" borderId="0" xfId="0" applyNumberFormat="1" applyFont="1" applyFill="1" applyBorder="1" applyAlignment="1"/>
    <xf numFmtId="44" fontId="22" fillId="35" borderId="0" xfId="43" applyFont="1" applyFill="1"/>
    <xf numFmtId="10" fontId="27" fillId="33" borderId="28" xfId="42" applyNumberFormat="1" applyFont="1" applyFill="1" applyBorder="1" applyAlignment="1">
      <alignment horizontal="center"/>
    </xf>
    <xf numFmtId="2" fontId="27" fillId="33" borderId="28" xfId="0" applyNumberFormat="1" applyFont="1" applyFill="1" applyBorder="1" applyAlignment="1">
      <alignment horizontal="center"/>
    </xf>
    <xf numFmtId="0" fontId="23" fillId="0" borderId="0" xfId="0" applyFont="1"/>
    <xf numFmtId="0" fontId="23" fillId="0" borderId="0" xfId="0" applyFont="1" applyBorder="1" applyAlignment="1"/>
    <xf numFmtId="0" fontId="31" fillId="0" borderId="15" xfId="0" applyFont="1" applyBorder="1"/>
    <xf numFmtId="0" fontId="31" fillId="0" borderId="16" xfId="0" applyFont="1" applyBorder="1"/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0" fontId="31" fillId="0" borderId="0" xfId="0" applyFont="1"/>
    <xf numFmtId="0" fontId="23" fillId="0" borderId="11" xfId="0" applyFont="1" applyBorder="1"/>
    <xf numFmtId="0" fontId="23" fillId="0" borderId="12" xfId="0" applyFont="1" applyBorder="1"/>
    <xf numFmtId="0" fontId="23" fillId="0" borderId="0" xfId="0" applyFont="1" applyBorder="1" applyAlignment="1">
      <alignment horizontal="center"/>
    </xf>
    <xf numFmtId="22" fontId="23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3" fillId="0" borderId="0" xfId="0" applyFont="1" applyBorder="1"/>
    <xf numFmtId="0" fontId="23" fillId="0" borderId="13" xfId="0" applyFont="1" applyBorder="1"/>
    <xf numFmtId="0" fontId="23" fillId="0" borderId="14" xfId="0" applyFont="1" applyBorder="1"/>
    <xf numFmtId="14" fontId="23" fillId="0" borderId="0" xfId="0" applyNumberFormat="1" applyFont="1"/>
    <xf numFmtId="0" fontId="25" fillId="33" borderId="28" xfId="0" applyFont="1" applyFill="1" applyBorder="1"/>
    <xf numFmtId="0" fontId="22" fillId="33" borderId="47" xfId="0" applyFont="1" applyFill="1" applyBorder="1"/>
    <xf numFmtId="0" fontId="22" fillId="33" borderId="45" xfId="0" applyFont="1" applyFill="1" applyBorder="1"/>
    <xf numFmtId="0" fontId="27" fillId="33" borderId="47" xfId="0" applyFont="1" applyFill="1" applyBorder="1"/>
    <xf numFmtId="0" fontId="20" fillId="33" borderId="48" xfId="0" applyFont="1" applyFill="1" applyBorder="1"/>
    <xf numFmtId="0" fontId="20" fillId="33" borderId="46" xfId="0" applyFont="1" applyFill="1" applyBorder="1" applyAlignment="1">
      <alignment horizontal="center"/>
    </xf>
    <xf numFmtId="0" fontId="20" fillId="33" borderId="49" xfId="0" applyFont="1" applyFill="1" applyBorder="1" applyAlignment="1">
      <alignment horizontal="center"/>
    </xf>
    <xf numFmtId="10" fontId="20" fillId="33" borderId="49" xfId="42" applyNumberFormat="1" applyFont="1" applyFill="1" applyBorder="1" applyAlignment="1">
      <alignment horizontal="center"/>
    </xf>
    <xf numFmtId="11" fontId="0" fillId="0" borderId="0" xfId="0" applyNumberFormat="1"/>
    <xf numFmtId="0" fontId="27" fillId="33" borderId="50" xfId="0" applyFont="1" applyFill="1" applyBorder="1"/>
    <xf numFmtId="0" fontId="27" fillId="33" borderId="54" xfId="0" applyFont="1" applyFill="1" applyBorder="1" applyAlignment="1">
      <alignment horizontal="center"/>
    </xf>
    <xf numFmtId="0" fontId="27" fillId="33" borderId="60" xfId="0" applyFont="1" applyFill="1" applyBorder="1"/>
    <xf numFmtId="0" fontId="27" fillId="33" borderId="61" xfId="0" applyFont="1" applyFill="1" applyBorder="1"/>
    <xf numFmtId="0" fontId="27" fillId="33" borderId="63" xfId="0" applyFont="1" applyFill="1" applyBorder="1" applyAlignment="1">
      <alignment horizontal="center"/>
    </xf>
    <xf numFmtId="0" fontId="27" fillId="33" borderId="64" xfId="0" applyFont="1" applyFill="1" applyBorder="1" applyAlignment="1">
      <alignment horizontal="center"/>
    </xf>
    <xf numFmtId="0" fontId="27" fillId="33" borderId="65" xfId="0" applyFont="1" applyFill="1" applyBorder="1"/>
    <xf numFmtId="0" fontId="27" fillId="33" borderId="66" xfId="0" applyFont="1" applyFill="1" applyBorder="1" applyAlignment="1">
      <alignment horizontal="center"/>
    </xf>
    <xf numFmtId="0" fontId="0" fillId="33" borderId="61" xfId="0" applyFill="1" applyBorder="1"/>
    <xf numFmtId="2" fontId="27" fillId="33" borderId="54" xfId="0" applyNumberFormat="1" applyFont="1" applyFill="1" applyBorder="1" applyAlignment="1">
      <alignment horizontal="center"/>
    </xf>
    <xf numFmtId="0" fontId="27" fillId="33" borderId="53" xfId="0" applyFont="1" applyFill="1" applyBorder="1"/>
    <xf numFmtId="10" fontId="27" fillId="33" borderId="31" xfId="42" applyNumberFormat="1" applyFont="1" applyFill="1" applyBorder="1" applyAlignment="1">
      <alignment horizontal="center"/>
    </xf>
    <xf numFmtId="2" fontId="27" fillId="33" borderId="31" xfId="0" applyNumberFormat="1" applyFont="1" applyFill="1" applyBorder="1" applyAlignment="1">
      <alignment horizontal="center"/>
    </xf>
    <xf numFmtId="2" fontId="27" fillId="33" borderId="55" xfId="0" applyNumberFormat="1" applyFont="1" applyFill="1" applyBorder="1" applyAlignment="1">
      <alignment horizontal="center"/>
    </xf>
    <xf numFmtId="0" fontId="27" fillId="33" borderId="51" xfId="0" applyFont="1" applyFill="1" applyBorder="1"/>
    <xf numFmtId="0" fontId="27" fillId="33" borderId="45" xfId="0" applyFont="1" applyFill="1" applyBorder="1" applyAlignment="1">
      <alignment horizontal="center"/>
    </xf>
    <xf numFmtId="10" fontId="27" fillId="33" borderId="45" xfId="42" applyNumberFormat="1" applyFont="1" applyFill="1" applyBorder="1" applyAlignment="1">
      <alignment horizontal="center"/>
    </xf>
    <xf numFmtId="2" fontId="27" fillId="33" borderId="45" xfId="0" applyNumberFormat="1" applyFont="1" applyFill="1" applyBorder="1" applyAlignment="1">
      <alignment horizontal="center"/>
    </xf>
    <xf numFmtId="2" fontId="27" fillId="33" borderId="52" xfId="0" applyNumberFormat="1" applyFont="1" applyFill="1" applyBorder="1" applyAlignment="1">
      <alignment horizontal="center"/>
    </xf>
    <xf numFmtId="164" fontId="27" fillId="33" borderId="46" xfId="0" applyNumberFormat="1" applyFont="1" applyFill="1" applyBorder="1" applyAlignment="1">
      <alignment horizontal="center" vertical="center"/>
    </xf>
    <xf numFmtId="164" fontId="27" fillId="33" borderId="45" xfId="0" applyNumberFormat="1" applyFont="1" applyFill="1" applyBorder="1" applyAlignment="1">
      <alignment horizontal="center" vertical="center"/>
    </xf>
    <xf numFmtId="0" fontId="0" fillId="33" borderId="46" xfId="0" applyFill="1" applyBorder="1" applyAlignment="1">
      <alignment horizontal="center"/>
    </xf>
    <xf numFmtId="0" fontId="0" fillId="33" borderId="45" xfId="0" applyFill="1" applyBorder="1" applyAlignment="1">
      <alignment horizontal="center"/>
    </xf>
    <xf numFmtId="0" fontId="28" fillId="37" borderId="22" xfId="0" applyFont="1" applyFill="1" applyBorder="1" applyAlignment="1">
      <alignment horizontal="center"/>
    </xf>
    <xf numFmtId="0" fontId="28" fillId="37" borderId="24" xfId="0" applyFont="1" applyFill="1" applyBorder="1" applyAlignment="1">
      <alignment horizontal="center"/>
    </xf>
    <xf numFmtId="0" fontId="19" fillId="33" borderId="22" xfId="0" applyFont="1" applyFill="1" applyBorder="1" applyAlignment="1">
      <alignment horizontal="center" vertical="center" wrapText="1"/>
    </xf>
    <xf numFmtId="0" fontId="19" fillId="33" borderId="24" xfId="0" applyFont="1" applyFill="1" applyBorder="1" applyAlignment="1">
      <alignment horizontal="center" vertical="center" wrapText="1"/>
    </xf>
    <xf numFmtId="0" fontId="19" fillId="33" borderId="13" xfId="0" applyFont="1" applyFill="1" applyBorder="1" applyAlignment="1">
      <alignment horizontal="center" vertical="center" wrapText="1"/>
    </xf>
    <xf numFmtId="0" fontId="19" fillId="33" borderId="14" xfId="0" applyFont="1" applyFill="1" applyBorder="1" applyAlignment="1">
      <alignment horizontal="center" vertical="center" wrapText="1"/>
    </xf>
    <xf numFmtId="0" fontId="24" fillId="37" borderId="15" xfId="0" applyFont="1" applyFill="1" applyBorder="1" applyAlignment="1">
      <alignment horizontal="center" vertical="center"/>
    </xf>
    <xf numFmtId="0" fontId="24" fillId="37" borderId="16" xfId="0" applyFont="1" applyFill="1" applyBorder="1" applyAlignment="1">
      <alignment horizontal="center" vertical="center"/>
    </xf>
    <xf numFmtId="2" fontId="19" fillId="33" borderId="22" xfId="0" applyNumberFormat="1" applyFont="1" applyFill="1" applyBorder="1" applyAlignment="1">
      <alignment horizontal="center" vertical="center" wrapText="1"/>
    </xf>
    <xf numFmtId="2" fontId="19" fillId="33" borderId="24" xfId="0" applyNumberFormat="1" applyFont="1" applyFill="1" applyBorder="1" applyAlignment="1">
      <alignment horizontal="center" vertical="center" wrapText="1"/>
    </xf>
    <xf numFmtId="2" fontId="19" fillId="33" borderId="13" xfId="0" applyNumberFormat="1" applyFont="1" applyFill="1" applyBorder="1" applyAlignment="1">
      <alignment horizontal="center" vertical="center" wrapText="1"/>
    </xf>
    <xf numFmtId="2" fontId="19" fillId="33" borderId="14" xfId="0" applyNumberFormat="1" applyFont="1" applyFill="1" applyBorder="1" applyAlignment="1">
      <alignment horizontal="center" vertical="center" wrapText="1"/>
    </xf>
    <xf numFmtId="0" fontId="28" fillId="37" borderId="56" xfId="0" applyFont="1" applyFill="1" applyBorder="1" applyAlignment="1">
      <alignment horizontal="center" vertical="center"/>
    </xf>
    <xf numFmtId="0" fontId="28" fillId="37" borderId="57" xfId="0" applyFont="1" applyFill="1" applyBorder="1" applyAlignment="1">
      <alignment horizontal="center" vertical="center"/>
    </xf>
    <xf numFmtId="0" fontId="28" fillId="37" borderId="58" xfId="0" applyFont="1" applyFill="1" applyBorder="1" applyAlignment="1">
      <alignment horizontal="center" vertical="center"/>
    </xf>
    <xf numFmtId="0" fontId="28" fillId="37" borderId="59" xfId="0" applyFont="1" applyFill="1" applyBorder="1" applyAlignment="1">
      <alignment horizontal="center" vertical="center"/>
    </xf>
    <xf numFmtId="0" fontId="28" fillId="37" borderId="62" xfId="0" applyFont="1" applyFill="1" applyBorder="1" applyAlignment="1">
      <alignment horizontal="center" vertic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3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1">
                <a:latin typeface="Sky Text" panose="020B0506040202020204" pitchFamily="34" charset="0"/>
              </a:rPr>
              <a:t>Price Requests - Day/Time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243965168987248E-2"/>
          <c:y val="0.17097909629606137"/>
          <c:w val="0.96065596654795882"/>
          <c:h val="0.66507655528949083"/>
        </c:manualLayout>
      </c:layout>
      <c:lineChart>
        <c:grouping val="standard"/>
        <c:varyColors val="0"/>
        <c:ser>
          <c:idx val="0"/>
          <c:order val="0"/>
          <c:tx>
            <c:strRef>
              <c:f>'Week Overview'!$B$3</c:f>
              <c:strCache>
                <c:ptCount val="1"/>
                <c:pt idx="0">
                  <c:v>Monday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'Week Overview'!$C$2:$Z$2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'Week Overview'!$C$3:$Z$3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4-4492-BCB4-F513FED942B9}"/>
            </c:ext>
          </c:extLst>
        </c:ser>
        <c:ser>
          <c:idx val="1"/>
          <c:order val="1"/>
          <c:tx>
            <c:strRef>
              <c:f>'Week Overview'!$B$4</c:f>
              <c:strCache>
                <c:ptCount val="1"/>
                <c:pt idx="0">
                  <c:v>Tuesday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'Week Overview'!$C$2:$Z$2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'Week Overview'!$C$4:$Z$4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64-4492-BCB4-F513FED942B9}"/>
            </c:ext>
          </c:extLst>
        </c:ser>
        <c:ser>
          <c:idx val="2"/>
          <c:order val="2"/>
          <c:tx>
            <c:strRef>
              <c:f>'Week Overview'!$B$5</c:f>
              <c:strCache>
                <c:ptCount val="1"/>
                <c:pt idx="0">
                  <c:v>Wednesday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'Week Overview'!$C$2:$Z$2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'Week Overview'!$C$5:$Z$5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64-4492-BCB4-F513FED942B9}"/>
            </c:ext>
          </c:extLst>
        </c:ser>
        <c:ser>
          <c:idx val="3"/>
          <c:order val="3"/>
          <c:tx>
            <c:strRef>
              <c:f>'Week Overview'!$B$6</c:f>
              <c:strCache>
                <c:ptCount val="1"/>
                <c:pt idx="0">
                  <c:v>Thursday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'Week Overview'!$C$2:$Z$2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'Week Overview'!$C$6:$Z$6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64-4492-BCB4-F513FED942B9}"/>
            </c:ext>
          </c:extLst>
        </c:ser>
        <c:ser>
          <c:idx val="4"/>
          <c:order val="4"/>
          <c:tx>
            <c:strRef>
              <c:f>'Week Overview'!$B$7</c:f>
              <c:strCache>
                <c:ptCount val="1"/>
                <c:pt idx="0">
                  <c:v>Friday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'Week Overview'!$C$2:$Z$2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'Week Overview'!$C$7:$Z$7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64-4492-BCB4-F513FED942B9}"/>
            </c:ext>
          </c:extLst>
        </c:ser>
        <c:ser>
          <c:idx val="5"/>
          <c:order val="5"/>
          <c:tx>
            <c:strRef>
              <c:f>'Week Overview'!$B$8</c:f>
              <c:strCache>
                <c:ptCount val="1"/>
                <c:pt idx="0">
                  <c:v>Saturday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'Week Overview'!$C$2:$Z$2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'Week Overview'!$C$8:$Z$8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64-4492-BCB4-F513FED942B9}"/>
            </c:ext>
          </c:extLst>
        </c:ser>
        <c:ser>
          <c:idx val="6"/>
          <c:order val="6"/>
          <c:tx>
            <c:strRef>
              <c:f>'Week Overview'!$B$9</c:f>
              <c:strCache>
                <c:ptCount val="1"/>
                <c:pt idx="0">
                  <c:v>Sunday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'Week Overview'!$C$2:$Z$2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'Week Overview'!$C$9:$Z$9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64-4492-BCB4-F513FED94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3737792"/>
        <c:axId val="943740744"/>
      </c:lineChart>
      <c:catAx>
        <c:axId val="9437377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740744"/>
        <c:crosses val="autoZero"/>
        <c:auto val="1"/>
        <c:lblAlgn val="ctr"/>
        <c:lblOffset val="100"/>
        <c:noMultiLvlLbl val="0"/>
      </c:catAx>
      <c:valAx>
        <c:axId val="943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73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57150</xdr:rowOff>
        </xdr:from>
        <xdr:to>
          <xdr:col>1</xdr:col>
          <xdr:colOff>3009900</xdr:colOff>
          <xdr:row>7</xdr:row>
          <xdr:rowOff>47625</xdr:rowOff>
        </xdr:to>
        <xdr:sp macro="" textlink="">
          <xdr:nvSpPr>
            <xdr:cNvPr id="9217" name="dataImport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7</xdr:row>
          <xdr:rowOff>123825</xdr:rowOff>
        </xdr:from>
        <xdr:to>
          <xdr:col>2</xdr:col>
          <xdr:colOff>9525</xdr:colOff>
          <xdr:row>13</xdr:row>
          <xdr:rowOff>142875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266699</xdr:colOff>
      <xdr:row>0</xdr:row>
      <xdr:rowOff>190501</xdr:rowOff>
    </xdr:from>
    <xdr:to>
      <xdr:col>15</xdr:col>
      <xdr:colOff>10584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161925</xdr:colOff>
          <xdr:row>2</xdr:row>
          <xdr:rowOff>66675</xdr:rowOff>
        </xdr:from>
        <xdr:to>
          <xdr:col>17</xdr:col>
          <xdr:colOff>1495425</xdr:colOff>
          <xdr:row>3</xdr:row>
          <xdr:rowOff>152400</xdr:rowOff>
        </xdr:to>
        <xdr:sp macro="" textlink="">
          <xdr:nvSpPr>
            <xdr:cNvPr id="10251" name="CommandButton5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5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161925</xdr:colOff>
          <xdr:row>4</xdr:row>
          <xdr:rowOff>66675</xdr:rowOff>
        </xdr:from>
        <xdr:to>
          <xdr:col>17</xdr:col>
          <xdr:colOff>1495425</xdr:colOff>
          <xdr:row>5</xdr:row>
          <xdr:rowOff>152400</xdr:rowOff>
        </xdr:to>
        <xdr:sp macro="" textlink="">
          <xdr:nvSpPr>
            <xdr:cNvPr id="10252" name="CommandButton1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5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161925</xdr:colOff>
          <xdr:row>6</xdr:row>
          <xdr:rowOff>66675</xdr:rowOff>
        </xdr:from>
        <xdr:to>
          <xdr:col>17</xdr:col>
          <xdr:colOff>1495425</xdr:colOff>
          <xdr:row>7</xdr:row>
          <xdr:rowOff>152400</xdr:rowOff>
        </xdr:to>
        <xdr:sp macro="" textlink="">
          <xdr:nvSpPr>
            <xdr:cNvPr id="10253" name="CommandButton2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5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161925</xdr:colOff>
          <xdr:row>8</xdr:row>
          <xdr:rowOff>66675</xdr:rowOff>
        </xdr:from>
        <xdr:to>
          <xdr:col>17</xdr:col>
          <xdr:colOff>1495425</xdr:colOff>
          <xdr:row>9</xdr:row>
          <xdr:rowOff>152400</xdr:rowOff>
        </xdr:to>
        <xdr:sp macro="" textlink="">
          <xdr:nvSpPr>
            <xdr:cNvPr id="10254" name="CommandButton3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5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161925</xdr:colOff>
          <xdr:row>10</xdr:row>
          <xdr:rowOff>66675</xdr:rowOff>
        </xdr:from>
        <xdr:to>
          <xdr:col>17</xdr:col>
          <xdr:colOff>1495425</xdr:colOff>
          <xdr:row>11</xdr:row>
          <xdr:rowOff>152400</xdr:rowOff>
        </xdr:to>
        <xdr:sp macro="" textlink="">
          <xdr:nvSpPr>
            <xdr:cNvPr id="10255" name="CommandButton4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5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81A2F-7FE4-4738-884E-C5EFDAE0AFA3}">
  <sheetPr codeName="Sheet1"/>
  <dimension ref="F1:BE97"/>
  <sheetViews>
    <sheetView tabSelected="1" workbookViewId="0">
      <selection activeCell="E22" sqref="E22"/>
    </sheetView>
  </sheetViews>
  <sheetFormatPr defaultRowHeight="15.75" x14ac:dyDescent="0.25"/>
  <cols>
    <col min="1" max="1" width="4.140625" style="26" customWidth="1"/>
    <col min="2" max="2" width="45.28515625" style="26" customWidth="1"/>
    <col min="3" max="3" width="4.7109375" style="26" customWidth="1"/>
    <col min="4" max="5" width="9.140625" style="26"/>
    <col min="6" max="6" width="19.7109375" style="26" hidden="1" customWidth="1"/>
    <col min="7" max="7" width="67.42578125" style="26" hidden="1" customWidth="1"/>
    <col min="8" max="10" width="9.140625" style="26"/>
    <col min="11" max="11" width="9.140625" style="26" customWidth="1"/>
    <col min="12" max="12" width="77" style="26" hidden="1" customWidth="1"/>
    <col min="13" max="16" width="9.140625" style="26" hidden="1" customWidth="1"/>
    <col min="17" max="17" width="9.140625" style="26" customWidth="1"/>
    <col min="18" max="18" width="80" style="26" bestFit="1" customWidth="1"/>
    <col min="19" max="16384" width="9.140625" style="26"/>
  </cols>
  <sheetData>
    <row r="1" spans="6:18" ht="16.5" thickBot="1" x14ac:dyDescent="0.3"/>
    <row r="2" spans="6:18" ht="16.5" thickBot="1" x14ac:dyDescent="0.3">
      <c r="F2" s="28" t="s">
        <v>45</v>
      </c>
      <c r="G2" s="27" t="s">
        <v>68</v>
      </c>
      <c r="L2" s="31" t="s">
        <v>54</v>
      </c>
      <c r="R2" s="147" t="s">
        <v>77</v>
      </c>
    </row>
    <row r="3" spans="6:18" ht="15.75" customHeight="1" x14ac:dyDescent="0.25">
      <c r="F3" s="28" t="s">
        <v>46</v>
      </c>
      <c r="G3" s="27" t="str">
        <f>LEFT(G4,LEN(G4)-5)</f>
        <v>SkyBet JIRA 2021-02-08T15_16_49</v>
      </c>
      <c r="L3" s="32" t="str">
        <f>IFERROR(INDEX(FileList,ROW()-ROW(L$2)),"N/A")</f>
        <v>SkyBet JIRA 2020-12-17T09_06_42+0000.csv</v>
      </c>
      <c r="P3" s="26">
        <v>95</v>
      </c>
      <c r="R3" s="150" t="s">
        <v>76</v>
      </c>
    </row>
    <row r="4" spans="6:18" x14ac:dyDescent="0.25">
      <c r="F4" s="28" t="s">
        <v>51</v>
      </c>
      <c r="G4" s="27" t="str">
        <f>SUBSTITUTE(FileName,".csv","")</f>
        <v>SkyBet JIRA 2021-02-08T15_16_49+0000</v>
      </c>
      <c r="L4" s="32" t="str">
        <f>IFERROR(INDEX(FileList,ROW()-ROW(L$2)),"N/A")</f>
        <v>SkyBet JIRA 2020-12-17T11_48_35+0000.csv</v>
      </c>
      <c r="R4" s="148"/>
    </row>
    <row r="5" spans="6:18" ht="15" customHeight="1" x14ac:dyDescent="0.25">
      <c r="F5" s="28" t="s">
        <v>47</v>
      </c>
      <c r="G5" s="27" t="str">
        <f>INDEX(listofFiles,H5)</f>
        <v>SkyBet JIRA 2021-02-08T15_16_49+0000.csv</v>
      </c>
      <c r="H5" s="33">
        <f>COUNTA(listofFiles)-COUNTIF(listofFiles,"N/A")</f>
        <v>8</v>
      </c>
      <c r="L5" s="32" t="str">
        <f>IFERROR(INDEX(FileList,ROW()-ROW(L$2)),"N/A")</f>
        <v>SkyBet JIRA 2020-12-17T13_54_40+0000.csv</v>
      </c>
      <c r="R5" s="148"/>
    </row>
    <row r="6" spans="6:18" x14ac:dyDescent="0.25">
      <c r="L6" s="32" t="str">
        <f>IFERROR(INDEX(FileList,ROW()-ROW(L$2)),"N/A")</f>
        <v>SkyBet JIRA 2021-01-20T16_08_41+0000.csv</v>
      </c>
      <c r="R6" s="149"/>
    </row>
    <row r="7" spans="6:18" x14ac:dyDescent="0.25">
      <c r="L7" s="32" t="str">
        <f>IFERROR(INDEX(FileList,ROW()-ROW(L$2)),"N/A")</f>
        <v>SkyBet JIRA 2021-01-21T14_14_32+0000.csv</v>
      </c>
    </row>
    <row r="8" spans="6:18" x14ac:dyDescent="0.25">
      <c r="L8" s="32" t="str">
        <f>IFERROR(INDEX(FileList,ROW()-ROW(L$2)),"N/A")</f>
        <v>SkyBet JIRA 2021-01-21T14_50_03+0000.csv</v>
      </c>
    </row>
    <row r="9" spans="6:18" x14ac:dyDescent="0.25">
      <c r="L9" s="32" t="str">
        <f>IFERROR(INDEX(FileList,ROW()-ROW(L$2)),"N/A")</f>
        <v>SkyBet JIRA 2021-02-08T14_01_02+0000.csv</v>
      </c>
    </row>
    <row r="10" spans="6:18" x14ac:dyDescent="0.25">
      <c r="L10" s="32" t="str">
        <f>IFERROR(INDEX(FileList,ROW()-ROW(L$2)),"N/A")</f>
        <v>SkyBet JIRA 2021-02-08T15_16_49+0000.csv</v>
      </c>
    </row>
    <row r="11" spans="6:18" x14ac:dyDescent="0.25">
      <c r="L11" s="32" t="str">
        <f>IFERROR(INDEX(FileList,ROW()-ROW(L$2)),"N/A")</f>
        <v>N/A</v>
      </c>
    </row>
    <row r="12" spans="6:18" x14ac:dyDescent="0.25">
      <c r="L12" s="32" t="str">
        <f>IFERROR(INDEX(FileList,ROW()-ROW(L$2)),"N/A")</f>
        <v>N/A</v>
      </c>
    </row>
    <row r="13" spans="6:18" x14ac:dyDescent="0.25">
      <c r="L13" s="32" t="str">
        <f>IFERROR(INDEX(FileList,ROW()-ROW(L$2)),"N/A")</f>
        <v>N/A</v>
      </c>
    </row>
    <row r="14" spans="6:18" x14ac:dyDescent="0.25">
      <c r="L14" s="32" t="str">
        <f>IFERROR(INDEX(FileList,ROW()-ROW(L$2)),"N/A")</f>
        <v>N/A</v>
      </c>
    </row>
    <row r="15" spans="6:18" x14ac:dyDescent="0.25">
      <c r="L15" s="32" t="str">
        <f>IFERROR(INDEX(FileList,ROW()-ROW(L$2)),"N/A")</f>
        <v>N/A</v>
      </c>
    </row>
    <row r="16" spans="6:18" x14ac:dyDescent="0.25">
      <c r="L16" s="32" t="str">
        <f>IFERROR(INDEX(FileList,ROW()-ROW(L$2)),"N/A")</f>
        <v>N/A</v>
      </c>
    </row>
    <row r="17" spans="12:57" x14ac:dyDescent="0.25">
      <c r="L17" s="32" t="str">
        <f>IFERROR(INDEX(FileList,ROW()-ROW(L$2)),"N/A")</f>
        <v>N/A</v>
      </c>
    </row>
    <row r="18" spans="12:57" x14ac:dyDescent="0.25">
      <c r="L18" s="32" t="str">
        <f>IFERROR(INDEX(FileList,ROW()-ROW(L$2)),"N/A")</f>
        <v>N/A</v>
      </c>
    </row>
    <row r="19" spans="12:57" x14ac:dyDescent="0.25">
      <c r="L19" s="32" t="str">
        <f>IFERROR(INDEX(FileList,ROW()-ROW(L$2)),"N/A")</f>
        <v>N/A</v>
      </c>
      <c r="BE19" s="127"/>
    </row>
    <row r="20" spans="12:57" x14ac:dyDescent="0.25">
      <c r="L20" s="32" t="str">
        <f>IFERROR(INDEX(FileList,ROW()-ROW(L$2)),"N/A")</f>
        <v>N/A</v>
      </c>
    </row>
    <row r="21" spans="12:57" x14ac:dyDescent="0.25">
      <c r="L21" s="32" t="str">
        <f>IFERROR(INDEX(FileList,ROW()-ROW(L$2)),"N/A")</f>
        <v>N/A</v>
      </c>
    </row>
    <row r="22" spans="12:57" x14ac:dyDescent="0.25">
      <c r="L22" s="32" t="str">
        <f>IFERROR(INDEX(FileList,ROW()-ROW(L$2)),"N/A")</f>
        <v>N/A</v>
      </c>
    </row>
    <row r="23" spans="12:57" x14ac:dyDescent="0.25">
      <c r="L23" s="32" t="str">
        <f>IFERROR(INDEX(FileList,ROW()-ROW(L$2)),"N/A")</f>
        <v>N/A</v>
      </c>
    </row>
    <row r="24" spans="12:57" x14ac:dyDescent="0.25">
      <c r="L24" s="32" t="str">
        <f>IFERROR(INDEX(FileList,ROW()-ROW(L$2)),"N/A")</f>
        <v>N/A</v>
      </c>
    </row>
    <row r="25" spans="12:57" x14ac:dyDescent="0.25">
      <c r="L25" s="32" t="str">
        <f>IFERROR(INDEX(FileList,ROW()-ROW(L$2)),"N/A")</f>
        <v>N/A</v>
      </c>
    </row>
    <row r="26" spans="12:57" x14ac:dyDescent="0.25">
      <c r="L26" s="32" t="str">
        <f>IFERROR(INDEX(FileList,ROW()-ROW(L$2)),"N/A")</f>
        <v>N/A</v>
      </c>
    </row>
    <row r="27" spans="12:57" x14ac:dyDescent="0.25">
      <c r="L27" s="32" t="str">
        <f>IFERROR(INDEX(FileList,ROW()-ROW(L$2)),"N/A")</f>
        <v>N/A</v>
      </c>
    </row>
    <row r="28" spans="12:57" x14ac:dyDescent="0.25">
      <c r="L28" s="32" t="str">
        <f>IFERROR(INDEX(FileList,ROW()-ROW(L$2)),"N/A")</f>
        <v>N/A</v>
      </c>
    </row>
    <row r="29" spans="12:57" x14ac:dyDescent="0.25">
      <c r="L29" s="32" t="str">
        <f>IFERROR(INDEX(FileList,ROW()-ROW(L$2)),"N/A")</f>
        <v>N/A</v>
      </c>
    </row>
    <row r="30" spans="12:57" x14ac:dyDescent="0.25">
      <c r="L30" s="32" t="str">
        <f>IFERROR(INDEX(FileList,ROW()-ROW(L$2)),"N/A")</f>
        <v>N/A</v>
      </c>
    </row>
    <row r="31" spans="12:57" ht="15" customHeight="1" x14ac:dyDescent="0.25">
      <c r="L31" s="32" t="str">
        <f>IFERROR(INDEX(FileList,ROW()-ROW(L$2)),"N/A")</f>
        <v>N/A</v>
      </c>
    </row>
    <row r="32" spans="12:57" x14ac:dyDescent="0.25">
      <c r="L32" s="32" t="str">
        <f>IFERROR(INDEX(FileList,ROW()-ROW(L$2)),"N/A")</f>
        <v>N/A</v>
      </c>
    </row>
    <row r="33" spans="12:12" x14ac:dyDescent="0.25">
      <c r="L33" s="32" t="str">
        <f>IFERROR(INDEX(FileList,ROW()-ROW(L$2)),"N/A")</f>
        <v>N/A</v>
      </c>
    </row>
    <row r="34" spans="12:12" x14ac:dyDescent="0.25">
      <c r="L34" s="32" t="str">
        <f>IFERROR(INDEX(FileList,ROW()-ROW(L$2)),"N/A")</f>
        <v>N/A</v>
      </c>
    </row>
    <row r="35" spans="12:12" x14ac:dyDescent="0.25">
      <c r="L35" s="32" t="str">
        <f>IFERROR(INDEX(FileList,ROW()-ROW(L$2)),"N/A")</f>
        <v>N/A</v>
      </c>
    </row>
    <row r="36" spans="12:12" x14ac:dyDescent="0.25">
      <c r="L36" s="32" t="str">
        <f>IFERROR(INDEX(FileList,ROW()-ROW(L$2)),"N/A")</f>
        <v>N/A</v>
      </c>
    </row>
    <row r="37" spans="12:12" x14ac:dyDescent="0.25">
      <c r="L37" s="32" t="str">
        <f>IFERROR(INDEX(FileList,ROW()-ROW(L$2)),"N/A")</f>
        <v>N/A</v>
      </c>
    </row>
    <row r="38" spans="12:12" x14ac:dyDescent="0.25">
      <c r="L38" s="32" t="str">
        <f>IFERROR(INDEX(FileList,ROW()-ROW(L$2)),"N/A")</f>
        <v>N/A</v>
      </c>
    </row>
    <row r="39" spans="12:12" x14ac:dyDescent="0.25">
      <c r="L39" s="32" t="str">
        <f>IFERROR(INDEX(FileList,ROW()-ROW(L$2)),"N/A")</f>
        <v>N/A</v>
      </c>
    </row>
    <row r="40" spans="12:12" x14ac:dyDescent="0.25">
      <c r="L40" s="32" t="str">
        <f>IFERROR(INDEX(FileList,ROW()-ROW(L$2)),"N/A")</f>
        <v>N/A</v>
      </c>
    </row>
    <row r="41" spans="12:12" x14ac:dyDescent="0.25">
      <c r="L41" s="32" t="str">
        <f>IFERROR(INDEX(FileList,ROW()-ROW(L$2)),"N/A")</f>
        <v>N/A</v>
      </c>
    </row>
    <row r="42" spans="12:12" x14ac:dyDescent="0.25">
      <c r="L42" s="32" t="str">
        <f>IFERROR(INDEX(FileList,ROW()-ROW(L$2)),"N/A")</f>
        <v>N/A</v>
      </c>
    </row>
    <row r="43" spans="12:12" x14ac:dyDescent="0.25">
      <c r="L43" s="32" t="str">
        <f>IFERROR(INDEX(FileList,ROW()-ROW(L$2)),"N/A")</f>
        <v>N/A</v>
      </c>
    </row>
    <row r="44" spans="12:12" x14ac:dyDescent="0.25">
      <c r="L44" s="32" t="str">
        <f>IFERROR(INDEX(FileList,ROW()-ROW(L$2)),"N/A")</f>
        <v>N/A</v>
      </c>
    </row>
    <row r="45" spans="12:12" x14ac:dyDescent="0.25">
      <c r="L45" s="32" t="str">
        <f>IFERROR(INDEX(FileList,ROW()-ROW(L$2)),"N/A")</f>
        <v>N/A</v>
      </c>
    </row>
    <row r="46" spans="12:12" x14ac:dyDescent="0.25">
      <c r="L46" s="32" t="str">
        <f>IFERROR(INDEX(FileList,ROW()-ROW(L$2)),"N/A")</f>
        <v>N/A</v>
      </c>
    </row>
    <row r="47" spans="12:12" x14ac:dyDescent="0.25">
      <c r="L47" s="32" t="str">
        <f>IFERROR(INDEX(FileList,ROW()-ROW(L$2)),"N/A")</f>
        <v>N/A</v>
      </c>
    </row>
    <row r="48" spans="12:12" x14ac:dyDescent="0.25">
      <c r="L48" s="32" t="str">
        <f>IFERROR(INDEX(FileList,ROW()-ROW(L$2)),"N/A")</f>
        <v>N/A</v>
      </c>
    </row>
    <row r="49" spans="12:12" x14ac:dyDescent="0.25">
      <c r="L49" s="32" t="str">
        <f>IFERROR(INDEX(FileList,ROW()-ROW(L$2)),"N/A")</f>
        <v>N/A</v>
      </c>
    </row>
    <row r="50" spans="12:12" x14ac:dyDescent="0.25">
      <c r="L50" s="32" t="str">
        <f>IFERROR(INDEX(FileList,ROW()-ROW(L$2)),"N/A")</f>
        <v>N/A</v>
      </c>
    </row>
    <row r="51" spans="12:12" x14ac:dyDescent="0.25">
      <c r="L51" s="32" t="str">
        <f>IFERROR(INDEX(FileList,ROW()-ROW(L$2)),"N/A")</f>
        <v>N/A</v>
      </c>
    </row>
    <row r="52" spans="12:12" x14ac:dyDescent="0.25">
      <c r="L52" s="32" t="str">
        <f>IFERROR(INDEX(FileList,ROW()-ROW(L$2)),"N/A")</f>
        <v>N/A</v>
      </c>
    </row>
    <row r="53" spans="12:12" x14ac:dyDescent="0.25">
      <c r="L53" s="32" t="str">
        <f>IFERROR(INDEX(FileList,ROW()-ROW(L$2)),"N/A")</f>
        <v>N/A</v>
      </c>
    </row>
    <row r="54" spans="12:12" x14ac:dyDescent="0.25">
      <c r="L54" s="32" t="str">
        <f>IFERROR(INDEX(FileList,ROW()-ROW(L$2)),"N/A")</f>
        <v>N/A</v>
      </c>
    </row>
    <row r="55" spans="12:12" x14ac:dyDescent="0.25">
      <c r="L55" s="32" t="str">
        <f>IFERROR(INDEX(FileList,ROW()-ROW(L$2)),"N/A")</f>
        <v>N/A</v>
      </c>
    </row>
    <row r="56" spans="12:12" x14ac:dyDescent="0.25">
      <c r="L56" s="32" t="str">
        <f>IFERROR(INDEX(FileList,ROW()-ROW(L$2)),"N/A")</f>
        <v>N/A</v>
      </c>
    </row>
    <row r="57" spans="12:12" x14ac:dyDescent="0.25">
      <c r="L57" s="32" t="str">
        <f>IFERROR(INDEX(FileList,ROW()-ROW(L$2)),"N/A")</f>
        <v>N/A</v>
      </c>
    </row>
    <row r="58" spans="12:12" x14ac:dyDescent="0.25">
      <c r="L58" s="32" t="str">
        <f>IFERROR(INDEX(FileList,ROW()-ROW(L$2)),"N/A")</f>
        <v>N/A</v>
      </c>
    </row>
    <row r="59" spans="12:12" x14ac:dyDescent="0.25">
      <c r="L59" s="32" t="str">
        <f>IFERROR(INDEX(FileList,ROW()-ROW(L$2)),"N/A")</f>
        <v>N/A</v>
      </c>
    </row>
    <row r="60" spans="12:12" x14ac:dyDescent="0.25">
      <c r="L60" s="32" t="str">
        <f>IFERROR(INDEX(FileList,ROW()-ROW(L$2)),"N/A")</f>
        <v>N/A</v>
      </c>
    </row>
    <row r="61" spans="12:12" x14ac:dyDescent="0.25">
      <c r="L61" s="32" t="str">
        <f>IFERROR(INDEX(FileList,ROW()-ROW(L$2)),"N/A")</f>
        <v>N/A</v>
      </c>
    </row>
    <row r="62" spans="12:12" x14ac:dyDescent="0.25">
      <c r="L62" s="32" t="str">
        <f>IFERROR(INDEX(FileList,ROW()-ROW(L$2)),"N/A")</f>
        <v>N/A</v>
      </c>
    </row>
    <row r="63" spans="12:12" x14ac:dyDescent="0.25">
      <c r="L63" s="32" t="str">
        <f>IFERROR(INDEX(FileList,ROW()-ROW(L$2)),"N/A")</f>
        <v>N/A</v>
      </c>
    </row>
    <row r="64" spans="12:12" x14ac:dyDescent="0.25">
      <c r="L64" s="32" t="str">
        <f>IFERROR(INDEX(FileList,ROW()-ROW(L$2)),"N/A")</f>
        <v>N/A</v>
      </c>
    </row>
    <row r="65" spans="12:12" x14ac:dyDescent="0.25">
      <c r="L65" s="32" t="str">
        <f>IFERROR(INDEX(FileList,ROW()-ROW(L$2)),"N/A")</f>
        <v>N/A</v>
      </c>
    </row>
    <row r="66" spans="12:12" x14ac:dyDescent="0.25">
      <c r="L66" s="32" t="str">
        <f>IFERROR(INDEX(FileList,ROW()-ROW(L$2)),"N/A")</f>
        <v>N/A</v>
      </c>
    </row>
    <row r="67" spans="12:12" x14ac:dyDescent="0.25">
      <c r="L67" s="32" t="str">
        <f>IFERROR(INDEX(FileList,ROW()-ROW(L$2)),"N/A")</f>
        <v>N/A</v>
      </c>
    </row>
    <row r="68" spans="12:12" x14ac:dyDescent="0.25">
      <c r="L68" s="32" t="str">
        <f>IFERROR(INDEX(FileList,ROW()-ROW(L$2)),"N/A")</f>
        <v>N/A</v>
      </c>
    </row>
    <row r="69" spans="12:12" x14ac:dyDescent="0.25">
      <c r="L69" s="32" t="str">
        <f>IFERROR(INDEX(FileList,ROW()-ROW(L$2)),"N/A")</f>
        <v>N/A</v>
      </c>
    </row>
    <row r="70" spans="12:12" x14ac:dyDescent="0.25">
      <c r="L70" s="32" t="str">
        <f>IFERROR(INDEX(FileList,ROW()-ROW(L$2)),"N/A")</f>
        <v>N/A</v>
      </c>
    </row>
    <row r="71" spans="12:12" x14ac:dyDescent="0.25">
      <c r="L71" s="32" t="str">
        <f>IFERROR(INDEX(FileList,ROW()-ROW(L$2)),"N/A")</f>
        <v>N/A</v>
      </c>
    </row>
    <row r="72" spans="12:12" x14ac:dyDescent="0.25">
      <c r="L72" s="32" t="str">
        <f>IFERROR(INDEX(FileList,ROW()-ROW(L$2)),"N/A")</f>
        <v>N/A</v>
      </c>
    </row>
    <row r="73" spans="12:12" x14ac:dyDescent="0.25">
      <c r="L73" s="32" t="str">
        <f>IFERROR(INDEX(FileList,ROW()-ROW(L$2)),"N/A")</f>
        <v>N/A</v>
      </c>
    </row>
    <row r="74" spans="12:12" x14ac:dyDescent="0.25">
      <c r="L74" s="32" t="str">
        <f>IFERROR(INDEX(FileList,ROW()-ROW(L$2)),"N/A")</f>
        <v>N/A</v>
      </c>
    </row>
    <row r="75" spans="12:12" x14ac:dyDescent="0.25">
      <c r="L75" s="32" t="str">
        <f>IFERROR(INDEX(FileList,ROW()-ROW(L$2)),"N/A")</f>
        <v>N/A</v>
      </c>
    </row>
    <row r="76" spans="12:12" x14ac:dyDescent="0.25">
      <c r="L76" s="32" t="str">
        <f>IFERROR(INDEX(FileList,ROW()-ROW(L$2)),"N/A")</f>
        <v>N/A</v>
      </c>
    </row>
    <row r="77" spans="12:12" x14ac:dyDescent="0.25">
      <c r="L77" s="32" t="str">
        <f>IFERROR(INDEX(FileList,ROW()-ROW(L$2)),"N/A")</f>
        <v>N/A</v>
      </c>
    </row>
    <row r="78" spans="12:12" x14ac:dyDescent="0.25">
      <c r="L78" s="32" t="str">
        <f>IFERROR(INDEX(FileList,ROW()-ROW(L$2)),"N/A")</f>
        <v>N/A</v>
      </c>
    </row>
    <row r="79" spans="12:12" x14ac:dyDescent="0.25">
      <c r="L79" s="32" t="str">
        <f>IFERROR(INDEX(FileList,ROW()-ROW(L$2)),"N/A")</f>
        <v>N/A</v>
      </c>
    </row>
    <row r="80" spans="12:12" x14ac:dyDescent="0.25">
      <c r="L80" s="32" t="str">
        <f>IFERROR(INDEX(FileList,ROW()-ROW(L$2)),"N/A")</f>
        <v>N/A</v>
      </c>
    </row>
    <row r="81" spans="12:12" x14ac:dyDescent="0.25">
      <c r="L81" s="32" t="str">
        <f>IFERROR(INDEX(FileList,ROW()-ROW(L$2)),"N/A")</f>
        <v>N/A</v>
      </c>
    </row>
    <row r="82" spans="12:12" x14ac:dyDescent="0.25">
      <c r="L82" s="32" t="str">
        <f>IFERROR(INDEX(FileList,ROW()-ROW(L$2)),"N/A")</f>
        <v>N/A</v>
      </c>
    </row>
    <row r="83" spans="12:12" x14ac:dyDescent="0.25">
      <c r="L83" s="32" t="str">
        <f>IFERROR(INDEX(FileList,ROW()-ROW(L$2)),"N/A")</f>
        <v>N/A</v>
      </c>
    </row>
    <row r="84" spans="12:12" x14ac:dyDescent="0.25">
      <c r="L84" s="32" t="str">
        <f>IFERROR(INDEX(FileList,ROW()-ROW(L$2)),"N/A")</f>
        <v>N/A</v>
      </c>
    </row>
    <row r="85" spans="12:12" x14ac:dyDescent="0.25">
      <c r="L85" s="32" t="str">
        <f>IFERROR(INDEX(FileList,ROW()-ROW(L$2)),"N/A")</f>
        <v>N/A</v>
      </c>
    </row>
    <row r="86" spans="12:12" x14ac:dyDescent="0.25">
      <c r="L86" s="32" t="str">
        <f>IFERROR(INDEX(FileList,ROW()-ROW(L$2)),"N/A")</f>
        <v>N/A</v>
      </c>
    </row>
    <row r="87" spans="12:12" x14ac:dyDescent="0.25">
      <c r="L87" s="32" t="str">
        <f>IFERROR(INDEX(FileList,ROW()-ROW(L$2)),"N/A")</f>
        <v>N/A</v>
      </c>
    </row>
    <row r="88" spans="12:12" x14ac:dyDescent="0.25">
      <c r="L88" s="32" t="str">
        <f>IFERROR(INDEX(FileList,ROW()-ROW(L$2)),"N/A")</f>
        <v>N/A</v>
      </c>
    </row>
    <row r="89" spans="12:12" x14ac:dyDescent="0.25">
      <c r="L89" s="32" t="str">
        <f>IFERROR(INDEX(FileList,ROW()-ROW(L$2)),"N/A")</f>
        <v>N/A</v>
      </c>
    </row>
    <row r="90" spans="12:12" x14ac:dyDescent="0.25">
      <c r="L90" s="32" t="str">
        <f>IFERROR(INDEX(FileList,ROW()-ROW(L$2)),"N/A")</f>
        <v>N/A</v>
      </c>
    </row>
    <row r="91" spans="12:12" x14ac:dyDescent="0.25">
      <c r="L91" s="32" t="str">
        <f>IFERROR(INDEX(FileList,ROW()-ROW(L$2)),"N/A")</f>
        <v>N/A</v>
      </c>
    </row>
    <row r="92" spans="12:12" x14ac:dyDescent="0.25">
      <c r="L92" s="32" t="str">
        <f>IFERROR(INDEX(FileList,ROW()-ROW(L$2)),"N/A")</f>
        <v>N/A</v>
      </c>
    </row>
    <row r="93" spans="12:12" x14ac:dyDescent="0.25">
      <c r="L93" s="32" t="str">
        <f>IFERROR(INDEX(FileList,ROW()-ROW(L$2)),"N/A")</f>
        <v>N/A</v>
      </c>
    </row>
    <row r="94" spans="12:12" x14ac:dyDescent="0.25">
      <c r="L94" s="32" t="str">
        <f>IFERROR(INDEX(FileList,ROW()-ROW(L$2)),"N/A")</f>
        <v>N/A</v>
      </c>
    </row>
    <row r="95" spans="12:12" x14ac:dyDescent="0.25">
      <c r="L95" s="32" t="str">
        <f>IFERROR(INDEX(FileList,ROW()-ROW(L$2)),"N/A")</f>
        <v>N/A</v>
      </c>
    </row>
    <row r="96" spans="12:12" x14ac:dyDescent="0.25">
      <c r="L96" s="32" t="str">
        <f>IFERROR(INDEX(FileList,ROW()-ROW(L$2)),"N/A")</f>
        <v>N/A</v>
      </c>
    </row>
    <row r="97" spans="12:12" x14ac:dyDescent="0.25">
      <c r="L97" s="32" t="str">
        <f>IFERROR(INDEX(FileList,ROW()-ROW(L$2)),"N/A")</f>
        <v>N/A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dataImportButton">
          <controlPr defaultSize="0" autoLine="0" autoPict="0" r:id="rId5">
            <anchor>
              <from>
                <xdr:col>1</xdr:col>
                <xdr:colOff>47625</xdr:colOff>
                <xdr:row>1</xdr:row>
                <xdr:rowOff>57150</xdr:rowOff>
              </from>
              <to>
                <xdr:col>1</xdr:col>
                <xdr:colOff>3009900</xdr:colOff>
                <xdr:row>7</xdr:row>
                <xdr:rowOff>47625</xdr:rowOff>
              </to>
            </anchor>
          </controlPr>
        </control>
      </mc:Choice>
      <mc:Fallback>
        <control shapeId="9217" r:id="rId4" name="dataImportButton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>
              <from>
                <xdr:col>1</xdr:col>
                <xdr:colOff>57150</xdr:colOff>
                <xdr:row>7</xdr:row>
                <xdr:rowOff>123825</xdr:rowOff>
              </from>
              <to>
                <xdr:col>2</xdr:col>
                <xdr:colOff>9525</xdr:colOff>
                <xdr:row>13</xdr:row>
                <xdr:rowOff>142875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Q2:LD3470"/>
  <sheetViews>
    <sheetView zoomScaleNormal="100" workbookViewId="0">
      <selection activeCell="D14" sqref="D14"/>
    </sheetView>
  </sheetViews>
  <sheetFormatPr defaultRowHeight="15" customHeight="1" x14ac:dyDescent="0.25"/>
  <sheetData>
    <row r="2" spans="17:292" ht="15" customHeight="1" x14ac:dyDescent="0.25">
      <c r="Q2" s="1"/>
      <c r="R2" s="1"/>
      <c r="T2" s="1"/>
      <c r="X2" s="2"/>
      <c r="AM2" s="2"/>
      <c r="EO2" s="2"/>
      <c r="GT2" s="155"/>
      <c r="HZ2" s="2"/>
      <c r="KD2" s="2"/>
    </row>
    <row r="3" spans="17:292" ht="15" customHeight="1" x14ac:dyDescent="0.25">
      <c r="Q3" s="1"/>
      <c r="R3" s="1"/>
      <c r="T3" s="1"/>
      <c r="X3" s="2"/>
      <c r="AM3" s="2"/>
      <c r="EO3" s="2"/>
      <c r="GT3" s="155"/>
      <c r="HZ3" s="2"/>
      <c r="KD3" s="2"/>
    </row>
    <row r="4" spans="17:292" ht="15" customHeight="1" x14ac:dyDescent="0.25">
      <c r="Q4" s="1"/>
      <c r="R4" s="1"/>
      <c r="T4" s="1"/>
      <c r="X4" s="2"/>
      <c r="AM4" s="2"/>
      <c r="EO4" s="2"/>
      <c r="GT4" s="155"/>
      <c r="HZ4" s="2"/>
      <c r="KD4" s="2"/>
      <c r="KE4" s="2"/>
      <c r="KF4" s="2"/>
    </row>
    <row r="5" spans="17:292" ht="15" customHeight="1" x14ac:dyDescent="0.25">
      <c r="Q5" s="1"/>
      <c r="R5" s="1"/>
      <c r="T5" s="1"/>
      <c r="X5" s="2"/>
      <c r="AM5" s="2"/>
      <c r="EO5" s="2"/>
      <c r="GT5" s="155"/>
      <c r="HZ5" s="2"/>
      <c r="KD5" s="2"/>
    </row>
    <row r="6" spans="17:292" ht="15" customHeight="1" x14ac:dyDescent="0.25">
      <c r="Q6" s="1"/>
      <c r="R6" s="1"/>
      <c r="T6" s="1"/>
      <c r="X6" s="2"/>
      <c r="AM6" s="2"/>
      <c r="EO6" s="2"/>
      <c r="GT6" s="155"/>
      <c r="HZ6" s="2"/>
      <c r="KD6" s="2"/>
    </row>
    <row r="7" spans="17:292" ht="15" customHeight="1" x14ac:dyDescent="0.25">
      <c r="Q7" s="1"/>
      <c r="R7" s="1"/>
      <c r="T7" s="1"/>
      <c r="X7" s="2"/>
      <c r="AM7" s="2"/>
      <c r="EO7" s="2"/>
      <c r="GT7" s="155"/>
      <c r="HZ7" s="2"/>
      <c r="KD7" s="2"/>
      <c r="KE7" s="2"/>
    </row>
    <row r="8" spans="17:292" ht="15" customHeight="1" x14ac:dyDescent="0.25">
      <c r="Q8" s="1"/>
      <c r="R8" s="1"/>
      <c r="T8" s="1"/>
      <c r="X8" s="2"/>
      <c r="AM8" s="2"/>
      <c r="EO8" s="2"/>
      <c r="GT8" s="155"/>
      <c r="HZ8" s="2"/>
      <c r="KD8" s="2"/>
      <c r="KE8" s="2"/>
    </row>
    <row r="9" spans="17:292" ht="15" customHeight="1" x14ac:dyDescent="0.25">
      <c r="Q9" s="1"/>
      <c r="R9" s="1"/>
      <c r="T9" s="1"/>
      <c r="X9" s="2"/>
      <c r="AM9" s="2"/>
      <c r="EO9" s="2"/>
      <c r="GT9" s="155"/>
      <c r="HZ9" s="2"/>
      <c r="KD9" s="2"/>
    </row>
    <row r="10" spans="17:292" ht="15" customHeight="1" x14ac:dyDescent="0.25">
      <c r="Q10" s="1"/>
      <c r="R10" s="1"/>
      <c r="T10" s="1"/>
      <c r="X10" s="2"/>
      <c r="AM10" s="2"/>
      <c r="EO10" s="2"/>
      <c r="GT10" s="155"/>
      <c r="HZ10" s="2"/>
      <c r="KD10" s="2"/>
      <c r="KE10" s="2"/>
    </row>
    <row r="11" spans="17:292" ht="15" customHeight="1" x14ac:dyDescent="0.25">
      <c r="Q11" s="1"/>
      <c r="R11" s="1"/>
      <c r="T11" s="1"/>
      <c r="X11" s="2"/>
      <c r="AM11" s="2"/>
      <c r="EO11" s="2"/>
      <c r="GT11" s="155"/>
      <c r="HZ11" s="2"/>
    </row>
    <row r="12" spans="17:292" ht="15" customHeight="1" x14ac:dyDescent="0.25">
      <c r="Q12" s="1"/>
      <c r="R12" s="1"/>
      <c r="T12" s="1"/>
      <c r="X12" s="2"/>
      <c r="AM12" s="2"/>
      <c r="EO12" s="2"/>
      <c r="GT12" s="155"/>
      <c r="HZ12" s="2"/>
      <c r="KD12" s="2"/>
    </row>
    <row r="13" spans="17:292" ht="15" customHeight="1" x14ac:dyDescent="0.25">
      <c r="Q13" s="1"/>
      <c r="R13" s="1"/>
      <c r="T13" s="1"/>
      <c r="X13" s="2"/>
      <c r="AM13" s="2"/>
      <c r="EO13" s="2"/>
      <c r="GT13" s="155"/>
      <c r="HZ13" s="2"/>
      <c r="KD13" s="2"/>
    </row>
    <row r="14" spans="17:292" ht="15" customHeight="1" x14ac:dyDescent="0.25">
      <c r="Q14" s="1"/>
      <c r="R14" s="1"/>
      <c r="T14" s="1"/>
      <c r="X14" s="2"/>
      <c r="AM14" s="2"/>
      <c r="EO14" s="2"/>
      <c r="GT14" s="155"/>
      <c r="HZ14" s="2"/>
      <c r="KD14" s="2"/>
      <c r="KE14" s="2"/>
    </row>
    <row r="15" spans="17:292" ht="15" customHeight="1" x14ac:dyDescent="0.25">
      <c r="Q15" s="1"/>
      <c r="R15" s="1"/>
      <c r="T15" s="1"/>
      <c r="X15" s="2"/>
      <c r="AM15" s="2"/>
      <c r="EO15" s="2"/>
      <c r="GT15" s="155"/>
      <c r="HZ15" s="2"/>
      <c r="KD15" s="2"/>
      <c r="KE15" s="2"/>
    </row>
    <row r="16" spans="17:292" ht="15" customHeight="1" x14ac:dyDescent="0.25">
      <c r="Q16" s="1"/>
      <c r="R16" s="1"/>
      <c r="T16" s="1"/>
      <c r="X16" s="2"/>
      <c r="AM16" s="2"/>
      <c r="EO16" s="2"/>
      <c r="GT16" s="155"/>
      <c r="HZ16" s="2"/>
      <c r="KD16" s="2"/>
    </row>
    <row r="17" spans="17:293" ht="15" customHeight="1" x14ac:dyDescent="0.25">
      <c r="Q17" s="1"/>
      <c r="R17" s="1"/>
      <c r="T17" s="1"/>
      <c r="X17" s="2"/>
      <c r="AM17" s="2"/>
      <c r="EO17" s="2"/>
      <c r="GT17" s="155"/>
      <c r="HZ17" s="2"/>
      <c r="KD17" s="2"/>
      <c r="KE17" s="2"/>
    </row>
    <row r="18" spans="17:293" ht="15" customHeight="1" x14ac:dyDescent="0.25">
      <c r="Q18" s="1"/>
      <c r="R18" s="1"/>
      <c r="T18" s="1"/>
      <c r="X18" s="2"/>
      <c r="AM18" s="2"/>
      <c r="EO18" s="2"/>
      <c r="GT18" s="155"/>
      <c r="HZ18" s="2"/>
      <c r="KD18" s="2"/>
    </row>
    <row r="19" spans="17:293" ht="15" customHeight="1" x14ac:dyDescent="0.25">
      <c r="Q19" s="1"/>
      <c r="R19" s="1"/>
      <c r="T19" s="1"/>
      <c r="X19" s="2"/>
      <c r="AM19" s="2"/>
      <c r="EO19" s="2"/>
      <c r="GT19" s="155"/>
      <c r="HZ19" s="2"/>
      <c r="KD19" s="2"/>
      <c r="KE19" s="2"/>
    </row>
    <row r="20" spans="17:293" ht="15" customHeight="1" x14ac:dyDescent="0.25">
      <c r="Q20" s="1"/>
      <c r="R20" s="1"/>
      <c r="T20" s="1"/>
      <c r="X20" s="2"/>
      <c r="AM20" s="2"/>
      <c r="EO20" s="2"/>
      <c r="GT20" s="155"/>
      <c r="HZ20" s="2"/>
      <c r="KD20" s="2"/>
    </row>
    <row r="21" spans="17:293" ht="15" customHeight="1" x14ac:dyDescent="0.25">
      <c r="Q21" s="1"/>
      <c r="R21" s="1"/>
      <c r="T21" s="1"/>
      <c r="X21" s="2"/>
      <c r="AM21" s="2"/>
      <c r="EO21" s="2"/>
      <c r="GT21" s="155"/>
      <c r="HZ21" s="2"/>
      <c r="KD21" s="2"/>
      <c r="KE21" s="2"/>
    </row>
    <row r="22" spans="17:293" ht="15" customHeight="1" x14ac:dyDescent="0.25">
      <c r="Q22" s="1"/>
      <c r="R22" s="1"/>
      <c r="T22" s="1"/>
      <c r="X22" s="2"/>
      <c r="AM22" s="2"/>
      <c r="EO22" s="2"/>
      <c r="GT22" s="155"/>
      <c r="HZ22" s="2"/>
      <c r="KD22" s="2"/>
    </row>
    <row r="23" spans="17:293" ht="15" customHeight="1" x14ac:dyDescent="0.25">
      <c r="Q23" s="1"/>
      <c r="R23" s="1"/>
      <c r="T23" s="1"/>
      <c r="X23" s="2"/>
      <c r="AM23" s="2"/>
      <c r="EO23" s="2"/>
      <c r="GT23" s="155"/>
      <c r="HZ23" s="2"/>
      <c r="KD23" s="2"/>
    </row>
    <row r="24" spans="17:293" ht="15" customHeight="1" x14ac:dyDescent="0.25">
      <c r="Q24" s="1"/>
      <c r="R24" s="1"/>
      <c r="T24" s="1"/>
      <c r="X24" s="2"/>
      <c r="AM24" s="2"/>
      <c r="EO24" s="2"/>
      <c r="GT24" s="155"/>
      <c r="HZ24" s="2"/>
      <c r="KD24" s="2"/>
    </row>
    <row r="25" spans="17:293" ht="15" customHeight="1" x14ac:dyDescent="0.25">
      <c r="Q25" s="1"/>
      <c r="R25" s="1"/>
      <c r="T25" s="1"/>
      <c r="X25" s="2"/>
      <c r="AM25" s="2"/>
      <c r="EO25" s="2"/>
      <c r="GT25" s="155"/>
      <c r="HZ25" s="2"/>
      <c r="KD25" s="2"/>
      <c r="KE25" s="2"/>
    </row>
    <row r="26" spans="17:293" ht="15" customHeight="1" x14ac:dyDescent="0.25">
      <c r="Q26" s="1"/>
      <c r="R26" s="1"/>
      <c r="T26" s="1"/>
      <c r="X26" s="2"/>
      <c r="AM26" s="2"/>
      <c r="EO26" s="2"/>
      <c r="GT26" s="155"/>
      <c r="HZ26" s="2"/>
      <c r="KD26" s="2"/>
      <c r="KE26" s="2"/>
      <c r="KF26" s="2"/>
      <c r="KG26" s="2"/>
    </row>
    <row r="27" spans="17:293" ht="15" customHeight="1" x14ac:dyDescent="0.25">
      <c r="Q27" s="1"/>
      <c r="R27" s="1"/>
      <c r="T27" s="1"/>
      <c r="X27" s="2"/>
      <c r="AM27" s="2"/>
      <c r="EO27" s="2"/>
      <c r="GT27" s="155"/>
      <c r="HZ27" s="2"/>
      <c r="KD27" s="2"/>
      <c r="KE27" s="2"/>
      <c r="KF27" s="2"/>
    </row>
    <row r="28" spans="17:293" ht="15" customHeight="1" x14ac:dyDescent="0.25">
      <c r="Q28" s="1"/>
      <c r="R28" s="1"/>
      <c r="T28" s="1"/>
      <c r="X28" s="2"/>
      <c r="AM28" s="2"/>
      <c r="EO28" s="2"/>
      <c r="GT28" s="155"/>
      <c r="HZ28" s="2"/>
      <c r="KD28" s="2"/>
      <c r="KE28" s="2"/>
    </row>
    <row r="29" spans="17:293" ht="15" customHeight="1" x14ac:dyDescent="0.25">
      <c r="Q29" s="1"/>
      <c r="R29" s="1"/>
      <c r="T29" s="1"/>
      <c r="X29" s="2"/>
      <c r="AM29" s="2"/>
      <c r="EO29" s="2"/>
      <c r="GT29" s="155"/>
      <c r="HZ29" s="2"/>
      <c r="KD29" s="2"/>
      <c r="KE29" s="2"/>
    </row>
    <row r="30" spans="17:293" ht="15" customHeight="1" x14ac:dyDescent="0.25">
      <c r="Q30" s="1"/>
      <c r="R30" s="1"/>
      <c r="T30" s="1"/>
      <c r="X30" s="2"/>
      <c r="AM30" s="2"/>
      <c r="EO30" s="2"/>
      <c r="GT30" s="155"/>
      <c r="HZ30" s="2"/>
      <c r="KD30" s="2"/>
      <c r="KE30" s="2"/>
    </row>
    <row r="31" spans="17:293" ht="15" customHeight="1" x14ac:dyDescent="0.25">
      <c r="Q31" s="1"/>
      <c r="R31" s="1"/>
      <c r="T31" s="1"/>
      <c r="X31" s="2"/>
      <c r="AM31" s="2"/>
      <c r="EO31" s="2"/>
      <c r="GT31" s="155"/>
      <c r="HZ31" s="2"/>
      <c r="KD31" s="2"/>
    </row>
    <row r="32" spans="17:293" ht="15" customHeight="1" x14ac:dyDescent="0.25">
      <c r="Q32" s="1"/>
      <c r="R32" s="1"/>
      <c r="T32" s="1"/>
      <c r="X32" s="2"/>
      <c r="AM32" s="2"/>
      <c r="EO32" s="2"/>
      <c r="GT32" s="155"/>
      <c r="HZ32" s="2"/>
      <c r="KD32" s="2"/>
    </row>
    <row r="33" spans="17:297" ht="15" customHeight="1" x14ac:dyDescent="0.25">
      <c r="Q33" s="1"/>
      <c r="R33" s="1"/>
      <c r="T33" s="1"/>
      <c r="X33" s="2"/>
      <c r="AM33" s="2"/>
      <c r="EO33" s="2"/>
      <c r="GT33" s="155"/>
      <c r="HZ33" s="2"/>
      <c r="KD33" s="2"/>
    </row>
    <row r="34" spans="17:297" ht="15" customHeight="1" x14ac:dyDescent="0.25">
      <c r="Q34" s="1"/>
      <c r="R34" s="1"/>
      <c r="T34" s="1"/>
      <c r="X34" s="2"/>
      <c r="AM34" s="2"/>
      <c r="EO34" s="2"/>
      <c r="GT34" s="155"/>
      <c r="HZ34" s="2"/>
      <c r="KD34" s="2"/>
      <c r="KE34" s="2"/>
      <c r="KF34" s="2"/>
      <c r="KG34" s="2"/>
    </row>
    <row r="35" spans="17:297" ht="15" customHeight="1" x14ac:dyDescent="0.25">
      <c r="Q35" s="1"/>
      <c r="R35" s="1"/>
      <c r="T35" s="1"/>
      <c r="X35" s="2"/>
      <c r="AM35" s="2"/>
      <c r="EO35" s="2"/>
      <c r="GT35" s="155"/>
      <c r="HZ35" s="2"/>
      <c r="KD35" s="2"/>
    </row>
    <row r="36" spans="17:297" ht="15" customHeight="1" x14ac:dyDescent="0.25">
      <c r="Q36" s="1"/>
      <c r="R36" s="1"/>
      <c r="T36" s="1"/>
      <c r="X36" s="2"/>
      <c r="AM36" s="2"/>
      <c r="EO36" s="2"/>
      <c r="GT36" s="155"/>
      <c r="HZ36" s="2"/>
      <c r="KD36" s="2"/>
    </row>
    <row r="37" spans="17:297" ht="15" customHeight="1" x14ac:dyDescent="0.25">
      <c r="Q37" s="1"/>
      <c r="R37" s="1"/>
      <c r="T37" s="1"/>
      <c r="X37" s="2"/>
      <c r="AM37" s="2"/>
      <c r="EO37" s="2"/>
      <c r="GT37" s="155"/>
      <c r="HZ37" s="2"/>
      <c r="KD37" s="2"/>
    </row>
    <row r="38" spans="17:297" ht="15" customHeight="1" x14ac:dyDescent="0.25">
      <c r="Q38" s="1"/>
      <c r="R38" s="1"/>
      <c r="T38" s="1"/>
      <c r="X38" s="2"/>
      <c r="AM38" s="2"/>
      <c r="EO38" s="2"/>
      <c r="GT38" s="155"/>
      <c r="HZ38" s="2"/>
      <c r="KD38" s="2"/>
    </row>
    <row r="39" spans="17:297" ht="15" customHeight="1" x14ac:dyDescent="0.25">
      <c r="Q39" s="1"/>
      <c r="R39" s="1"/>
      <c r="T39" s="1"/>
      <c r="X39" s="2"/>
      <c r="AM39" s="2"/>
      <c r="EO39" s="2"/>
      <c r="GT39" s="155"/>
      <c r="HZ39" s="2"/>
      <c r="KD39" s="2"/>
    </row>
    <row r="40" spans="17:297" ht="15" customHeight="1" x14ac:dyDescent="0.25">
      <c r="Q40" s="1"/>
      <c r="R40" s="1"/>
      <c r="T40" s="1"/>
      <c r="X40" s="2"/>
      <c r="AM40" s="2"/>
      <c r="EO40" s="2"/>
      <c r="GT40" s="155"/>
      <c r="HZ40" s="2"/>
      <c r="KD40" s="2"/>
    </row>
    <row r="41" spans="17:297" ht="15" customHeight="1" x14ac:dyDescent="0.25">
      <c r="Q41" s="1"/>
      <c r="R41" s="1"/>
      <c r="T41" s="1"/>
      <c r="X41" s="2"/>
      <c r="AM41" s="2"/>
      <c r="EO41" s="2"/>
      <c r="GT41" s="155"/>
      <c r="HZ41" s="2"/>
      <c r="KD41" s="2"/>
    </row>
    <row r="42" spans="17:297" ht="15" customHeight="1" x14ac:dyDescent="0.25">
      <c r="Q42" s="1"/>
      <c r="R42" s="1"/>
      <c r="T42" s="1"/>
      <c r="X42" s="2"/>
      <c r="AM42" s="2"/>
      <c r="EO42" s="2"/>
      <c r="GT42" s="155"/>
      <c r="HZ42" s="2"/>
      <c r="KD42" s="2"/>
    </row>
    <row r="43" spans="17:297" ht="15" customHeight="1" x14ac:dyDescent="0.25">
      <c r="Q43" s="1"/>
      <c r="R43" s="1"/>
      <c r="T43" s="1"/>
      <c r="X43" s="2"/>
      <c r="AM43" s="2"/>
      <c r="EO43" s="2"/>
      <c r="GT43" s="155"/>
      <c r="HZ43" s="2"/>
    </row>
    <row r="44" spans="17:297" ht="15" customHeight="1" x14ac:dyDescent="0.25">
      <c r="Q44" s="1"/>
      <c r="R44" s="1"/>
      <c r="T44" s="1"/>
      <c r="X44" s="2"/>
      <c r="AM44" s="2"/>
      <c r="EO44" s="2"/>
      <c r="GT44" s="155"/>
      <c r="HZ44" s="2"/>
      <c r="KD44" s="2"/>
    </row>
    <row r="45" spans="17:297" ht="15" customHeight="1" x14ac:dyDescent="0.25">
      <c r="Q45" s="1"/>
      <c r="R45" s="1"/>
      <c r="T45" s="1"/>
      <c r="X45" s="2"/>
      <c r="AM45" s="2"/>
      <c r="EO45" s="2"/>
      <c r="GT45" s="155"/>
      <c r="HZ45" s="2"/>
      <c r="KD45" s="2"/>
      <c r="KE45" s="2"/>
      <c r="KF45" s="2"/>
      <c r="KG45" s="2"/>
      <c r="KH45" s="2"/>
      <c r="KI45" s="2"/>
      <c r="KJ45" s="2"/>
      <c r="KK45" s="2"/>
    </row>
    <row r="46" spans="17:297" ht="15" customHeight="1" x14ac:dyDescent="0.25">
      <c r="Q46" s="1"/>
      <c r="R46" s="1"/>
      <c r="T46" s="1"/>
      <c r="X46" s="2"/>
      <c r="AM46" s="2"/>
      <c r="EO46" s="2"/>
      <c r="GT46" s="155"/>
      <c r="HZ46" s="2"/>
      <c r="KD46" s="2"/>
    </row>
    <row r="47" spans="17:297" ht="15" customHeight="1" x14ac:dyDescent="0.25">
      <c r="Q47" s="1"/>
      <c r="R47" s="1"/>
      <c r="T47" s="1"/>
      <c r="X47" s="2"/>
      <c r="AM47" s="2"/>
      <c r="EO47" s="2"/>
      <c r="GT47" s="155"/>
      <c r="HZ47" s="2"/>
      <c r="KD47" s="2"/>
      <c r="KE47" s="2"/>
    </row>
    <row r="48" spans="17:297" ht="15" customHeight="1" x14ac:dyDescent="0.25">
      <c r="Q48" s="1"/>
      <c r="R48" s="1"/>
      <c r="T48" s="1"/>
      <c r="X48" s="2"/>
      <c r="AM48" s="2"/>
      <c r="EO48" s="2"/>
      <c r="GT48" s="155"/>
      <c r="HZ48" s="2"/>
      <c r="KD48" s="2"/>
    </row>
    <row r="49" spans="17:291" ht="15" customHeight="1" x14ac:dyDescent="0.25">
      <c r="Q49" s="1"/>
      <c r="R49" s="1"/>
      <c r="T49" s="1"/>
      <c r="X49" s="2"/>
      <c r="AM49" s="2"/>
      <c r="EO49" s="2"/>
      <c r="GT49" s="155"/>
      <c r="HZ49" s="2"/>
      <c r="KD49" s="2"/>
    </row>
    <row r="50" spans="17:291" ht="15" customHeight="1" x14ac:dyDescent="0.25">
      <c r="Q50" s="1"/>
      <c r="R50" s="1"/>
      <c r="T50" s="1"/>
      <c r="X50" s="2"/>
      <c r="AM50" s="2"/>
      <c r="EO50" s="2"/>
      <c r="GT50" s="155"/>
      <c r="HZ50" s="2"/>
      <c r="KD50" s="2"/>
    </row>
    <row r="51" spans="17:291" ht="15" customHeight="1" x14ac:dyDescent="0.25">
      <c r="Q51" s="1"/>
      <c r="R51" s="1"/>
      <c r="T51" s="1"/>
      <c r="X51" s="2"/>
      <c r="AM51" s="2"/>
      <c r="EO51" s="2"/>
      <c r="GT51" s="155"/>
      <c r="HZ51" s="2"/>
      <c r="KD51" s="2"/>
    </row>
    <row r="52" spans="17:291" ht="15" customHeight="1" x14ac:dyDescent="0.25">
      <c r="Q52" s="1"/>
      <c r="R52" s="1"/>
      <c r="T52" s="1"/>
      <c r="X52" s="2"/>
      <c r="AM52" s="2"/>
      <c r="EO52" s="2"/>
      <c r="GT52" s="155"/>
      <c r="HZ52" s="2"/>
    </row>
    <row r="53" spans="17:291" ht="15" customHeight="1" x14ac:dyDescent="0.25">
      <c r="Q53" s="1"/>
      <c r="R53" s="1"/>
      <c r="T53" s="1"/>
      <c r="X53" s="2"/>
      <c r="AM53" s="2"/>
      <c r="EO53" s="2"/>
      <c r="GT53" s="155"/>
      <c r="HZ53" s="2"/>
      <c r="KD53" s="2"/>
    </row>
    <row r="54" spans="17:291" ht="15" customHeight="1" x14ac:dyDescent="0.25">
      <c r="Q54" s="1"/>
      <c r="R54" s="1"/>
      <c r="T54" s="1"/>
      <c r="X54" s="2"/>
      <c r="AM54" s="2"/>
      <c r="EO54" s="2"/>
      <c r="GT54" s="155"/>
      <c r="HZ54" s="2"/>
      <c r="KD54" s="2"/>
      <c r="KE54" s="2"/>
    </row>
    <row r="55" spans="17:291" ht="15" customHeight="1" x14ac:dyDescent="0.25">
      <c r="Q55" s="1"/>
      <c r="R55" s="1"/>
      <c r="T55" s="1"/>
      <c r="X55" s="2"/>
      <c r="AM55" s="2"/>
      <c r="EO55" s="2"/>
      <c r="GT55" s="155"/>
      <c r="HZ55" s="2"/>
      <c r="KD55" s="2"/>
    </row>
    <row r="56" spans="17:291" ht="15" customHeight="1" x14ac:dyDescent="0.25">
      <c r="Q56" s="1"/>
      <c r="R56" s="1"/>
      <c r="T56" s="1"/>
      <c r="X56" s="2"/>
      <c r="AM56" s="2"/>
      <c r="EO56" s="2"/>
      <c r="GT56" s="155"/>
      <c r="HZ56" s="2"/>
      <c r="KD56" s="2"/>
    </row>
    <row r="57" spans="17:291" ht="15" customHeight="1" x14ac:dyDescent="0.25">
      <c r="Q57" s="1"/>
      <c r="R57" s="1"/>
      <c r="T57" s="1"/>
      <c r="X57" s="2"/>
      <c r="AM57" s="2"/>
      <c r="EO57" s="2"/>
      <c r="GT57" s="155"/>
      <c r="HZ57" s="2"/>
      <c r="KD57" s="2"/>
    </row>
    <row r="58" spans="17:291" ht="15" customHeight="1" x14ac:dyDescent="0.25">
      <c r="Q58" s="1"/>
      <c r="R58" s="1"/>
      <c r="T58" s="1"/>
      <c r="X58" s="2"/>
      <c r="AM58" s="2"/>
      <c r="EO58" s="2"/>
      <c r="GT58" s="155"/>
      <c r="HZ58" s="2"/>
      <c r="KD58" s="2"/>
    </row>
    <row r="59" spans="17:291" ht="15" customHeight="1" x14ac:dyDescent="0.25">
      <c r="Q59" s="1"/>
      <c r="R59" s="1"/>
      <c r="T59" s="1"/>
      <c r="X59" s="2"/>
      <c r="AM59" s="2"/>
      <c r="EO59" s="2"/>
      <c r="GT59" s="155"/>
      <c r="HZ59" s="2"/>
      <c r="KD59" s="2"/>
    </row>
    <row r="60" spans="17:291" ht="15" customHeight="1" x14ac:dyDescent="0.25">
      <c r="Q60" s="1"/>
      <c r="R60" s="1"/>
      <c r="T60" s="1"/>
      <c r="X60" s="2"/>
      <c r="AM60" s="2"/>
      <c r="EO60" s="2"/>
      <c r="GT60" s="155"/>
      <c r="HZ60" s="2"/>
      <c r="KD60" s="2"/>
    </row>
    <row r="61" spans="17:291" ht="15" customHeight="1" x14ac:dyDescent="0.25">
      <c r="Q61" s="1"/>
      <c r="R61" s="1"/>
      <c r="T61" s="1"/>
      <c r="X61" s="2"/>
      <c r="AM61" s="2"/>
      <c r="EO61" s="2"/>
      <c r="GT61" s="155"/>
      <c r="HZ61" s="2"/>
      <c r="KD61" s="2"/>
    </row>
    <row r="62" spans="17:291" ht="15" customHeight="1" x14ac:dyDescent="0.25">
      <c r="Q62" s="1"/>
      <c r="R62" s="1"/>
      <c r="T62" s="1"/>
      <c r="X62" s="2"/>
      <c r="AM62" s="2"/>
      <c r="EO62" s="2"/>
      <c r="GT62" s="155"/>
      <c r="HZ62" s="2"/>
      <c r="KD62" s="2"/>
    </row>
    <row r="63" spans="17:291" ht="15" customHeight="1" x14ac:dyDescent="0.25">
      <c r="Q63" s="1"/>
      <c r="R63" s="1"/>
      <c r="T63" s="1"/>
      <c r="X63" s="2"/>
      <c r="AM63" s="2"/>
      <c r="EO63" s="2"/>
      <c r="GT63" s="155"/>
      <c r="HZ63" s="2"/>
      <c r="KD63" s="2"/>
    </row>
    <row r="64" spans="17:291" ht="15" customHeight="1" x14ac:dyDescent="0.25">
      <c r="Q64" s="1"/>
      <c r="R64" s="1"/>
      <c r="T64" s="1"/>
      <c r="X64" s="2"/>
      <c r="AM64" s="2"/>
      <c r="EO64" s="2"/>
      <c r="GT64" s="155"/>
      <c r="HZ64" s="2"/>
      <c r="KD64" s="2"/>
    </row>
    <row r="65" spans="17:294" ht="15" customHeight="1" x14ac:dyDescent="0.25">
      <c r="Q65" s="1"/>
      <c r="R65" s="1"/>
      <c r="T65" s="1"/>
      <c r="X65" s="2"/>
      <c r="AM65" s="2"/>
      <c r="EO65" s="2"/>
      <c r="GT65" s="155"/>
      <c r="HZ65" s="2"/>
      <c r="KD65" s="2"/>
      <c r="KE65" s="2"/>
    </row>
    <row r="66" spans="17:294" ht="15" customHeight="1" x14ac:dyDescent="0.25">
      <c r="Q66" s="1"/>
      <c r="R66" s="1"/>
      <c r="T66" s="1"/>
      <c r="X66" s="2"/>
      <c r="AM66" s="2"/>
      <c r="EO66" s="2"/>
      <c r="GT66" s="155"/>
      <c r="HZ66" s="2"/>
    </row>
    <row r="67" spans="17:294" ht="15" customHeight="1" x14ac:dyDescent="0.25">
      <c r="Q67" s="1"/>
      <c r="R67" s="1"/>
      <c r="T67" s="1"/>
      <c r="X67" s="2"/>
      <c r="AM67" s="2"/>
      <c r="EO67" s="2"/>
      <c r="GT67" s="155"/>
      <c r="HZ67" s="2"/>
      <c r="KD67" s="2"/>
    </row>
    <row r="68" spans="17:294" ht="15" customHeight="1" x14ac:dyDescent="0.25">
      <c r="Q68" s="1"/>
      <c r="R68" s="1"/>
      <c r="T68" s="1"/>
      <c r="X68" s="2"/>
      <c r="AM68" s="2"/>
      <c r="EO68" s="2"/>
      <c r="GT68" s="155"/>
      <c r="HZ68" s="2"/>
    </row>
    <row r="69" spans="17:294" ht="15" customHeight="1" x14ac:dyDescent="0.25">
      <c r="Q69" s="1"/>
      <c r="R69" s="1"/>
      <c r="T69" s="1"/>
      <c r="X69" s="2"/>
      <c r="AM69" s="2"/>
      <c r="EO69" s="2"/>
      <c r="GT69" s="155"/>
      <c r="HZ69" s="2"/>
    </row>
    <row r="70" spans="17:294" ht="15" customHeight="1" x14ac:dyDescent="0.25">
      <c r="Q70" s="1"/>
      <c r="R70" s="1"/>
      <c r="T70" s="1"/>
      <c r="X70" s="2"/>
      <c r="AM70" s="2"/>
      <c r="EO70" s="2"/>
      <c r="GT70" s="155"/>
      <c r="HZ70" s="2"/>
    </row>
    <row r="71" spans="17:294" ht="15" customHeight="1" x14ac:dyDescent="0.25">
      <c r="Q71" s="1"/>
      <c r="R71" s="1"/>
      <c r="T71" s="1"/>
      <c r="X71" s="2"/>
      <c r="AM71" s="2"/>
      <c r="EO71" s="2"/>
      <c r="GT71" s="155"/>
      <c r="HZ71" s="2"/>
    </row>
    <row r="72" spans="17:294" ht="15" customHeight="1" x14ac:dyDescent="0.25">
      <c r="Q72" s="1"/>
      <c r="R72" s="1"/>
      <c r="T72" s="1"/>
      <c r="X72" s="2"/>
      <c r="AM72" s="2"/>
      <c r="EO72" s="2"/>
      <c r="GT72" s="155"/>
      <c r="HZ72" s="2"/>
      <c r="KD72" s="2"/>
      <c r="KE72" s="2"/>
    </row>
    <row r="73" spans="17:294" ht="15" customHeight="1" x14ac:dyDescent="0.25">
      <c r="Q73" s="1"/>
      <c r="R73" s="1"/>
      <c r="T73" s="1"/>
      <c r="X73" s="2"/>
      <c r="AM73" s="2"/>
      <c r="EO73" s="2"/>
      <c r="GT73" s="155"/>
      <c r="HZ73" s="2"/>
      <c r="KD73" s="2"/>
      <c r="KE73" s="2"/>
    </row>
    <row r="74" spans="17:294" ht="15" customHeight="1" x14ac:dyDescent="0.25">
      <c r="Q74" s="1"/>
      <c r="R74" s="1"/>
      <c r="T74" s="1"/>
      <c r="X74" s="2"/>
      <c r="AM74" s="2"/>
      <c r="EO74" s="2"/>
      <c r="GT74" s="155"/>
      <c r="HZ74" s="2"/>
      <c r="KD74" s="2"/>
      <c r="KE74" s="2"/>
      <c r="KF74" s="2"/>
      <c r="KG74" s="2"/>
      <c r="KH74" s="2"/>
    </row>
    <row r="75" spans="17:294" ht="15" customHeight="1" x14ac:dyDescent="0.25">
      <c r="Q75" s="1"/>
      <c r="R75" s="1"/>
      <c r="T75" s="1"/>
      <c r="X75" s="2"/>
      <c r="AM75" s="2"/>
      <c r="EO75" s="2"/>
      <c r="GT75" s="155"/>
      <c r="HZ75" s="2"/>
      <c r="KD75" s="2"/>
      <c r="KE75" s="2"/>
      <c r="KF75" s="2"/>
      <c r="KG75" s="2"/>
    </row>
    <row r="76" spans="17:294" ht="15" customHeight="1" x14ac:dyDescent="0.25">
      <c r="Q76" s="1"/>
      <c r="R76" s="1"/>
      <c r="T76" s="1"/>
      <c r="X76" s="2"/>
      <c r="AM76" s="2"/>
      <c r="GT76" s="155"/>
      <c r="HZ76" s="2"/>
      <c r="KD76" s="2"/>
    </row>
    <row r="77" spans="17:294" ht="15" customHeight="1" x14ac:dyDescent="0.25">
      <c r="Q77" s="1"/>
      <c r="R77" s="1"/>
      <c r="T77" s="1"/>
      <c r="X77" s="2"/>
      <c r="AM77" s="2"/>
      <c r="GT77" s="155"/>
      <c r="HZ77" s="2"/>
      <c r="KD77" s="2"/>
      <c r="KE77" s="2"/>
    </row>
    <row r="78" spans="17:294" ht="15" customHeight="1" x14ac:dyDescent="0.25">
      <c r="Q78" s="1"/>
      <c r="R78" s="1"/>
      <c r="T78" s="1"/>
      <c r="X78" s="2"/>
      <c r="AM78" s="2"/>
      <c r="GT78" s="155"/>
      <c r="HZ78" s="2"/>
      <c r="KD78" s="2"/>
    </row>
    <row r="79" spans="17:294" ht="15" customHeight="1" x14ac:dyDescent="0.25">
      <c r="Q79" s="1"/>
      <c r="R79" s="1"/>
      <c r="T79" s="1"/>
      <c r="X79" s="2"/>
      <c r="AM79" s="2"/>
      <c r="GT79" s="155"/>
      <c r="HZ79" s="2"/>
      <c r="KD79" s="2"/>
    </row>
    <row r="80" spans="17:294" ht="15" customHeight="1" x14ac:dyDescent="0.25">
      <c r="Q80" s="1"/>
      <c r="R80" s="1"/>
      <c r="T80" s="1"/>
      <c r="X80" s="2"/>
      <c r="AM80" s="2"/>
      <c r="GT80" s="155"/>
      <c r="HZ80" s="2"/>
      <c r="KD80" s="2"/>
    </row>
    <row r="81" spans="17:294" ht="15" customHeight="1" x14ac:dyDescent="0.25">
      <c r="Q81" s="1"/>
      <c r="R81" s="1"/>
      <c r="T81" s="1"/>
      <c r="X81" s="2"/>
      <c r="AM81" s="2"/>
      <c r="GT81" s="155"/>
      <c r="HZ81" s="2"/>
      <c r="KD81" s="2"/>
    </row>
    <row r="82" spans="17:294" ht="15" customHeight="1" x14ac:dyDescent="0.25">
      <c r="Q82" s="1"/>
      <c r="R82" s="1"/>
      <c r="T82" s="1"/>
      <c r="X82" s="2"/>
      <c r="AM82" s="2"/>
      <c r="GT82" s="155"/>
      <c r="HZ82" s="2"/>
      <c r="KD82" s="2"/>
    </row>
    <row r="83" spans="17:294" ht="15" customHeight="1" x14ac:dyDescent="0.25">
      <c r="Q83" s="1"/>
      <c r="R83" s="1"/>
      <c r="T83" s="1"/>
      <c r="X83" s="2"/>
      <c r="AM83" s="2"/>
      <c r="GT83" s="155"/>
      <c r="HZ83" s="2"/>
      <c r="KD83" s="2"/>
    </row>
    <row r="84" spans="17:294" ht="15" customHeight="1" x14ac:dyDescent="0.25">
      <c r="Q84" s="1"/>
      <c r="R84" s="1"/>
      <c r="T84" s="1"/>
      <c r="X84" s="2"/>
      <c r="AM84" s="2"/>
      <c r="GT84" s="155"/>
      <c r="HZ84" s="2"/>
      <c r="KD84" s="2"/>
      <c r="KE84" s="2"/>
    </row>
    <row r="85" spans="17:294" ht="15" customHeight="1" x14ac:dyDescent="0.25">
      <c r="Q85" s="1"/>
      <c r="R85" s="1"/>
      <c r="T85" s="1"/>
      <c r="X85" s="2"/>
      <c r="AM85" s="2"/>
      <c r="GT85" s="155"/>
      <c r="HZ85" s="2"/>
      <c r="KD85" s="2"/>
      <c r="KE85" s="2"/>
    </row>
    <row r="86" spans="17:294" ht="15" customHeight="1" x14ac:dyDescent="0.25">
      <c r="Q86" s="1"/>
      <c r="R86" s="1"/>
      <c r="T86" s="1"/>
      <c r="X86" s="2"/>
      <c r="AM86" s="2"/>
      <c r="EO86" s="2"/>
      <c r="GT86" s="155"/>
      <c r="HZ86" s="2"/>
      <c r="KD86" s="2"/>
    </row>
    <row r="87" spans="17:294" ht="15" customHeight="1" x14ac:dyDescent="0.25">
      <c r="Q87" s="1"/>
      <c r="R87" s="1"/>
      <c r="T87" s="1"/>
      <c r="X87" s="2"/>
      <c r="AM87" s="2"/>
      <c r="EO87" s="2"/>
      <c r="GT87" s="155"/>
      <c r="HZ87" s="2"/>
      <c r="KD87" s="2"/>
    </row>
    <row r="88" spans="17:294" ht="15" customHeight="1" x14ac:dyDescent="0.25">
      <c r="Q88" s="1"/>
      <c r="R88" s="1"/>
      <c r="T88" s="1"/>
      <c r="X88" s="2"/>
      <c r="AM88" s="2"/>
      <c r="EO88" s="2"/>
      <c r="GT88" s="155"/>
      <c r="HZ88" s="2"/>
      <c r="KD88" s="2"/>
    </row>
    <row r="89" spans="17:294" ht="15" customHeight="1" x14ac:dyDescent="0.25">
      <c r="Q89" s="1"/>
      <c r="R89" s="1"/>
      <c r="T89" s="1"/>
      <c r="X89" s="2"/>
      <c r="AM89" s="2"/>
      <c r="EO89" s="2"/>
      <c r="GT89" s="155"/>
      <c r="HZ89" s="2"/>
      <c r="KD89" s="2"/>
    </row>
    <row r="90" spans="17:294" ht="15" customHeight="1" x14ac:dyDescent="0.25">
      <c r="Q90" s="1"/>
      <c r="R90" s="1"/>
      <c r="T90" s="1"/>
      <c r="X90" s="2"/>
      <c r="AM90" s="2"/>
      <c r="EO90" s="2"/>
      <c r="GT90" s="155"/>
      <c r="HZ90" s="2"/>
      <c r="KD90" s="2"/>
      <c r="KE90" s="2"/>
    </row>
    <row r="91" spans="17:294" ht="15" customHeight="1" x14ac:dyDescent="0.25">
      <c r="Q91" s="1"/>
      <c r="R91" s="1"/>
      <c r="T91" s="1"/>
      <c r="X91" s="2"/>
      <c r="AM91" s="2"/>
      <c r="EO91" s="2"/>
      <c r="GT91" s="155"/>
      <c r="HZ91" s="2"/>
      <c r="KD91" s="2"/>
      <c r="KE91" s="2"/>
    </row>
    <row r="92" spans="17:294" ht="15" customHeight="1" x14ac:dyDescent="0.25">
      <c r="Q92" s="1"/>
      <c r="R92" s="1"/>
      <c r="T92" s="1"/>
      <c r="X92" s="2"/>
      <c r="AM92" s="2"/>
      <c r="EO92" s="2"/>
      <c r="GT92" s="155"/>
      <c r="HZ92" s="2"/>
      <c r="KD92" s="2"/>
      <c r="KE92" s="2"/>
      <c r="KF92" s="2"/>
      <c r="KG92" s="2"/>
      <c r="KH92" s="2"/>
    </row>
    <row r="93" spans="17:294" ht="15" customHeight="1" x14ac:dyDescent="0.25">
      <c r="Q93" s="1"/>
      <c r="R93" s="1"/>
      <c r="T93" s="1"/>
      <c r="X93" s="2"/>
      <c r="AM93" s="2"/>
      <c r="EO93" s="2"/>
      <c r="GT93" s="155"/>
      <c r="HZ93" s="2"/>
      <c r="KD93" s="2"/>
      <c r="KE93" s="2"/>
    </row>
    <row r="94" spans="17:294" ht="15" customHeight="1" x14ac:dyDescent="0.25">
      <c r="Q94" s="1"/>
      <c r="R94" s="1"/>
      <c r="T94" s="1"/>
      <c r="X94" s="2"/>
      <c r="AM94" s="2"/>
      <c r="EO94" s="2"/>
      <c r="GT94" s="155"/>
      <c r="HZ94" s="2"/>
      <c r="KD94" s="2"/>
    </row>
    <row r="95" spans="17:294" ht="15" customHeight="1" x14ac:dyDescent="0.25">
      <c r="Q95" s="1"/>
      <c r="R95" s="1"/>
      <c r="T95" s="1"/>
      <c r="X95" s="2"/>
      <c r="AM95" s="2"/>
      <c r="EO95" s="2"/>
      <c r="GT95" s="155"/>
      <c r="HZ95" s="2"/>
      <c r="KD95" s="2"/>
    </row>
    <row r="96" spans="17:294" ht="15" customHeight="1" x14ac:dyDescent="0.25">
      <c r="Q96" s="1"/>
      <c r="R96" s="1"/>
      <c r="T96" s="1"/>
      <c r="X96" s="2"/>
      <c r="AM96" s="2"/>
      <c r="EO96" s="2"/>
      <c r="GT96" s="155"/>
      <c r="HZ96" s="2"/>
      <c r="KD96" s="2"/>
    </row>
    <row r="97" spans="17:293" ht="15" customHeight="1" x14ac:dyDescent="0.25">
      <c r="Q97" s="1"/>
      <c r="R97" s="1"/>
      <c r="T97" s="1"/>
      <c r="X97" s="2"/>
      <c r="AM97" s="2"/>
      <c r="EO97" s="2"/>
      <c r="GT97" s="155"/>
      <c r="HZ97" s="2"/>
      <c r="KD97" s="2"/>
    </row>
    <row r="98" spans="17:293" ht="15" customHeight="1" x14ac:dyDescent="0.25">
      <c r="Q98" s="1"/>
      <c r="R98" s="1"/>
      <c r="T98" s="1"/>
      <c r="X98" s="2"/>
      <c r="AM98" s="2"/>
      <c r="EO98" s="2"/>
      <c r="GT98" s="155"/>
      <c r="HZ98" s="2"/>
      <c r="KD98" s="2"/>
    </row>
    <row r="99" spans="17:293" ht="15" customHeight="1" x14ac:dyDescent="0.25">
      <c r="Q99" s="1"/>
      <c r="R99" s="1"/>
      <c r="T99" s="1"/>
      <c r="X99" s="2"/>
      <c r="AM99" s="2"/>
      <c r="EO99" s="2"/>
      <c r="GT99" s="155"/>
      <c r="HZ99" s="2"/>
      <c r="KD99" s="2"/>
    </row>
    <row r="100" spans="17:293" ht="15" customHeight="1" x14ac:dyDescent="0.25">
      <c r="Q100" s="1"/>
      <c r="R100" s="1"/>
      <c r="T100" s="1"/>
      <c r="X100" s="2"/>
      <c r="AM100" s="2"/>
      <c r="EO100" s="2"/>
      <c r="GT100" s="155"/>
      <c r="HZ100" s="2"/>
      <c r="KD100" s="2"/>
    </row>
    <row r="101" spans="17:293" ht="15" customHeight="1" x14ac:dyDescent="0.25">
      <c r="Q101" s="1"/>
      <c r="R101" s="1"/>
      <c r="T101" s="1"/>
      <c r="X101" s="2"/>
      <c r="AM101" s="2"/>
      <c r="EO101" s="2"/>
      <c r="GT101" s="155"/>
      <c r="HZ101" s="2"/>
      <c r="KD101" s="2"/>
    </row>
    <row r="102" spans="17:293" ht="15" customHeight="1" x14ac:dyDescent="0.25">
      <c r="Q102" s="1"/>
      <c r="R102" s="1"/>
      <c r="T102" s="1"/>
      <c r="X102" s="2"/>
      <c r="AM102" s="2"/>
      <c r="EO102" s="2"/>
      <c r="GT102" s="155"/>
      <c r="HZ102" s="2"/>
      <c r="KD102" s="2"/>
    </row>
    <row r="103" spans="17:293" ht="15" customHeight="1" x14ac:dyDescent="0.25">
      <c r="Q103" s="1"/>
      <c r="R103" s="1"/>
      <c r="T103" s="1"/>
      <c r="X103" s="2"/>
      <c r="AM103" s="2"/>
      <c r="EO103" s="2"/>
      <c r="GT103" s="155"/>
      <c r="HZ103" s="2"/>
      <c r="KD103" s="2"/>
    </row>
    <row r="104" spans="17:293" ht="15" customHeight="1" x14ac:dyDescent="0.25">
      <c r="Q104" s="1"/>
      <c r="R104" s="1"/>
      <c r="T104" s="1"/>
      <c r="X104" s="2"/>
      <c r="AM104" s="2"/>
      <c r="EO104" s="2"/>
      <c r="GT104" s="155"/>
      <c r="HZ104" s="2"/>
      <c r="KD104" s="2"/>
    </row>
    <row r="105" spans="17:293" ht="15" customHeight="1" x14ac:dyDescent="0.25">
      <c r="Q105" s="1"/>
      <c r="R105" s="1"/>
      <c r="T105" s="1"/>
      <c r="X105" s="2"/>
      <c r="AM105" s="2"/>
      <c r="EO105" s="2"/>
      <c r="GT105" s="155"/>
      <c r="HZ105" s="2"/>
      <c r="KD105" s="2"/>
    </row>
    <row r="106" spans="17:293" ht="15" customHeight="1" x14ac:dyDescent="0.25">
      <c r="Q106" s="1"/>
      <c r="R106" s="1"/>
      <c r="T106" s="1"/>
      <c r="X106" s="2"/>
      <c r="AM106" s="2"/>
      <c r="EO106" s="2"/>
      <c r="GT106" s="155"/>
      <c r="HZ106" s="2"/>
      <c r="KD106" s="2"/>
    </row>
    <row r="107" spans="17:293" ht="15" customHeight="1" x14ac:dyDescent="0.25">
      <c r="Q107" s="1"/>
      <c r="R107" s="1"/>
      <c r="T107" s="1"/>
      <c r="X107" s="2"/>
      <c r="AM107" s="2"/>
      <c r="EO107" s="2"/>
      <c r="GT107" s="155"/>
      <c r="HZ107" s="2"/>
      <c r="KD107" s="2"/>
      <c r="KE107" s="2"/>
    </row>
    <row r="108" spans="17:293" ht="15" customHeight="1" x14ac:dyDescent="0.25">
      <c r="Q108" s="1"/>
      <c r="R108" s="1"/>
      <c r="T108" s="1"/>
      <c r="X108" s="2"/>
      <c r="AM108" s="2"/>
      <c r="EO108" s="2"/>
      <c r="GT108" s="155"/>
      <c r="HZ108" s="2"/>
      <c r="KD108" s="2"/>
      <c r="KE108" s="2"/>
      <c r="KF108" s="2"/>
      <c r="KG108" s="2"/>
    </row>
    <row r="109" spans="17:293" ht="15" customHeight="1" x14ac:dyDescent="0.25">
      <c r="Q109" s="1"/>
      <c r="R109" s="1"/>
      <c r="T109" s="1"/>
      <c r="X109" s="2"/>
      <c r="AM109" s="2"/>
      <c r="EO109" s="2"/>
      <c r="GT109" s="155"/>
      <c r="HZ109" s="2"/>
      <c r="KD109" s="2"/>
    </row>
    <row r="110" spans="17:293" ht="15" customHeight="1" x14ac:dyDescent="0.25">
      <c r="Q110" s="1"/>
      <c r="R110" s="1"/>
      <c r="T110" s="1"/>
      <c r="X110" s="2"/>
      <c r="AM110" s="2"/>
      <c r="EO110" s="2"/>
      <c r="GT110" s="155"/>
      <c r="HZ110" s="2"/>
      <c r="KD110" s="2"/>
    </row>
    <row r="111" spans="17:293" ht="15" customHeight="1" x14ac:dyDescent="0.25">
      <c r="Q111" s="1"/>
      <c r="R111" s="1"/>
      <c r="T111" s="1"/>
      <c r="X111" s="2"/>
      <c r="AM111" s="2"/>
      <c r="EO111" s="2"/>
      <c r="GT111" s="155"/>
      <c r="HZ111" s="2"/>
      <c r="KD111" s="2"/>
    </row>
    <row r="112" spans="17:293" ht="15" customHeight="1" x14ac:dyDescent="0.25">
      <c r="Q112" s="1"/>
      <c r="R112" s="1"/>
      <c r="T112" s="1"/>
      <c r="X112" s="2"/>
      <c r="AM112" s="2"/>
      <c r="EO112" s="2"/>
      <c r="GT112" s="155"/>
      <c r="HZ112" s="2"/>
      <c r="KD112" s="2"/>
    </row>
    <row r="113" spans="17:292" ht="15" customHeight="1" x14ac:dyDescent="0.25">
      <c r="Q113" s="1"/>
      <c r="R113" s="1"/>
      <c r="T113" s="1"/>
      <c r="X113" s="2"/>
      <c r="AM113" s="2"/>
      <c r="EO113" s="2"/>
      <c r="GT113" s="155"/>
      <c r="HZ113" s="2"/>
      <c r="KD113" s="2"/>
    </row>
    <row r="114" spans="17:292" ht="15" customHeight="1" x14ac:dyDescent="0.25">
      <c r="Q114" s="1"/>
      <c r="R114" s="1"/>
      <c r="T114" s="1"/>
      <c r="X114" s="2"/>
      <c r="AM114" s="2"/>
      <c r="EO114" s="2"/>
      <c r="GT114" s="155"/>
      <c r="HZ114" s="2"/>
      <c r="KD114" s="2"/>
    </row>
    <row r="115" spans="17:292" ht="15" customHeight="1" x14ac:dyDescent="0.25">
      <c r="Q115" s="1"/>
      <c r="R115" s="1"/>
      <c r="T115" s="1"/>
      <c r="X115" s="2"/>
      <c r="AM115" s="2"/>
      <c r="EO115" s="2"/>
      <c r="GT115" s="155"/>
      <c r="HZ115" s="2"/>
      <c r="KD115" s="2"/>
    </row>
    <row r="116" spans="17:292" ht="15" customHeight="1" x14ac:dyDescent="0.25">
      <c r="Q116" s="1"/>
      <c r="R116" s="1"/>
      <c r="T116" s="1"/>
      <c r="X116" s="2"/>
      <c r="AM116" s="2"/>
      <c r="EO116" s="2"/>
      <c r="GT116" s="155"/>
      <c r="HZ116" s="2"/>
    </row>
    <row r="117" spans="17:292" ht="15" customHeight="1" x14ac:dyDescent="0.25">
      <c r="Q117" s="1"/>
      <c r="R117" s="1"/>
      <c r="T117" s="1"/>
      <c r="X117" s="2"/>
      <c r="AM117" s="2"/>
      <c r="EO117" s="2"/>
      <c r="GT117" s="155"/>
      <c r="HZ117" s="2"/>
      <c r="KD117" s="2"/>
    </row>
    <row r="118" spans="17:292" ht="15" customHeight="1" x14ac:dyDescent="0.25">
      <c r="Q118" s="1"/>
      <c r="R118" s="1"/>
      <c r="T118" s="1"/>
      <c r="X118" s="2"/>
      <c r="AM118" s="2"/>
      <c r="EO118" s="2"/>
      <c r="GT118" s="155"/>
      <c r="HZ118" s="2"/>
    </row>
    <row r="119" spans="17:292" ht="15" customHeight="1" x14ac:dyDescent="0.25">
      <c r="Q119" s="1"/>
      <c r="R119" s="1"/>
      <c r="T119" s="1"/>
      <c r="X119" s="2"/>
      <c r="AM119" s="2"/>
      <c r="EO119" s="2"/>
      <c r="GT119" s="155"/>
      <c r="HZ119" s="2"/>
    </row>
    <row r="120" spans="17:292" ht="15" customHeight="1" x14ac:dyDescent="0.25">
      <c r="Q120" s="1"/>
      <c r="R120" s="1"/>
      <c r="T120" s="1"/>
      <c r="X120" s="2"/>
      <c r="AM120" s="2"/>
      <c r="EO120" s="2"/>
      <c r="GT120" s="155"/>
      <c r="HZ120" s="2"/>
      <c r="KD120" s="2"/>
      <c r="KE120" s="2"/>
    </row>
    <row r="121" spans="17:292" ht="15" customHeight="1" x14ac:dyDescent="0.25">
      <c r="Q121" s="1"/>
      <c r="R121" s="1"/>
      <c r="T121" s="1"/>
      <c r="X121" s="2"/>
      <c r="AM121" s="2"/>
      <c r="EO121" s="2"/>
      <c r="GT121" s="155"/>
      <c r="HZ121" s="2"/>
      <c r="KD121" s="2"/>
    </row>
    <row r="122" spans="17:292" ht="15" customHeight="1" x14ac:dyDescent="0.25">
      <c r="Q122" s="1"/>
      <c r="R122" s="1"/>
      <c r="T122" s="1"/>
      <c r="X122" s="2"/>
      <c r="AM122" s="2"/>
      <c r="EO122" s="2"/>
      <c r="GT122" s="155"/>
      <c r="HZ122" s="2"/>
      <c r="KD122" s="2"/>
    </row>
    <row r="123" spans="17:292" ht="15" customHeight="1" x14ac:dyDescent="0.25">
      <c r="Q123" s="1"/>
      <c r="R123" s="1"/>
      <c r="T123" s="1"/>
      <c r="X123" s="2"/>
      <c r="AM123" s="2"/>
      <c r="EO123" s="2"/>
      <c r="GT123" s="155"/>
      <c r="HZ123" s="2"/>
      <c r="KD123" s="2"/>
      <c r="KE123" s="2"/>
      <c r="KF123" s="2"/>
    </row>
    <row r="124" spans="17:292" ht="15" customHeight="1" x14ac:dyDescent="0.25">
      <c r="Q124" s="1"/>
      <c r="R124" s="1"/>
      <c r="T124" s="1"/>
      <c r="X124" s="2"/>
      <c r="AM124" s="2"/>
      <c r="EO124" s="2"/>
      <c r="GT124" s="155"/>
      <c r="HZ124" s="2"/>
      <c r="KD124" s="2"/>
    </row>
    <row r="125" spans="17:292" ht="15" customHeight="1" x14ac:dyDescent="0.25">
      <c r="Q125" s="1"/>
      <c r="R125" s="1"/>
      <c r="T125" s="1"/>
      <c r="X125" s="2"/>
      <c r="AM125" s="2"/>
      <c r="EO125" s="2"/>
      <c r="GT125" s="155"/>
      <c r="HZ125" s="2"/>
      <c r="KD125" s="2"/>
    </row>
    <row r="126" spans="17:292" ht="15" customHeight="1" x14ac:dyDescent="0.25">
      <c r="Q126" s="1"/>
      <c r="R126" s="1"/>
      <c r="T126" s="1"/>
      <c r="X126" s="2"/>
      <c r="AM126" s="2"/>
      <c r="EO126" s="2"/>
      <c r="GT126" s="155"/>
      <c r="HZ126" s="2"/>
      <c r="KD126" s="2"/>
    </row>
    <row r="127" spans="17:292" ht="15" customHeight="1" x14ac:dyDescent="0.25">
      <c r="Q127" s="1"/>
      <c r="R127" s="1"/>
      <c r="T127" s="1"/>
      <c r="X127" s="2"/>
      <c r="AM127" s="2"/>
      <c r="EO127" s="2"/>
      <c r="GT127" s="155"/>
      <c r="HZ127" s="2"/>
      <c r="KD127" s="2"/>
    </row>
    <row r="128" spans="17:292" ht="15" customHeight="1" x14ac:dyDescent="0.25">
      <c r="Q128" s="1"/>
      <c r="R128" s="1"/>
      <c r="T128" s="1"/>
      <c r="X128" s="2"/>
      <c r="AM128" s="2"/>
      <c r="EO128" s="2"/>
      <c r="GT128" s="155"/>
      <c r="HZ128" s="2"/>
      <c r="KD128" s="2"/>
    </row>
    <row r="129" spans="17:294" ht="15" customHeight="1" x14ac:dyDescent="0.25">
      <c r="Q129" s="1"/>
      <c r="R129" s="1"/>
      <c r="T129" s="1"/>
      <c r="X129" s="2"/>
      <c r="AM129" s="2"/>
      <c r="EO129" s="2"/>
      <c r="GT129" s="155"/>
      <c r="HZ129" s="2"/>
      <c r="KD129" s="2"/>
    </row>
    <row r="130" spans="17:294" ht="15" customHeight="1" x14ac:dyDescent="0.25">
      <c r="Q130" s="1"/>
      <c r="R130" s="1"/>
      <c r="T130" s="1"/>
      <c r="X130" s="2"/>
      <c r="AM130" s="2"/>
      <c r="EO130" s="2"/>
      <c r="GT130" s="155"/>
      <c r="HZ130" s="2"/>
      <c r="KD130" s="2"/>
    </row>
    <row r="131" spans="17:294" ht="15" customHeight="1" x14ac:dyDescent="0.25">
      <c r="Q131" s="1"/>
      <c r="R131" s="1"/>
      <c r="T131" s="1"/>
      <c r="X131" s="2"/>
      <c r="AM131" s="2"/>
      <c r="EO131" s="2"/>
      <c r="GT131" s="155"/>
      <c r="HZ131" s="2"/>
      <c r="KD131" s="2"/>
    </row>
    <row r="132" spans="17:294" ht="15" customHeight="1" x14ac:dyDescent="0.25">
      <c r="Q132" s="1"/>
      <c r="R132" s="1"/>
      <c r="T132" s="1"/>
      <c r="X132" s="2"/>
      <c r="AM132" s="2"/>
      <c r="EO132" s="2"/>
      <c r="GT132" s="155"/>
      <c r="HZ132" s="2"/>
      <c r="KD132" s="2"/>
    </row>
    <row r="133" spans="17:294" ht="15" customHeight="1" x14ac:dyDescent="0.25">
      <c r="Q133" s="1"/>
      <c r="R133" s="1"/>
      <c r="T133" s="1"/>
      <c r="X133" s="2"/>
      <c r="AM133" s="2"/>
      <c r="EO133" s="2"/>
      <c r="GT133" s="155"/>
      <c r="HZ133" s="2"/>
      <c r="KD133" s="2"/>
    </row>
    <row r="134" spans="17:294" ht="15" customHeight="1" x14ac:dyDescent="0.25">
      <c r="Q134" s="1"/>
      <c r="R134" s="1"/>
      <c r="T134" s="1"/>
      <c r="X134" s="2"/>
      <c r="AM134" s="2"/>
      <c r="EO134" s="2"/>
      <c r="GT134" s="155"/>
      <c r="HZ134" s="2"/>
      <c r="KD134" s="2"/>
    </row>
    <row r="135" spans="17:294" ht="15" customHeight="1" x14ac:dyDescent="0.25">
      <c r="Q135" s="1"/>
      <c r="R135" s="1"/>
      <c r="T135" s="1"/>
      <c r="X135" s="2"/>
      <c r="AM135" s="2"/>
      <c r="EO135" s="2"/>
      <c r="GT135" s="155"/>
      <c r="HZ135" s="2"/>
      <c r="KD135" s="2"/>
    </row>
    <row r="136" spans="17:294" ht="15" customHeight="1" x14ac:dyDescent="0.25">
      <c r="Q136" s="1"/>
      <c r="R136" s="1"/>
      <c r="T136" s="1"/>
      <c r="X136" s="2"/>
      <c r="AM136" s="2"/>
      <c r="EO136" s="2"/>
      <c r="GT136" s="155"/>
      <c r="HZ136" s="2"/>
      <c r="KD136" s="2"/>
    </row>
    <row r="137" spans="17:294" ht="15" customHeight="1" x14ac:dyDescent="0.25">
      <c r="Q137" s="1"/>
      <c r="R137" s="1"/>
      <c r="T137" s="1"/>
      <c r="X137" s="2"/>
      <c r="AM137" s="2"/>
      <c r="EO137" s="2"/>
      <c r="GT137" s="155"/>
      <c r="HZ137" s="2"/>
      <c r="KD137" s="2"/>
      <c r="KE137" s="2"/>
    </row>
    <row r="138" spans="17:294" ht="15" customHeight="1" x14ac:dyDescent="0.25">
      <c r="Q138" s="1"/>
      <c r="R138" s="1"/>
      <c r="T138" s="1"/>
      <c r="X138" s="2"/>
      <c r="AM138" s="2"/>
      <c r="EO138" s="2"/>
      <c r="GT138" s="155"/>
      <c r="HZ138" s="2"/>
      <c r="KD138" s="2"/>
    </row>
    <row r="139" spans="17:294" ht="15" customHeight="1" x14ac:dyDescent="0.25">
      <c r="Q139" s="1"/>
      <c r="R139" s="1"/>
      <c r="T139" s="1"/>
      <c r="X139" s="2"/>
      <c r="AM139" s="2"/>
      <c r="EO139" s="2"/>
      <c r="GT139" s="155"/>
      <c r="HZ139" s="2"/>
      <c r="KD139" s="2"/>
    </row>
    <row r="140" spans="17:294" ht="15" customHeight="1" x14ac:dyDescent="0.25">
      <c r="Q140" s="1"/>
      <c r="R140" s="1"/>
      <c r="T140" s="1"/>
      <c r="X140" s="2"/>
      <c r="AM140" s="2"/>
      <c r="EO140" s="2"/>
      <c r="GT140" s="155"/>
      <c r="HZ140" s="2"/>
      <c r="KD140" s="2"/>
    </row>
    <row r="141" spans="17:294" ht="15" customHeight="1" x14ac:dyDescent="0.25">
      <c r="Q141" s="1"/>
      <c r="R141" s="1"/>
      <c r="T141" s="1"/>
      <c r="X141" s="2"/>
      <c r="AM141" s="2"/>
      <c r="EO141" s="2"/>
      <c r="GT141" s="155"/>
      <c r="HZ141" s="2"/>
      <c r="KD141" s="2"/>
      <c r="KE141" s="2"/>
      <c r="KF141" s="2"/>
    </row>
    <row r="142" spans="17:294" ht="15" customHeight="1" x14ac:dyDescent="0.25">
      <c r="Q142" s="1"/>
      <c r="R142" s="1"/>
      <c r="T142" s="1"/>
      <c r="X142" s="2"/>
      <c r="AM142" s="2"/>
      <c r="EO142" s="2"/>
      <c r="GT142" s="155"/>
      <c r="HZ142" s="2"/>
      <c r="KD142" s="2"/>
      <c r="KE142" s="2"/>
      <c r="KF142" s="2"/>
    </row>
    <row r="143" spans="17:294" ht="15" customHeight="1" x14ac:dyDescent="0.25">
      <c r="Q143" s="1"/>
      <c r="R143" s="1"/>
      <c r="T143" s="1"/>
      <c r="X143" s="2"/>
      <c r="AM143" s="2"/>
      <c r="EO143" s="2"/>
      <c r="GT143" s="155"/>
      <c r="HZ143" s="2"/>
      <c r="KD143" s="2"/>
      <c r="KE143" s="2"/>
      <c r="KF143" s="2"/>
      <c r="KG143" s="2"/>
      <c r="KH143" s="2"/>
    </row>
    <row r="144" spans="17:294" ht="15" customHeight="1" x14ac:dyDescent="0.25">
      <c r="Q144" s="1"/>
      <c r="R144" s="1"/>
      <c r="T144" s="1"/>
      <c r="X144" s="2"/>
      <c r="AM144" s="2"/>
      <c r="EO144" s="2"/>
      <c r="GT144" s="155"/>
      <c r="HZ144" s="2"/>
      <c r="KD144" s="2"/>
      <c r="KE144" s="2"/>
    </row>
    <row r="145" spans="17:294" ht="15" customHeight="1" x14ac:dyDescent="0.25">
      <c r="Q145" s="1"/>
      <c r="R145" s="1"/>
      <c r="T145" s="1"/>
      <c r="X145" s="2"/>
      <c r="AM145" s="2"/>
      <c r="EO145" s="2"/>
      <c r="GT145" s="155"/>
      <c r="HZ145" s="2"/>
      <c r="KD145" s="2"/>
      <c r="KE145" s="2"/>
      <c r="KF145" s="2"/>
      <c r="KG145" s="2"/>
      <c r="KH145" s="2"/>
    </row>
    <row r="146" spans="17:294" ht="15" customHeight="1" x14ac:dyDescent="0.25">
      <c r="Q146" s="1"/>
      <c r="R146" s="1"/>
      <c r="T146" s="1"/>
      <c r="X146" s="2"/>
      <c r="AM146" s="2"/>
      <c r="EO146" s="2"/>
      <c r="GT146" s="155"/>
      <c r="HZ146" s="2"/>
      <c r="KD146" s="2"/>
    </row>
    <row r="147" spans="17:294" ht="15" customHeight="1" x14ac:dyDescent="0.25">
      <c r="Q147" s="1"/>
      <c r="R147" s="1"/>
      <c r="T147" s="1"/>
      <c r="X147" s="2"/>
      <c r="AM147" s="2"/>
      <c r="EO147" s="2"/>
      <c r="GT147" s="155"/>
      <c r="HZ147" s="2"/>
      <c r="KD147" s="2"/>
      <c r="KE147" s="2"/>
      <c r="KF147" s="2"/>
      <c r="KG147" s="2"/>
    </row>
    <row r="148" spans="17:294" ht="15" customHeight="1" x14ac:dyDescent="0.25">
      <c r="Q148" s="1"/>
      <c r="R148" s="1"/>
      <c r="T148" s="1"/>
      <c r="X148" s="2"/>
      <c r="AM148" s="2"/>
      <c r="EO148" s="2"/>
      <c r="GT148" s="155"/>
      <c r="HZ148" s="2"/>
      <c r="KD148" s="2"/>
    </row>
    <row r="149" spans="17:294" ht="15" customHeight="1" x14ac:dyDescent="0.25">
      <c r="Q149" s="1"/>
      <c r="R149" s="1"/>
      <c r="T149" s="1"/>
      <c r="X149" s="2"/>
      <c r="AM149" s="2"/>
      <c r="EO149" s="2"/>
      <c r="GT149" s="155"/>
      <c r="HZ149" s="2"/>
      <c r="KD149" s="2"/>
    </row>
    <row r="150" spans="17:294" ht="15" customHeight="1" x14ac:dyDescent="0.25">
      <c r="Q150" s="1"/>
      <c r="R150" s="1"/>
      <c r="T150" s="1"/>
      <c r="X150" s="2"/>
      <c r="AM150" s="2"/>
      <c r="EO150" s="2"/>
      <c r="GT150" s="155"/>
      <c r="HZ150" s="2"/>
      <c r="KD150" s="2"/>
    </row>
    <row r="151" spans="17:294" ht="15" customHeight="1" x14ac:dyDescent="0.25">
      <c r="Q151" s="1"/>
      <c r="R151" s="1"/>
      <c r="T151" s="1"/>
      <c r="X151" s="2"/>
      <c r="AM151" s="2"/>
      <c r="EO151" s="2"/>
      <c r="GT151" s="155"/>
      <c r="HZ151" s="2"/>
      <c r="KD151" s="2"/>
    </row>
    <row r="152" spans="17:294" ht="15" customHeight="1" x14ac:dyDescent="0.25">
      <c r="Q152" s="1"/>
      <c r="R152" s="1"/>
      <c r="T152" s="1"/>
      <c r="X152" s="2"/>
      <c r="AM152" s="2"/>
      <c r="EO152" s="2"/>
      <c r="GT152" s="155"/>
      <c r="HZ152" s="2"/>
      <c r="KD152" s="2"/>
    </row>
    <row r="153" spans="17:294" ht="15" customHeight="1" x14ac:dyDescent="0.25">
      <c r="Q153" s="1"/>
      <c r="R153" s="1"/>
      <c r="T153" s="1"/>
      <c r="X153" s="2"/>
      <c r="AM153" s="2"/>
      <c r="EO153" s="2"/>
      <c r="GT153" s="155"/>
      <c r="HZ153" s="2"/>
      <c r="KD153" s="2"/>
    </row>
    <row r="154" spans="17:294" ht="15" customHeight="1" x14ac:dyDescent="0.25">
      <c r="Q154" s="1"/>
      <c r="R154" s="1"/>
      <c r="T154" s="1"/>
      <c r="X154" s="2"/>
      <c r="AM154" s="2"/>
      <c r="EO154" s="2"/>
      <c r="GT154" s="155"/>
      <c r="HZ154" s="2"/>
      <c r="KD154" s="2"/>
      <c r="KE154" s="2"/>
    </row>
    <row r="155" spans="17:294" ht="15" customHeight="1" x14ac:dyDescent="0.25">
      <c r="Q155" s="1"/>
      <c r="R155" s="1"/>
      <c r="T155" s="1"/>
      <c r="X155" s="2"/>
      <c r="AM155" s="2"/>
      <c r="EO155" s="2"/>
      <c r="GT155" s="155"/>
      <c r="HZ155" s="2"/>
      <c r="KD155" s="2"/>
    </row>
    <row r="156" spans="17:294" ht="15" customHeight="1" x14ac:dyDescent="0.25">
      <c r="Q156" s="1"/>
      <c r="R156" s="1"/>
      <c r="T156" s="1"/>
      <c r="X156" s="2"/>
      <c r="AM156" s="2"/>
      <c r="EO156" s="2"/>
      <c r="GT156" s="155"/>
      <c r="HZ156" s="2"/>
      <c r="KD156" s="2"/>
    </row>
    <row r="157" spans="17:294" ht="15" customHeight="1" x14ac:dyDescent="0.25">
      <c r="Q157" s="1"/>
      <c r="R157" s="1"/>
      <c r="T157" s="1"/>
      <c r="X157" s="2"/>
      <c r="AM157" s="2"/>
      <c r="EO157" s="2"/>
      <c r="GT157" s="155"/>
      <c r="HZ157" s="2"/>
      <c r="KD157" s="2"/>
    </row>
    <row r="158" spans="17:294" ht="15" customHeight="1" x14ac:dyDescent="0.25">
      <c r="Q158" s="1"/>
      <c r="R158" s="1"/>
      <c r="T158" s="1"/>
      <c r="X158" s="2"/>
      <c r="AM158" s="2"/>
      <c r="EO158" s="2"/>
      <c r="GT158" s="155"/>
      <c r="HZ158" s="2"/>
      <c r="KD158" s="2"/>
    </row>
    <row r="159" spans="17:294" ht="15" customHeight="1" x14ac:dyDescent="0.25">
      <c r="Q159" s="1"/>
      <c r="R159" s="1"/>
      <c r="T159" s="1"/>
      <c r="X159" s="2"/>
      <c r="AM159" s="2"/>
      <c r="EO159" s="2"/>
      <c r="GT159" s="155"/>
      <c r="HZ159" s="2"/>
      <c r="KD159" s="2"/>
    </row>
    <row r="160" spans="17:294" ht="15" customHeight="1" x14ac:dyDescent="0.25">
      <c r="Q160" s="1"/>
      <c r="R160" s="1"/>
      <c r="T160" s="1"/>
      <c r="X160" s="2"/>
      <c r="AM160" s="2"/>
      <c r="EO160" s="2"/>
      <c r="GT160" s="155"/>
      <c r="HZ160" s="2"/>
      <c r="KD160" s="2"/>
      <c r="KE160" s="2"/>
    </row>
    <row r="161" spans="17:293" ht="15" customHeight="1" x14ac:dyDescent="0.25">
      <c r="Q161" s="1"/>
      <c r="R161" s="1"/>
      <c r="T161" s="1"/>
      <c r="X161" s="2"/>
      <c r="AM161" s="2"/>
      <c r="EO161" s="2"/>
      <c r="GT161" s="155"/>
      <c r="HZ161" s="2"/>
      <c r="KD161" s="2"/>
    </row>
    <row r="162" spans="17:293" ht="15" customHeight="1" x14ac:dyDescent="0.25">
      <c r="Q162" s="1"/>
      <c r="R162" s="1"/>
      <c r="T162" s="1"/>
      <c r="X162" s="2"/>
      <c r="AM162" s="2"/>
      <c r="EO162" s="2"/>
      <c r="GT162" s="155"/>
      <c r="HZ162" s="2"/>
      <c r="KD162" s="2"/>
      <c r="KE162" s="2"/>
    </row>
    <row r="163" spans="17:293" ht="15" customHeight="1" x14ac:dyDescent="0.25">
      <c r="Q163" s="1"/>
      <c r="R163" s="1"/>
      <c r="T163" s="1"/>
      <c r="X163" s="2"/>
      <c r="AM163" s="2"/>
      <c r="EO163" s="2"/>
      <c r="GT163" s="155"/>
      <c r="HZ163" s="2"/>
      <c r="KD163" s="2"/>
      <c r="KE163" s="2"/>
    </row>
    <row r="164" spans="17:293" ht="15" customHeight="1" x14ac:dyDescent="0.25">
      <c r="Q164" s="1"/>
      <c r="R164" s="1"/>
      <c r="T164" s="1"/>
      <c r="X164" s="2"/>
      <c r="AM164" s="2"/>
      <c r="EO164" s="2"/>
      <c r="GT164" s="155"/>
      <c r="HZ164" s="2"/>
    </row>
    <row r="165" spans="17:293" ht="15" customHeight="1" x14ac:dyDescent="0.25">
      <c r="Q165" s="1"/>
      <c r="X165" s="2"/>
      <c r="AM165" s="2"/>
      <c r="EO165" s="2"/>
      <c r="GT165" s="155"/>
      <c r="HZ165" s="2"/>
      <c r="KD165" s="2"/>
      <c r="KE165" s="2"/>
      <c r="KF165" s="2"/>
    </row>
    <row r="166" spans="17:293" ht="15" customHeight="1" x14ac:dyDescent="0.25">
      <c r="Q166" s="1"/>
      <c r="R166" s="1"/>
      <c r="T166" s="1"/>
      <c r="X166" s="2"/>
      <c r="AM166" s="2"/>
      <c r="EO166" s="2"/>
      <c r="GT166" s="155"/>
      <c r="HZ166" s="2"/>
      <c r="KD166" s="2"/>
      <c r="KE166" s="2"/>
    </row>
    <row r="167" spans="17:293" ht="15" customHeight="1" x14ac:dyDescent="0.25">
      <c r="Q167" s="1"/>
      <c r="R167" s="1"/>
      <c r="T167" s="1"/>
      <c r="X167" s="2"/>
      <c r="AM167" s="2"/>
      <c r="EO167" s="2"/>
      <c r="GT167" s="155"/>
      <c r="HZ167" s="2"/>
      <c r="KD167" s="2"/>
    </row>
    <row r="168" spans="17:293" ht="15" customHeight="1" x14ac:dyDescent="0.25">
      <c r="Q168" s="1"/>
      <c r="R168" s="1"/>
      <c r="T168" s="1"/>
      <c r="X168" s="2"/>
      <c r="AM168" s="2"/>
      <c r="EO168" s="2"/>
      <c r="GT168" s="155"/>
      <c r="HZ168" s="2"/>
      <c r="KD168" s="2"/>
      <c r="KE168" s="2"/>
      <c r="KF168" s="2"/>
    </row>
    <row r="169" spans="17:293" ht="15" customHeight="1" x14ac:dyDescent="0.25">
      <c r="Q169" s="1"/>
      <c r="X169" s="2"/>
      <c r="AM169" s="2"/>
      <c r="EO169" s="2"/>
      <c r="GT169" s="155"/>
      <c r="HZ169" s="2"/>
      <c r="KD169" s="2"/>
      <c r="KE169" s="2"/>
      <c r="KF169" s="2"/>
      <c r="KG169" s="2"/>
    </row>
    <row r="170" spans="17:293" ht="15" customHeight="1" x14ac:dyDescent="0.25">
      <c r="Q170" s="1"/>
      <c r="R170" s="1"/>
      <c r="T170" s="1"/>
      <c r="X170" s="2"/>
      <c r="AM170" s="2"/>
      <c r="EO170" s="2"/>
      <c r="GT170" s="155"/>
      <c r="HZ170" s="2"/>
      <c r="KD170" s="2"/>
      <c r="KE170" s="2"/>
      <c r="KF170" s="2"/>
    </row>
    <row r="171" spans="17:293" ht="15" customHeight="1" x14ac:dyDescent="0.25">
      <c r="Q171" s="1"/>
      <c r="R171" s="1"/>
      <c r="T171" s="1"/>
      <c r="X171" s="2"/>
      <c r="AM171" s="2"/>
      <c r="EO171" s="2"/>
      <c r="GT171" s="155"/>
      <c r="HZ171" s="2"/>
      <c r="KD171" s="2"/>
    </row>
    <row r="172" spans="17:293" ht="15" customHeight="1" x14ac:dyDescent="0.25">
      <c r="Q172" s="1"/>
      <c r="R172" s="1"/>
      <c r="T172" s="1"/>
      <c r="X172" s="2"/>
      <c r="AM172" s="2"/>
      <c r="EO172" s="2"/>
      <c r="GT172" s="155"/>
      <c r="HZ172" s="2"/>
      <c r="KD172" s="2"/>
      <c r="KE172" s="2"/>
    </row>
    <row r="173" spans="17:293" ht="15" customHeight="1" x14ac:dyDescent="0.25">
      <c r="Q173" s="1"/>
      <c r="R173" s="1"/>
      <c r="T173" s="1"/>
      <c r="X173" s="2"/>
      <c r="AM173" s="2"/>
      <c r="EO173" s="2"/>
      <c r="GT173" s="155"/>
      <c r="HZ173" s="2"/>
      <c r="KD173" s="2"/>
      <c r="KE173" s="2"/>
      <c r="KF173" s="2"/>
      <c r="KG173" s="2"/>
    </row>
    <row r="174" spans="17:293" ht="15" customHeight="1" x14ac:dyDescent="0.25">
      <c r="Q174" s="1"/>
      <c r="R174" s="1"/>
      <c r="T174" s="1"/>
      <c r="X174" s="2"/>
      <c r="AM174" s="2"/>
      <c r="EO174" s="2"/>
      <c r="GT174" s="155"/>
      <c r="HZ174" s="2"/>
      <c r="KD174" s="2"/>
      <c r="KE174" s="2"/>
      <c r="KF174" s="2"/>
      <c r="KG174" s="2"/>
    </row>
    <row r="175" spans="17:293" ht="15" customHeight="1" x14ac:dyDescent="0.25">
      <c r="Q175" s="1"/>
      <c r="R175" s="1"/>
      <c r="T175" s="1"/>
      <c r="X175" s="2"/>
      <c r="AM175" s="2"/>
      <c r="EO175" s="2"/>
      <c r="GT175" s="155"/>
      <c r="HZ175" s="2"/>
      <c r="KD175" s="2"/>
      <c r="KE175" s="2"/>
    </row>
    <row r="176" spans="17:293" ht="15" customHeight="1" x14ac:dyDescent="0.25">
      <c r="Q176" s="1"/>
      <c r="R176" s="1"/>
      <c r="T176" s="1"/>
      <c r="X176" s="2"/>
      <c r="AM176" s="2"/>
      <c r="EO176" s="2"/>
      <c r="GT176" s="155"/>
      <c r="HZ176" s="2"/>
      <c r="KD176" s="2"/>
    </row>
    <row r="177" spans="17:295" ht="15" customHeight="1" x14ac:dyDescent="0.25">
      <c r="Q177" s="1"/>
      <c r="R177" s="1"/>
      <c r="T177" s="1"/>
      <c r="X177" s="2"/>
      <c r="AM177" s="2"/>
      <c r="EO177" s="2"/>
      <c r="GT177" s="155"/>
      <c r="HZ177" s="2"/>
      <c r="KD177" s="2"/>
    </row>
    <row r="178" spans="17:295" ht="15" customHeight="1" x14ac:dyDescent="0.25">
      <c r="Q178" s="1"/>
      <c r="R178" s="1"/>
      <c r="T178" s="1"/>
      <c r="X178" s="2"/>
      <c r="AM178" s="2"/>
      <c r="EO178" s="2"/>
      <c r="GT178" s="155"/>
      <c r="HZ178" s="2"/>
      <c r="KD178" s="2"/>
    </row>
    <row r="179" spans="17:295" ht="15" customHeight="1" x14ac:dyDescent="0.25">
      <c r="Q179" s="1"/>
      <c r="R179" s="1"/>
      <c r="T179" s="1"/>
      <c r="X179" s="2"/>
      <c r="AM179" s="2"/>
      <c r="EO179" s="2"/>
      <c r="GT179" s="155"/>
      <c r="HZ179" s="2"/>
      <c r="KD179" s="2"/>
      <c r="KE179" s="2"/>
    </row>
    <row r="180" spans="17:295" ht="15" customHeight="1" x14ac:dyDescent="0.25">
      <c r="Q180" s="1"/>
      <c r="R180" s="1"/>
      <c r="T180" s="1"/>
      <c r="X180" s="2"/>
      <c r="AM180" s="2"/>
      <c r="EO180" s="2"/>
      <c r="GT180" s="155"/>
      <c r="HZ180" s="2"/>
      <c r="KD180" s="2"/>
      <c r="KE180" s="2"/>
    </row>
    <row r="181" spans="17:295" ht="15" customHeight="1" x14ac:dyDescent="0.25">
      <c r="Q181" s="1"/>
      <c r="R181" s="1"/>
      <c r="T181" s="1"/>
      <c r="X181" s="2"/>
      <c r="AM181" s="2"/>
      <c r="EO181" s="2"/>
      <c r="GT181" s="155"/>
      <c r="HZ181" s="2"/>
      <c r="KD181" s="2"/>
    </row>
    <row r="182" spans="17:295" ht="15" customHeight="1" x14ac:dyDescent="0.25">
      <c r="Q182" s="1"/>
      <c r="R182" s="1"/>
      <c r="T182" s="1"/>
      <c r="X182" s="2"/>
      <c r="AM182" s="2"/>
      <c r="EO182" s="2"/>
      <c r="GT182" s="155"/>
      <c r="HZ182" s="2"/>
      <c r="KD182" s="2"/>
    </row>
    <row r="183" spans="17:295" ht="15" customHeight="1" x14ac:dyDescent="0.25">
      <c r="Q183" s="1"/>
      <c r="R183" s="1"/>
      <c r="T183" s="1"/>
      <c r="X183" s="2"/>
      <c r="AM183" s="2"/>
      <c r="EO183" s="2"/>
      <c r="GT183" s="155"/>
      <c r="HZ183" s="2"/>
      <c r="KD183" s="2"/>
    </row>
    <row r="184" spans="17:295" ht="15" customHeight="1" x14ac:dyDescent="0.25">
      <c r="Q184" s="1"/>
      <c r="R184" s="1"/>
      <c r="T184" s="1"/>
      <c r="X184" s="2"/>
      <c r="AM184" s="2"/>
      <c r="EO184" s="2"/>
      <c r="GT184" s="155"/>
      <c r="HZ184" s="2"/>
      <c r="KD184" s="2"/>
    </row>
    <row r="185" spans="17:295" ht="15" customHeight="1" x14ac:dyDescent="0.25">
      <c r="Q185" s="1"/>
      <c r="R185" s="1"/>
      <c r="T185" s="1"/>
      <c r="X185" s="2"/>
      <c r="AM185" s="2"/>
      <c r="EO185" s="2"/>
      <c r="GT185" s="155"/>
      <c r="HZ185" s="2"/>
      <c r="KD185" s="2"/>
      <c r="KE185" s="2"/>
      <c r="KF185" s="2"/>
    </row>
    <row r="186" spans="17:295" ht="15" customHeight="1" x14ac:dyDescent="0.25">
      <c r="Q186" s="1"/>
      <c r="R186" s="1"/>
      <c r="T186" s="1"/>
      <c r="X186" s="2"/>
      <c r="AM186" s="2"/>
      <c r="EO186" s="2"/>
      <c r="GT186" s="155"/>
      <c r="HZ186" s="2"/>
      <c r="KD186" s="2"/>
    </row>
    <row r="187" spans="17:295" ht="15" customHeight="1" x14ac:dyDescent="0.25">
      <c r="Q187" s="1"/>
      <c r="R187" s="1"/>
      <c r="T187" s="1"/>
      <c r="X187" s="2"/>
      <c r="AM187" s="2"/>
      <c r="EO187" s="2"/>
      <c r="GT187" s="155"/>
      <c r="HZ187" s="2"/>
      <c r="KD187" s="2"/>
      <c r="KE187" s="2"/>
    </row>
    <row r="188" spans="17:295" ht="15" customHeight="1" x14ac:dyDescent="0.25">
      <c r="Q188" s="1"/>
      <c r="R188" s="1"/>
      <c r="T188" s="1"/>
      <c r="X188" s="2"/>
      <c r="AM188" s="2"/>
      <c r="EO188" s="2"/>
      <c r="GT188" s="155"/>
      <c r="HZ188" s="2"/>
      <c r="KD188" s="2"/>
      <c r="KE188" s="2"/>
      <c r="KF188" s="2"/>
      <c r="KG188" s="2"/>
      <c r="KH188" s="2"/>
      <c r="KI188" s="2"/>
    </row>
    <row r="189" spans="17:295" ht="15" customHeight="1" x14ac:dyDescent="0.25">
      <c r="Q189" s="1"/>
      <c r="R189" s="1"/>
      <c r="T189" s="1"/>
      <c r="X189" s="2"/>
      <c r="AM189" s="2"/>
      <c r="EO189" s="2"/>
      <c r="GT189" s="155"/>
      <c r="HZ189" s="2"/>
      <c r="KD189" s="2"/>
      <c r="KE189" s="2"/>
    </row>
    <row r="190" spans="17:295" ht="15" customHeight="1" x14ac:dyDescent="0.25">
      <c r="Q190" s="1"/>
      <c r="R190" s="1"/>
      <c r="T190" s="1"/>
      <c r="X190" s="2"/>
      <c r="AM190" s="2"/>
      <c r="EO190" s="2"/>
      <c r="GT190" s="155"/>
      <c r="HZ190" s="2"/>
      <c r="KD190" s="2"/>
      <c r="KE190" s="2"/>
    </row>
    <row r="191" spans="17:295" ht="15" customHeight="1" x14ac:dyDescent="0.25">
      <c r="Q191" s="1"/>
      <c r="R191" s="1"/>
      <c r="T191" s="1"/>
      <c r="X191" s="2"/>
      <c r="AM191" s="2"/>
      <c r="EO191" s="2"/>
      <c r="GT191" s="155"/>
      <c r="HZ191" s="2"/>
      <c r="KD191" s="2"/>
    </row>
    <row r="192" spans="17:295" ht="15" customHeight="1" x14ac:dyDescent="0.25">
      <c r="Q192" s="1"/>
      <c r="R192" s="1"/>
      <c r="T192" s="1"/>
      <c r="X192" s="2"/>
      <c r="AM192" s="2"/>
      <c r="EO192" s="2"/>
      <c r="GT192" s="155"/>
      <c r="HZ192" s="2"/>
    </row>
    <row r="193" spans="17:295" ht="15" customHeight="1" x14ac:dyDescent="0.25">
      <c r="Q193" s="1"/>
      <c r="R193" s="1"/>
      <c r="T193" s="1"/>
      <c r="X193" s="2"/>
      <c r="AM193" s="2"/>
      <c r="EO193" s="2"/>
      <c r="GT193" s="155"/>
      <c r="HZ193" s="2"/>
      <c r="KD193" s="2"/>
    </row>
    <row r="194" spans="17:295" ht="15" customHeight="1" x14ac:dyDescent="0.25">
      <c r="Q194" s="1"/>
      <c r="R194" s="1"/>
      <c r="T194" s="1"/>
      <c r="X194" s="2"/>
      <c r="AM194" s="2"/>
      <c r="EO194" s="2"/>
      <c r="GT194" s="155"/>
      <c r="HZ194" s="2"/>
      <c r="KD194" s="2"/>
      <c r="KE194" s="2"/>
    </row>
    <row r="195" spans="17:295" ht="15" customHeight="1" x14ac:dyDescent="0.25">
      <c r="Q195" s="1"/>
      <c r="R195" s="1"/>
      <c r="T195" s="1"/>
      <c r="X195" s="2"/>
      <c r="AM195" s="2"/>
      <c r="EO195" s="2"/>
      <c r="GT195" s="155"/>
      <c r="HZ195" s="2"/>
      <c r="KD195" s="2"/>
    </row>
    <row r="196" spans="17:295" ht="15" customHeight="1" x14ac:dyDescent="0.25">
      <c r="Q196" s="1"/>
      <c r="R196" s="1"/>
      <c r="T196" s="1"/>
      <c r="X196" s="2"/>
      <c r="AM196" s="2"/>
      <c r="EO196" s="2"/>
      <c r="GT196" s="155"/>
      <c r="HZ196" s="2"/>
      <c r="KD196" s="2"/>
    </row>
    <row r="197" spans="17:295" ht="15" customHeight="1" x14ac:dyDescent="0.25">
      <c r="Q197" s="1"/>
      <c r="R197" s="1"/>
      <c r="T197" s="1"/>
      <c r="X197" s="2"/>
      <c r="AM197" s="2"/>
      <c r="EO197" s="2"/>
      <c r="GT197" s="155"/>
      <c r="HZ197" s="2"/>
      <c r="KD197" s="2"/>
    </row>
    <row r="198" spans="17:295" ht="15" customHeight="1" x14ac:dyDescent="0.25">
      <c r="Q198" s="1"/>
      <c r="R198" s="1"/>
      <c r="T198" s="1"/>
      <c r="X198" s="2"/>
      <c r="AM198" s="2"/>
      <c r="EO198" s="2"/>
      <c r="GT198" s="155"/>
      <c r="HZ198" s="2"/>
      <c r="KD198" s="2"/>
    </row>
    <row r="199" spans="17:295" ht="15" customHeight="1" x14ac:dyDescent="0.25">
      <c r="Q199" s="1"/>
      <c r="R199" s="1"/>
      <c r="T199" s="1"/>
      <c r="X199" s="2"/>
      <c r="AM199" s="2"/>
      <c r="EO199" s="2"/>
      <c r="GT199" s="155"/>
      <c r="HZ199" s="2"/>
      <c r="KD199" s="2"/>
    </row>
    <row r="200" spans="17:295" ht="15" customHeight="1" x14ac:dyDescent="0.25">
      <c r="Q200" s="1"/>
      <c r="R200" s="1"/>
      <c r="T200" s="1"/>
      <c r="X200" s="2"/>
      <c r="AM200" s="2"/>
      <c r="EO200" s="2"/>
      <c r="GT200" s="155"/>
      <c r="HZ200" s="2"/>
      <c r="KD200" s="2"/>
      <c r="KE200" s="2"/>
      <c r="KF200" s="2"/>
      <c r="KG200" s="2"/>
      <c r="KH200" s="2"/>
      <c r="KI200" s="2"/>
    </row>
    <row r="201" spans="17:295" ht="15" customHeight="1" x14ac:dyDescent="0.25">
      <c r="Q201" s="1"/>
      <c r="R201" s="1"/>
      <c r="X201" s="2"/>
      <c r="AM201" s="2"/>
      <c r="EO201" s="2"/>
      <c r="GT201" s="155"/>
      <c r="HZ201" s="2"/>
      <c r="KD201" s="2"/>
      <c r="KE201" s="2"/>
      <c r="KF201" s="2"/>
    </row>
    <row r="202" spans="17:295" ht="15" customHeight="1" x14ac:dyDescent="0.25">
      <c r="Q202" s="1"/>
      <c r="R202" s="1"/>
      <c r="T202" s="1"/>
      <c r="X202" s="2"/>
      <c r="AM202" s="2"/>
      <c r="EO202" s="2"/>
      <c r="GT202" s="155"/>
      <c r="HZ202" s="2"/>
    </row>
    <row r="203" spans="17:295" ht="15" customHeight="1" x14ac:dyDescent="0.25">
      <c r="Q203" s="1"/>
      <c r="R203" s="1"/>
      <c r="T203" s="1"/>
      <c r="X203" s="2"/>
      <c r="AM203" s="2"/>
      <c r="EO203" s="2"/>
      <c r="GT203" s="155"/>
      <c r="HZ203" s="2"/>
      <c r="KD203" s="2"/>
      <c r="KE203" s="2"/>
    </row>
    <row r="204" spans="17:295" ht="15" customHeight="1" x14ac:dyDescent="0.25">
      <c r="Q204" s="1"/>
      <c r="R204" s="1"/>
      <c r="T204" s="1"/>
      <c r="X204" s="2"/>
      <c r="AM204" s="2"/>
      <c r="EO204" s="2"/>
      <c r="GT204" s="155"/>
      <c r="HZ204" s="2"/>
      <c r="KD204" s="2"/>
      <c r="KE204" s="2"/>
      <c r="KF204" s="2"/>
    </row>
    <row r="205" spans="17:295" ht="15" customHeight="1" x14ac:dyDescent="0.25">
      <c r="Q205" s="1"/>
      <c r="R205" s="1"/>
      <c r="X205" s="2"/>
      <c r="AM205" s="2"/>
      <c r="EO205" s="2"/>
      <c r="GT205" s="155"/>
      <c r="HZ205" s="2"/>
    </row>
    <row r="206" spans="17:295" ht="15" customHeight="1" x14ac:dyDescent="0.25">
      <c r="Q206" s="1"/>
      <c r="R206" s="1"/>
      <c r="T206" s="1"/>
      <c r="X206" s="2"/>
      <c r="AM206" s="2"/>
      <c r="EO206" s="2"/>
      <c r="GT206" s="155"/>
      <c r="HZ206" s="2"/>
      <c r="KD206" s="2"/>
      <c r="KE206" s="2"/>
      <c r="KF206" s="2"/>
    </row>
    <row r="207" spans="17:295" ht="15" customHeight="1" x14ac:dyDescent="0.25">
      <c r="Q207" s="1"/>
      <c r="R207" s="1"/>
      <c r="T207" s="1"/>
      <c r="X207" s="2"/>
      <c r="AM207" s="2"/>
      <c r="EO207" s="2"/>
      <c r="GT207" s="155"/>
      <c r="HZ207" s="2"/>
      <c r="KD207" s="2"/>
    </row>
    <row r="208" spans="17:295" ht="15" customHeight="1" x14ac:dyDescent="0.25">
      <c r="Q208" s="1"/>
      <c r="R208" s="1"/>
      <c r="T208" s="1"/>
      <c r="X208" s="2"/>
      <c r="AM208" s="2"/>
      <c r="EO208" s="2"/>
      <c r="GT208" s="155"/>
      <c r="HZ208" s="2"/>
      <c r="KD208" s="2"/>
      <c r="KE208" s="2"/>
    </row>
    <row r="209" spans="17:295" ht="15" customHeight="1" x14ac:dyDescent="0.25">
      <c r="Q209" s="1"/>
      <c r="R209" s="1"/>
      <c r="T209" s="1"/>
      <c r="X209" s="2"/>
      <c r="AM209" s="2"/>
      <c r="EO209" s="2"/>
      <c r="GT209" s="155"/>
      <c r="HZ209" s="2"/>
      <c r="KD209" s="2"/>
      <c r="KE209" s="2"/>
    </row>
    <row r="210" spans="17:295" ht="15" customHeight="1" x14ac:dyDescent="0.25">
      <c r="Q210" s="1"/>
      <c r="R210" s="1"/>
      <c r="T210" s="1"/>
      <c r="X210" s="2"/>
      <c r="AM210" s="2"/>
      <c r="EO210" s="2"/>
      <c r="GT210" s="155"/>
      <c r="HZ210" s="2"/>
      <c r="KD210" s="2"/>
    </row>
    <row r="211" spans="17:295" ht="15" customHeight="1" x14ac:dyDescent="0.25">
      <c r="Q211" s="1"/>
      <c r="R211" s="1"/>
      <c r="T211" s="1"/>
      <c r="X211" s="2"/>
      <c r="AM211" s="2"/>
      <c r="EO211" s="2"/>
      <c r="GT211" s="155"/>
      <c r="HZ211" s="2"/>
      <c r="KD211" s="2"/>
      <c r="KE211" s="2"/>
      <c r="KF211" s="2"/>
    </row>
    <row r="212" spans="17:295" ht="15" customHeight="1" x14ac:dyDescent="0.25">
      <c r="Q212" s="1"/>
      <c r="R212" s="1"/>
      <c r="T212" s="1"/>
      <c r="X212" s="2"/>
      <c r="AM212" s="2"/>
      <c r="EO212" s="2"/>
      <c r="GT212" s="155"/>
      <c r="HZ212" s="2"/>
      <c r="KD212" s="2"/>
      <c r="KE212" s="2"/>
    </row>
    <row r="213" spans="17:295" ht="15" customHeight="1" x14ac:dyDescent="0.25">
      <c r="Q213" s="1"/>
      <c r="R213" s="1"/>
      <c r="T213" s="1"/>
      <c r="X213" s="2"/>
      <c r="AM213" s="2"/>
      <c r="EO213" s="2"/>
      <c r="GT213" s="155"/>
      <c r="HZ213" s="2"/>
      <c r="KD213" s="2"/>
      <c r="KE213" s="2"/>
    </row>
    <row r="214" spans="17:295" ht="15" customHeight="1" x14ac:dyDescent="0.25">
      <c r="Q214" s="1"/>
      <c r="R214" s="1"/>
      <c r="T214" s="1"/>
      <c r="X214" s="2"/>
      <c r="AM214" s="2"/>
      <c r="EO214" s="2"/>
      <c r="GT214" s="155"/>
      <c r="HZ214" s="2"/>
      <c r="KD214" s="2"/>
      <c r="KE214" s="2"/>
    </row>
    <row r="215" spans="17:295" ht="15" customHeight="1" x14ac:dyDescent="0.25">
      <c r="Q215" s="1"/>
      <c r="T215" s="1"/>
      <c r="X215" s="2"/>
      <c r="AM215" s="2"/>
      <c r="EO215" s="2"/>
      <c r="GT215" s="155"/>
      <c r="HZ215" s="2"/>
      <c r="KD215" s="2"/>
      <c r="KE215" s="2"/>
      <c r="KF215" s="2"/>
    </row>
    <row r="216" spans="17:295" ht="15" customHeight="1" x14ac:dyDescent="0.25">
      <c r="Q216" s="1"/>
      <c r="R216" s="1"/>
      <c r="T216" s="1"/>
      <c r="X216" s="2"/>
      <c r="AM216" s="2"/>
      <c r="EO216" s="2"/>
      <c r="GT216" s="155"/>
      <c r="HZ216" s="2"/>
      <c r="KD216" s="2"/>
      <c r="KE216" s="2"/>
      <c r="KF216" s="2"/>
    </row>
    <row r="217" spans="17:295" ht="15" customHeight="1" x14ac:dyDescent="0.25">
      <c r="Q217" s="1"/>
      <c r="R217" s="1"/>
      <c r="T217" s="1"/>
      <c r="X217" s="2"/>
      <c r="AM217" s="2"/>
      <c r="EO217" s="2"/>
      <c r="GT217" s="155"/>
      <c r="HZ217" s="2"/>
      <c r="KD217" s="2"/>
    </row>
    <row r="218" spans="17:295" ht="15" customHeight="1" x14ac:dyDescent="0.25">
      <c r="Q218" s="1"/>
      <c r="R218" s="1"/>
      <c r="T218" s="1"/>
      <c r="X218" s="2"/>
      <c r="AM218" s="2"/>
      <c r="EO218" s="2"/>
      <c r="GT218" s="155"/>
      <c r="HZ218" s="2"/>
      <c r="KD218" s="2"/>
      <c r="KE218" s="2"/>
      <c r="KF218" s="2"/>
      <c r="KG218" s="2"/>
      <c r="KH218" s="2"/>
      <c r="KI218" s="2"/>
    </row>
    <row r="219" spans="17:295" ht="15" customHeight="1" x14ac:dyDescent="0.25">
      <c r="Q219" s="1"/>
      <c r="R219" s="1"/>
      <c r="T219" s="1"/>
      <c r="X219" s="2"/>
      <c r="AM219" s="2"/>
      <c r="EO219" s="2"/>
      <c r="GT219" s="155"/>
      <c r="HZ219" s="2"/>
      <c r="KD219" s="2"/>
      <c r="KE219" s="2"/>
    </row>
    <row r="220" spans="17:295" ht="15" customHeight="1" x14ac:dyDescent="0.25">
      <c r="Q220" s="1"/>
      <c r="R220" s="1"/>
      <c r="T220" s="1"/>
      <c r="X220" s="2"/>
      <c r="AM220" s="2"/>
      <c r="EO220" s="2"/>
      <c r="GT220" s="155"/>
      <c r="HZ220" s="2"/>
      <c r="KD220" s="2"/>
      <c r="KE220" s="2"/>
      <c r="KF220" s="2"/>
      <c r="KG220" s="2"/>
      <c r="KH220" s="2"/>
      <c r="KI220" s="2"/>
    </row>
    <row r="221" spans="17:295" ht="15" customHeight="1" x14ac:dyDescent="0.25">
      <c r="Q221" s="1"/>
      <c r="X221" s="2"/>
      <c r="AM221" s="2"/>
      <c r="EO221" s="2"/>
      <c r="GT221" s="155"/>
      <c r="HZ221" s="2"/>
      <c r="KD221" s="2"/>
    </row>
    <row r="222" spans="17:295" ht="15" customHeight="1" x14ac:dyDescent="0.25">
      <c r="Q222" s="1"/>
      <c r="R222" s="1"/>
      <c r="T222" s="1"/>
      <c r="X222" s="2"/>
      <c r="AM222" s="2"/>
      <c r="EO222" s="2"/>
      <c r="GT222" s="155"/>
      <c r="HZ222" s="2"/>
      <c r="KD222" s="2"/>
      <c r="KE222" s="2"/>
    </row>
    <row r="223" spans="17:295" ht="15" customHeight="1" x14ac:dyDescent="0.25">
      <c r="Q223" s="1"/>
      <c r="R223" s="1"/>
      <c r="T223" s="1"/>
      <c r="X223" s="2"/>
      <c r="AM223" s="2"/>
      <c r="EO223" s="2"/>
      <c r="GT223" s="155"/>
      <c r="HZ223" s="2"/>
      <c r="KD223" s="2"/>
      <c r="KE223" s="2"/>
      <c r="KF223" s="2"/>
      <c r="KG223" s="2"/>
      <c r="KH223" s="2"/>
    </row>
    <row r="224" spans="17:295" ht="15" customHeight="1" x14ac:dyDescent="0.25">
      <c r="Q224" s="1"/>
      <c r="R224" s="1"/>
      <c r="T224" s="1"/>
      <c r="X224" s="2"/>
      <c r="AM224" s="2"/>
      <c r="EO224" s="2"/>
      <c r="GT224" s="155"/>
      <c r="HZ224" s="2"/>
      <c r="KD224" s="2"/>
    </row>
    <row r="225" spans="17:293" ht="15" customHeight="1" x14ac:dyDescent="0.25">
      <c r="Q225" s="1"/>
      <c r="R225" s="1"/>
      <c r="T225" s="1"/>
      <c r="X225" s="2"/>
      <c r="AM225" s="2"/>
      <c r="EO225" s="2"/>
      <c r="GT225" s="155"/>
      <c r="HZ225" s="2"/>
      <c r="KD225" s="2"/>
      <c r="KE225" s="2"/>
    </row>
    <row r="226" spans="17:293" ht="15" customHeight="1" x14ac:dyDescent="0.25">
      <c r="Q226" s="1"/>
      <c r="R226" s="1"/>
      <c r="T226" s="1"/>
      <c r="X226" s="2"/>
      <c r="AM226" s="2"/>
      <c r="EO226" s="2"/>
      <c r="GT226" s="155"/>
      <c r="HZ226" s="2"/>
      <c r="KD226" s="2"/>
      <c r="KE226" s="2"/>
    </row>
    <row r="227" spans="17:293" ht="15" customHeight="1" x14ac:dyDescent="0.25">
      <c r="Q227" s="1"/>
      <c r="R227" s="1"/>
      <c r="T227" s="1"/>
      <c r="X227" s="2"/>
      <c r="AM227" s="2"/>
      <c r="EO227" s="2"/>
      <c r="GT227" s="155"/>
      <c r="HZ227" s="2"/>
      <c r="KD227" s="2"/>
    </row>
    <row r="228" spans="17:293" ht="15" customHeight="1" x14ac:dyDescent="0.25">
      <c r="Q228" s="1"/>
      <c r="R228" s="1"/>
      <c r="T228" s="1"/>
      <c r="X228" s="2"/>
      <c r="AM228" s="2"/>
      <c r="EO228" s="2"/>
      <c r="GT228" s="155"/>
      <c r="HZ228" s="2"/>
      <c r="KD228" s="2"/>
    </row>
    <row r="229" spans="17:293" ht="15" customHeight="1" x14ac:dyDescent="0.25">
      <c r="Q229" s="1"/>
      <c r="X229" s="2"/>
      <c r="AM229" s="2"/>
      <c r="EO229" s="2"/>
      <c r="GT229" s="155"/>
      <c r="HZ229" s="2"/>
      <c r="KD229" s="2"/>
      <c r="KE229" s="2"/>
    </row>
    <row r="230" spans="17:293" ht="15" customHeight="1" x14ac:dyDescent="0.25">
      <c r="Q230" s="1"/>
      <c r="R230" s="1"/>
      <c r="T230" s="1"/>
      <c r="X230" s="2"/>
      <c r="AM230" s="2"/>
      <c r="EO230" s="2"/>
      <c r="GT230" s="155"/>
      <c r="HZ230" s="2"/>
      <c r="KD230" s="2"/>
      <c r="KE230" s="2"/>
    </row>
    <row r="231" spans="17:293" ht="15" customHeight="1" x14ac:dyDescent="0.25">
      <c r="Q231" s="1"/>
      <c r="R231" s="1"/>
      <c r="T231" s="1"/>
      <c r="X231" s="2"/>
      <c r="AM231" s="2"/>
      <c r="EO231" s="2"/>
      <c r="GT231" s="155"/>
      <c r="HZ231" s="2"/>
    </row>
    <row r="232" spans="17:293" ht="15" customHeight="1" x14ac:dyDescent="0.25">
      <c r="Q232" s="1"/>
      <c r="R232" s="1"/>
      <c r="T232" s="1"/>
      <c r="X232" s="2"/>
      <c r="AM232" s="2"/>
      <c r="EO232" s="2"/>
      <c r="GT232" s="155"/>
      <c r="HZ232" s="2"/>
      <c r="KD232" s="2"/>
    </row>
    <row r="233" spans="17:293" ht="15" customHeight="1" x14ac:dyDescent="0.25">
      <c r="Q233" s="1"/>
      <c r="R233" s="1"/>
      <c r="T233" s="1"/>
      <c r="X233" s="2"/>
      <c r="AM233" s="2"/>
      <c r="EO233" s="2"/>
      <c r="GT233" s="155"/>
      <c r="HZ233" s="2"/>
      <c r="KD233" s="2"/>
      <c r="KE233" s="2"/>
    </row>
    <row r="234" spans="17:293" ht="15" customHeight="1" x14ac:dyDescent="0.25">
      <c r="Q234" s="1"/>
      <c r="X234" s="2"/>
      <c r="AM234" s="2"/>
      <c r="EO234" s="2"/>
      <c r="GT234" s="155"/>
      <c r="HZ234" s="2"/>
      <c r="KD234" s="2"/>
      <c r="KE234" s="2"/>
    </row>
    <row r="235" spans="17:293" ht="15" customHeight="1" x14ac:dyDescent="0.25">
      <c r="Q235" s="1"/>
      <c r="R235" s="1"/>
      <c r="T235" s="1"/>
      <c r="X235" s="2"/>
      <c r="AM235" s="2"/>
      <c r="EO235" s="2"/>
      <c r="GT235" s="155"/>
      <c r="HZ235" s="2"/>
      <c r="KD235" s="2"/>
      <c r="KE235" s="2"/>
    </row>
    <row r="236" spans="17:293" ht="15" customHeight="1" x14ac:dyDescent="0.25">
      <c r="Q236" s="1"/>
      <c r="R236" s="1"/>
      <c r="T236" s="1"/>
      <c r="X236" s="2"/>
      <c r="AM236" s="2"/>
      <c r="EO236" s="2"/>
      <c r="GT236" s="155"/>
      <c r="HZ236" s="2"/>
      <c r="KD236" s="2"/>
      <c r="KE236" s="2"/>
      <c r="KF236" s="2"/>
      <c r="KG236" s="2"/>
    </row>
    <row r="237" spans="17:293" ht="15" customHeight="1" x14ac:dyDescent="0.25">
      <c r="Q237" s="1"/>
      <c r="R237" s="1"/>
      <c r="T237" s="1"/>
      <c r="X237" s="2"/>
      <c r="AM237" s="2"/>
      <c r="EO237" s="2"/>
      <c r="GT237" s="155"/>
      <c r="HZ237" s="2"/>
      <c r="KD237" s="2"/>
    </row>
    <row r="238" spans="17:293" ht="15" customHeight="1" x14ac:dyDescent="0.25">
      <c r="Q238" s="1"/>
      <c r="R238" s="1"/>
      <c r="T238" s="1"/>
      <c r="X238" s="2"/>
      <c r="AM238" s="2"/>
      <c r="EO238" s="2"/>
      <c r="GT238" s="155"/>
      <c r="HZ238" s="2"/>
      <c r="KD238" s="2"/>
    </row>
    <row r="239" spans="17:293" ht="15" customHeight="1" x14ac:dyDescent="0.25">
      <c r="Q239" s="1"/>
      <c r="R239" s="1"/>
      <c r="T239" s="1"/>
      <c r="X239" s="2"/>
      <c r="AM239" s="2"/>
      <c r="EO239" s="2"/>
      <c r="GT239" s="155"/>
      <c r="HZ239" s="2"/>
      <c r="KD239" s="2"/>
    </row>
    <row r="240" spans="17:293" ht="15" customHeight="1" x14ac:dyDescent="0.25">
      <c r="Q240" s="1"/>
      <c r="R240" s="1"/>
      <c r="T240" s="1"/>
      <c r="X240" s="2"/>
      <c r="AM240" s="2"/>
      <c r="EO240" s="2"/>
      <c r="GT240" s="155"/>
      <c r="HZ240" s="2"/>
      <c r="KD240" s="2"/>
      <c r="KE240" s="2"/>
    </row>
    <row r="241" spans="17:294" ht="15" customHeight="1" x14ac:dyDescent="0.25">
      <c r="Q241" s="1"/>
      <c r="R241" s="1"/>
      <c r="T241" s="1"/>
      <c r="X241" s="2"/>
      <c r="AM241" s="2"/>
      <c r="EO241" s="2"/>
      <c r="GT241" s="155"/>
      <c r="HZ241" s="2"/>
      <c r="KD241" s="2"/>
      <c r="KE241" s="2"/>
      <c r="KF241" s="2"/>
      <c r="KG241" s="2"/>
      <c r="KH241" s="2"/>
    </row>
    <row r="242" spans="17:294" ht="15" customHeight="1" x14ac:dyDescent="0.25">
      <c r="Q242" s="1"/>
      <c r="R242" s="1"/>
      <c r="T242" s="1"/>
      <c r="X242" s="2"/>
      <c r="AM242" s="2"/>
      <c r="EO242" s="2"/>
      <c r="GT242" s="155"/>
      <c r="HZ242" s="2"/>
      <c r="KD242" s="2"/>
    </row>
    <row r="243" spans="17:294" ht="15" customHeight="1" x14ac:dyDescent="0.25">
      <c r="Q243" s="1"/>
      <c r="R243" s="1"/>
      <c r="T243" s="1"/>
      <c r="X243" s="2"/>
      <c r="AM243" s="2"/>
      <c r="EO243" s="2"/>
      <c r="GT243" s="155"/>
      <c r="HZ243" s="2"/>
      <c r="KD243" s="2"/>
    </row>
    <row r="244" spans="17:294" ht="15" customHeight="1" x14ac:dyDescent="0.25">
      <c r="Q244" s="1"/>
      <c r="R244" s="1"/>
      <c r="T244" s="1"/>
      <c r="X244" s="2"/>
      <c r="AM244" s="2"/>
      <c r="EO244" s="2"/>
      <c r="GT244" s="155"/>
      <c r="HZ244" s="2"/>
      <c r="KD244" s="2"/>
    </row>
    <row r="245" spans="17:294" ht="15" customHeight="1" x14ac:dyDescent="0.25">
      <c r="Q245" s="1"/>
      <c r="R245" s="1"/>
      <c r="T245" s="1"/>
      <c r="X245" s="2"/>
      <c r="AM245" s="2"/>
      <c r="EO245" s="2"/>
      <c r="GT245" s="155"/>
      <c r="HZ245" s="2"/>
      <c r="KD245" s="2"/>
      <c r="KE245" s="2"/>
    </row>
    <row r="246" spans="17:294" ht="15" customHeight="1" x14ac:dyDescent="0.25">
      <c r="Q246" s="1"/>
      <c r="R246" s="1"/>
      <c r="T246" s="1"/>
      <c r="X246" s="2"/>
      <c r="AM246" s="2"/>
      <c r="EO246" s="2"/>
      <c r="GT246" s="155"/>
      <c r="HZ246" s="2"/>
      <c r="KD246" s="2"/>
      <c r="KE246" s="2"/>
      <c r="KF246" s="2"/>
      <c r="KG246" s="2"/>
    </row>
    <row r="247" spans="17:294" ht="15" customHeight="1" x14ac:dyDescent="0.25">
      <c r="Q247" s="1"/>
      <c r="R247" s="1"/>
      <c r="T247" s="1"/>
      <c r="X247" s="2"/>
      <c r="AM247" s="2"/>
      <c r="EO247" s="2"/>
      <c r="GT247" s="155"/>
      <c r="HZ247" s="2"/>
      <c r="KD247" s="2"/>
    </row>
    <row r="248" spans="17:294" ht="15" customHeight="1" x14ac:dyDescent="0.25">
      <c r="Q248" s="1"/>
      <c r="R248" s="1"/>
      <c r="T248" s="1"/>
      <c r="X248" s="2"/>
      <c r="AM248" s="2"/>
      <c r="EO248" s="2"/>
      <c r="GT248" s="155"/>
      <c r="HZ248" s="2"/>
      <c r="KD248" s="2"/>
    </row>
    <row r="249" spans="17:294" ht="15" customHeight="1" x14ac:dyDescent="0.25">
      <c r="Q249" s="1"/>
      <c r="R249" s="1"/>
      <c r="T249" s="1"/>
      <c r="X249" s="2"/>
      <c r="AM249" s="2"/>
      <c r="EO249" s="2"/>
      <c r="GT249" s="155"/>
      <c r="HZ249" s="2"/>
      <c r="KD249" s="2"/>
      <c r="KE249" s="2"/>
    </row>
    <row r="250" spans="17:294" ht="15" customHeight="1" x14ac:dyDescent="0.25">
      <c r="Q250" s="1"/>
      <c r="R250" s="1"/>
      <c r="T250" s="1"/>
      <c r="X250" s="2"/>
      <c r="AM250" s="2"/>
      <c r="EO250" s="2"/>
      <c r="GT250" s="155"/>
      <c r="HZ250" s="2"/>
      <c r="KD250" s="2"/>
      <c r="KE250" s="2"/>
    </row>
    <row r="251" spans="17:294" ht="15" customHeight="1" x14ac:dyDescent="0.25">
      <c r="Q251" s="1"/>
      <c r="R251" s="1"/>
      <c r="T251" s="1"/>
      <c r="X251" s="2"/>
      <c r="AM251" s="2"/>
      <c r="EO251" s="2"/>
      <c r="GT251" s="155"/>
      <c r="HZ251" s="2"/>
      <c r="KD251" s="2"/>
    </row>
    <row r="252" spans="17:294" ht="15" customHeight="1" x14ac:dyDescent="0.25">
      <c r="Q252" s="1"/>
      <c r="R252" s="1"/>
      <c r="T252" s="1"/>
      <c r="X252" s="2"/>
      <c r="AM252" s="2"/>
      <c r="EO252" s="2"/>
      <c r="GT252" s="155"/>
      <c r="HZ252" s="2"/>
      <c r="KD252" s="2"/>
    </row>
    <row r="253" spans="17:294" ht="15" customHeight="1" x14ac:dyDescent="0.25">
      <c r="Q253" s="1"/>
      <c r="R253" s="1"/>
      <c r="T253" s="1"/>
      <c r="X253" s="2"/>
      <c r="AM253" s="2"/>
      <c r="EO253" s="2"/>
      <c r="GT253" s="155"/>
      <c r="HZ253" s="2"/>
      <c r="KD253" s="2"/>
    </row>
    <row r="254" spans="17:294" ht="15" customHeight="1" x14ac:dyDescent="0.25">
      <c r="Q254" s="1"/>
      <c r="R254" s="1"/>
      <c r="T254" s="1"/>
      <c r="X254" s="2"/>
      <c r="AM254" s="2"/>
      <c r="EO254" s="2"/>
      <c r="GT254" s="155"/>
      <c r="HZ254" s="2"/>
      <c r="KD254" s="2"/>
      <c r="KE254" s="2"/>
      <c r="KF254" s="2"/>
    </row>
    <row r="255" spans="17:294" ht="15" customHeight="1" x14ac:dyDescent="0.25">
      <c r="Q255" s="1"/>
      <c r="R255" s="1"/>
      <c r="T255" s="1"/>
      <c r="X255" s="2"/>
      <c r="AM255" s="2"/>
      <c r="EO255" s="2"/>
      <c r="GT255" s="155"/>
      <c r="HZ255" s="2"/>
      <c r="KD255" s="2"/>
    </row>
    <row r="256" spans="17:294" ht="15" customHeight="1" x14ac:dyDescent="0.25">
      <c r="Q256" s="1"/>
      <c r="R256" s="1"/>
      <c r="T256" s="1"/>
      <c r="X256" s="2"/>
      <c r="AM256" s="2"/>
      <c r="EO256" s="2"/>
      <c r="GT256" s="155"/>
      <c r="HZ256" s="2"/>
      <c r="KD256" s="2"/>
    </row>
    <row r="257" spans="17:291" ht="15" customHeight="1" x14ac:dyDescent="0.25">
      <c r="Q257" s="1"/>
      <c r="R257" s="1"/>
      <c r="T257" s="1"/>
      <c r="X257" s="2"/>
      <c r="AM257" s="2"/>
      <c r="EO257" s="2"/>
      <c r="GT257" s="155"/>
      <c r="HZ257" s="2"/>
      <c r="KD257" s="2"/>
    </row>
    <row r="258" spans="17:291" ht="15" customHeight="1" x14ac:dyDescent="0.25">
      <c r="Q258" s="1"/>
      <c r="R258" s="1"/>
      <c r="T258" s="1"/>
      <c r="X258" s="2"/>
      <c r="AM258" s="2"/>
      <c r="EO258" s="2"/>
      <c r="GT258" s="155"/>
      <c r="HZ258" s="2"/>
      <c r="KD258" s="2"/>
      <c r="KE258" s="2"/>
    </row>
    <row r="259" spans="17:291" ht="15" customHeight="1" x14ac:dyDescent="0.25">
      <c r="Q259" s="1"/>
      <c r="R259" s="1"/>
      <c r="T259" s="1"/>
      <c r="X259" s="2"/>
      <c r="AM259" s="2"/>
      <c r="EO259" s="2"/>
      <c r="GT259" s="155"/>
      <c r="HZ259" s="2"/>
      <c r="KD259" s="2"/>
    </row>
    <row r="260" spans="17:291" ht="15" customHeight="1" x14ac:dyDescent="0.25">
      <c r="Q260" s="1"/>
      <c r="R260" s="1"/>
      <c r="T260" s="1"/>
      <c r="X260" s="2"/>
      <c r="AM260" s="2"/>
      <c r="EO260" s="2"/>
      <c r="GT260" s="155"/>
      <c r="HZ260" s="2"/>
      <c r="KD260" s="2"/>
      <c r="KE260" s="2"/>
    </row>
    <row r="261" spans="17:291" ht="15" customHeight="1" x14ac:dyDescent="0.25">
      <c r="Q261" s="1"/>
      <c r="R261" s="1"/>
      <c r="T261" s="1"/>
      <c r="X261" s="2"/>
      <c r="AM261" s="2"/>
      <c r="EO261" s="2"/>
      <c r="GT261" s="155"/>
      <c r="HZ261" s="2"/>
      <c r="KD261" s="2"/>
    </row>
    <row r="262" spans="17:291" ht="15" customHeight="1" x14ac:dyDescent="0.25">
      <c r="Q262" s="1"/>
      <c r="R262" s="1"/>
      <c r="T262" s="1"/>
      <c r="X262" s="2"/>
      <c r="AM262" s="2"/>
      <c r="EO262" s="2"/>
      <c r="GT262" s="155"/>
      <c r="HZ262" s="2"/>
      <c r="KD262" s="2"/>
      <c r="KE262" s="2"/>
    </row>
    <row r="263" spans="17:291" ht="15" customHeight="1" x14ac:dyDescent="0.25">
      <c r="Q263" s="1"/>
      <c r="R263" s="1"/>
      <c r="T263" s="1"/>
      <c r="X263" s="2"/>
      <c r="AM263" s="2"/>
      <c r="EO263" s="2"/>
      <c r="GT263" s="155"/>
      <c r="HZ263" s="2"/>
      <c r="KD263" s="2"/>
    </row>
    <row r="264" spans="17:291" ht="15" customHeight="1" x14ac:dyDescent="0.25">
      <c r="Q264" s="1"/>
      <c r="R264" s="1"/>
      <c r="T264" s="1"/>
      <c r="X264" s="2"/>
      <c r="AM264" s="2"/>
      <c r="EO264" s="2"/>
      <c r="GT264" s="155"/>
      <c r="HZ264" s="2"/>
      <c r="KD264" s="2"/>
    </row>
    <row r="265" spans="17:291" ht="15" customHeight="1" x14ac:dyDescent="0.25">
      <c r="Q265" s="1"/>
      <c r="R265" s="1"/>
      <c r="T265" s="1"/>
      <c r="X265" s="2"/>
      <c r="AM265" s="2"/>
      <c r="EO265" s="2"/>
      <c r="GT265" s="155"/>
      <c r="HZ265" s="2"/>
      <c r="KD265" s="2"/>
      <c r="KE265" s="2"/>
    </row>
    <row r="266" spans="17:291" ht="15" customHeight="1" x14ac:dyDescent="0.25">
      <c r="Q266" s="1"/>
      <c r="R266" s="1"/>
      <c r="T266" s="1"/>
      <c r="X266" s="2"/>
      <c r="AM266" s="2"/>
      <c r="EO266" s="2"/>
      <c r="GT266" s="155"/>
      <c r="HZ266" s="2"/>
      <c r="KD266" s="2"/>
      <c r="KE266" s="2"/>
    </row>
    <row r="267" spans="17:291" ht="15" customHeight="1" x14ac:dyDescent="0.25">
      <c r="Q267" s="1"/>
      <c r="R267" s="1"/>
      <c r="T267" s="1"/>
      <c r="X267" s="2"/>
      <c r="AM267" s="2"/>
      <c r="EO267" s="2"/>
      <c r="GT267" s="155"/>
      <c r="HZ267" s="2"/>
      <c r="KD267" s="2"/>
    </row>
    <row r="268" spans="17:291" ht="15" customHeight="1" x14ac:dyDescent="0.25">
      <c r="Q268" s="1"/>
      <c r="X268" s="2"/>
      <c r="AM268" s="2"/>
      <c r="EO268" s="2"/>
      <c r="GT268" s="155"/>
      <c r="HZ268" s="2"/>
    </row>
    <row r="269" spans="17:291" ht="15" customHeight="1" x14ac:dyDescent="0.25">
      <c r="Q269" s="1"/>
      <c r="R269" s="1"/>
      <c r="T269" s="1"/>
      <c r="X269" s="2"/>
      <c r="AM269" s="2"/>
      <c r="EO269" s="2"/>
      <c r="GT269" s="155"/>
      <c r="HZ269" s="2"/>
      <c r="KD269" s="2"/>
      <c r="KE269" s="2"/>
    </row>
    <row r="270" spans="17:291" ht="15" customHeight="1" x14ac:dyDescent="0.25">
      <c r="Q270" s="1"/>
      <c r="R270" s="1"/>
      <c r="T270" s="1"/>
      <c r="X270" s="2"/>
      <c r="AM270" s="2"/>
      <c r="EO270" s="2"/>
      <c r="GT270" s="155"/>
      <c r="HZ270" s="2"/>
      <c r="KD270" s="2"/>
    </row>
    <row r="271" spans="17:291" ht="15" customHeight="1" x14ac:dyDescent="0.25">
      <c r="Q271" s="1"/>
      <c r="R271" s="1"/>
      <c r="T271" s="1"/>
      <c r="X271" s="2"/>
      <c r="AM271" s="2"/>
      <c r="EO271" s="2"/>
      <c r="GT271" s="155"/>
      <c r="HZ271" s="2"/>
    </row>
    <row r="272" spans="17:291" ht="15" customHeight="1" x14ac:dyDescent="0.25">
      <c r="Q272" s="1"/>
      <c r="R272" s="1"/>
      <c r="T272" s="1"/>
      <c r="X272" s="2"/>
      <c r="AM272" s="2"/>
      <c r="EO272" s="2"/>
      <c r="GT272" s="155"/>
      <c r="HZ272" s="2"/>
      <c r="KD272" s="2"/>
    </row>
    <row r="273" spans="17:292" ht="15" customHeight="1" x14ac:dyDescent="0.25">
      <c r="Q273" s="1"/>
      <c r="R273" s="1"/>
      <c r="T273" s="1"/>
      <c r="X273" s="2"/>
      <c r="AM273" s="2"/>
      <c r="EO273" s="2"/>
      <c r="GT273" s="155"/>
      <c r="HZ273" s="2"/>
      <c r="KD273" s="2"/>
    </row>
    <row r="274" spans="17:292" ht="15" customHeight="1" x14ac:dyDescent="0.25">
      <c r="Q274" s="1"/>
      <c r="R274" s="1"/>
      <c r="T274" s="1"/>
      <c r="X274" s="2"/>
      <c r="AM274" s="2"/>
      <c r="EO274" s="2"/>
      <c r="GT274" s="155"/>
      <c r="HZ274" s="2"/>
      <c r="KD274" s="2"/>
    </row>
    <row r="275" spans="17:292" ht="15" customHeight="1" x14ac:dyDescent="0.25">
      <c r="Q275" s="1"/>
      <c r="R275" s="1"/>
      <c r="T275" s="1"/>
      <c r="X275" s="2"/>
      <c r="AM275" s="2"/>
      <c r="EO275" s="2"/>
      <c r="GT275" s="155"/>
      <c r="HZ275" s="2"/>
      <c r="KD275" s="2"/>
    </row>
    <row r="276" spans="17:292" ht="15" customHeight="1" x14ac:dyDescent="0.25">
      <c r="Q276" s="1"/>
      <c r="R276" s="1"/>
      <c r="T276" s="1"/>
      <c r="X276" s="2"/>
      <c r="AM276" s="2"/>
      <c r="EO276" s="2"/>
      <c r="GT276" s="155"/>
      <c r="HZ276" s="2"/>
      <c r="KD276" s="2"/>
      <c r="KE276" s="2"/>
      <c r="KF276" s="2"/>
    </row>
    <row r="277" spans="17:292" ht="15" customHeight="1" x14ac:dyDescent="0.25">
      <c r="Q277" s="1"/>
      <c r="R277" s="1"/>
      <c r="T277" s="1"/>
      <c r="X277" s="2"/>
      <c r="AM277" s="2"/>
      <c r="EO277" s="2"/>
      <c r="GT277" s="155"/>
      <c r="HZ277" s="2"/>
      <c r="KD277" s="2"/>
    </row>
    <row r="278" spans="17:292" ht="15" customHeight="1" x14ac:dyDescent="0.25">
      <c r="Q278" s="1"/>
      <c r="R278" s="1"/>
      <c r="T278" s="1"/>
      <c r="X278" s="2"/>
      <c r="AM278" s="2"/>
      <c r="EO278" s="2"/>
      <c r="GT278" s="155"/>
      <c r="HZ278" s="2"/>
      <c r="KD278" s="2"/>
    </row>
    <row r="279" spans="17:292" ht="15" customHeight="1" x14ac:dyDescent="0.25">
      <c r="Q279" s="1"/>
      <c r="R279" s="1"/>
      <c r="T279" s="1"/>
      <c r="X279" s="2"/>
      <c r="AM279" s="2"/>
      <c r="EO279" s="2"/>
      <c r="GT279" s="155"/>
      <c r="HZ279" s="2"/>
      <c r="KD279" s="2"/>
    </row>
    <row r="280" spans="17:292" ht="15" customHeight="1" x14ac:dyDescent="0.25">
      <c r="Q280" s="1"/>
      <c r="R280" s="1"/>
      <c r="X280" s="2"/>
      <c r="AM280" s="2"/>
      <c r="EO280" s="2"/>
      <c r="GT280" s="155"/>
      <c r="HZ280" s="2"/>
    </row>
    <row r="281" spans="17:292" ht="15" customHeight="1" x14ac:dyDescent="0.25">
      <c r="Q281" s="1"/>
      <c r="R281" s="1"/>
      <c r="T281" s="1"/>
      <c r="X281" s="2"/>
      <c r="AM281" s="2"/>
      <c r="EO281" s="2"/>
      <c r="GT281" s="155"/>
      <c r="HZ281" s="2"/>
    </row>
    <row r="282" spans="17:292" ht="15" customHeight="1" x14ac:dyDescent="0.25">
      <c r="Q282" s="1"/>
      <c r="R282" s="1"/>
      <c r="T282" s="1"/>
      <c r="X282" s="2"/>
      <c r="AM282" s="2"/>
      <c r="EO282" s="2"/>
      <c r="GT282" s="155"/>
      <c r="HZ282" s="2"/>
    </row>
    <row r="283" spans="17:292" ht="15" customHeight="1" x14ac:dyDescent="0.25">
      <c r="Q283" s="1"/>
      <c r="R283" s="1"/>
      <c r="T283" s="1"/>
      <c r="X283" s="2"/>
      <c r="AM283" s="2"/>
      <c r="EO283" s="2"/>
      <c r="GT283" s="155"/>
      <c r="HZ283" s="2"/>
    </row>
    <row r="284" spans="17:292" ht="15" customHeight="1" x14ac:dyDescent="0.25">
      <c r="Q284" s="1"/>
      <c r="R284" s="1"/>
      <c r="T284" s="1"/>
      <c r="X284" s="2"/>
      <c r="AM284" s="2"/>
      <c r="EO284" s="2"/>
      <c r="GT284" s="155"/>
      <c r="HZ284" s="2"/>
      <c r="KD284" s="2"/>
      <c r="KE284" s="2"/>
      <c r="KF284" s="2"/>
    </row>
    <row r="285" spans="17:292" ht="15" customHeight="1" x14ac:dyDescent="0.25">
      <c r="Q285" s="1"/>
      <c r="R285" s="1"/>
      <c r="T285" s="1"/>
      <c r="X285" s="2"/>
      <c r="AM285" s="2"/>
      <c r="EO285" s="2"/>
      <c r="GT285" s="155"/>
      <c r="HZ285" s="2"/>
      <c r="KD285" s="2"/>
    </row>
    <row r="286" spans="17:292" ht="15" customHeight="1" x14ac:dyDescent="0.25">
      <c r="Q286" s="1"/>
      <c r="R286" s="1"/>
      <c r="T286" s="1"/>
      <c r="X286" s="2"/>
      <c r="AM286" s="2"/>
      <c r="EO286" s="2"/>
      <c r="GT286" s="155"/>
      <c r="HZ286" s="2"/>
      <c r="KD286" s="2"/>
      <c r="KE286" s="2"/>
      <c r="KF286" s="2"/>
    </row>
    <row r="287" spans="17:292" ht="15" customHeight="1" x14ac:dyDescent="0.25">
      <c r="Q287" s="1"/>
      <c r="R287" s="1"/>
      <c r="T287" s="1"/>
      <c r="X287" s="2"/>
      <c r="AM287" s="2"/>
      <c r="EO287" s="2"/>
      <c r="GT287" s="155"/>
      <c r="HZ287" s="2"/>
      <c r="KD287" s="2"/>
      <c r="KE287" s="2"/>
      <c r="KF287" s="2"/>
    </row>
    <row r="288" spans="17:292" ht="15" customHeight="1" x14ac:dyDescent="0.25">
      <c r="Q288" s="1"/>
      <c r="R288" s="1"/>
      <c r="T288" s="1"/>
      <c r="X288" s="2"/>
      <c r="AM288" s="2"/>
      <c r="EO288" s="2"/>
      <c r="GT288" s="155"/>
      <c r="HZ288" s="2"/>
      <c r="KD288" s="2"/>
      <c r="KE288" s="2"/>
    </row>
    <row r="289" spans="17:295" ht="15" customHeight="1" x14ac:dyDescent="0.25">
      <c r="Q289" s="1"/>
      <c r="R289" s="1"/>
      <c r="T289" s="1"/>
      <c r="X289" s="2"/>
      <c r="AM289" s="2"/>
      <c r="EO289" s="2"/>
      <c r="GT289" s="155"/>
      <c r="HZ289" s="2"/>
      <c r="KD289" s="2"/>
    </row>
    <row r="290" spans="17:295" ht="15" customHeight="1" x14ac:dyDescent="0.25">
      <c r="Q290" s="1"/>
      <c r="R290" s="1"/>
      <c r="T290" s="1"/>
      <c r="X290" s="2"/>
      <c r="AM290" s="2"/>
      <c r="EO290" s="2"/>
      <c r="GT290" s="155"/>
      <c r="HZ290" s="2"/>
      <c r="KD290" s="2"/>
      <c r="KE290" s="2"/>
    </row>
    <row r="291" spans="17:295" ht="15" customHeight="1" x14ac:dyDescent="0.25">
      <c r="Q291" s="1"/>
      <c r="R291" s="1"/>
      <c r="T291" s="1"/>
      <c r="X291" s="2"/>
      <c r="AM291" s="2"/>
      <c r="EO291" s="2"/>
      <c r="GT291" s="155"/>
      <c r="HZ291" s="2"/>
      <c r="KD291" s="2"/>
      <c r="KE291" s="2"/>
    </row>
    <row r="292" spans="17:295" ht="15" customHeight="1" x14ac:dyDescent="0.25">
      <c r="Q292" s="1"/>
      <c r="R292" s="1"/>
      <c r="T292" s="1"/>
      <c r="X292" s="2"/>
      <c r="AM292" s="2"/>
      <c r="EO292" s="2"/>
      <c r="GT292" s="155"/>
      <c r="HZ292" s="2"/>
      <c r="KD292" s="2"/>
    </row>
    <row r="293" spans="17:295" ht="15" customHeight="1" x14ac:dyDescent="0.25">
      <c r="Q293" s="1"/>
      <c r="R293" s="1"/>
      <c r="T293" s="1"/>
      <c r="X293" s="2"/>
      <c r="AM293" s="2"/>
      <c r="EO293" s="2"/>
      <c r="GT293" s="155"/>
      <c r="HZ293" s="2"/>
      <c r="KD293" s="2"/>
      <c r="KE293" s="2"/>
      <c r="KF293" s="2"/>
      <c r="KG293" s="2"/>
      <c r="KH293" s="2"/>
    </row>
    <row r="294" spans="17:295" ht="15" customHeight="1" x14ac:dyDescent="0.25">
      <c r="Q294" s="1"/>
      <c r="R294" s="1"/>
      <c r="T294" s="1"/>
      <c r="X294" s="2"/>
      <c r="AM294" s="2"/>
      <c r="EO294" s="2"/>
      <c r="GT294" s="155"/>
      <c r="HZ294" s="2"/>
      <c r="KD294" s="2"/>
    </row>
    <row r="295" spans="17:295" ht="15" customHeight="1" x14ac:dyDescent="0.25">
      <c r="Q295" s="1"/>
      <c r="R295" s="1"/>
      <c r="T295" s="1"/>
      <c r="X295" s="2"/>
      <c r="AM295" s="2"/>
      <c r="EO295" s="2"/>
      <c r="GT295" s="155"/>
      <c r="HZ295" s="2"/>
    </row>
    <row r="296" spans="17:295" ht="15" customHeight="1" x14ac:dyDescent="0.25">
      <c r="Q296" s="1"/>
      <c r="R296" s="1"/>
      <c r="T296" s="1"/>
      <c r="X296" s="2"/>
      <c r="AM296" s="2"/>
      <c r="EO296" s="2"/>
      <c r="GT296" s="155"/>
      <c r="HZ296" s="2"/>
      <c r="KD296" s="2"/>
    </row>
    <row r="297" spans="17:295" ht="15" customHeight="1" x14ac:dyDescent="0.25">
      <c r="Q297" s="1"/>
      <c r="R297" s="1"/>
      <c r="T297" s="1"/>
      <c r="X297" s="2"/>
      <c r="AM297" s="2"/>
      <c r="EO297" s="2"/>
      <c r="GT297" s="155"/>
      <c r="HZ297" s="2"/>
    </row>
    <row r="298" spans="17:295" ht="15" customHeight="1" x14ac:dyDescent="0.25">
      <c r="Q298" s="1"/>
      <c r="R298" s="1"/>
      <c r="T298" s="1"/>
      <c r="X298" s="2"/>
      <c r="AM298" s="2"/>
      <c r="EO298" s="2"/>
      <c r="GT298" s="155"/>
      <c r="HZ298" s="2"/>
      <c r="KD298" s="2"/>
      <c r="KE298" s="2"/>
      <c r="KF298" s="2"/>
      <c r="KG298" s="2"/>
      <c r="KH298" s="2"/>
    </row>
    <row r="299" spans="17:295" ht="15" customHeight="1" x14ac:dyDescent="0.25">
      <c r="Q299" s="1"/>
      <c r="R299" s="1"/>
      <c r="T299" s="1"/>
      <c r="X299" s="2"/>
      <c r="AM299" s="2"/>
      <c r="EO299" s="2"/>
      <c r="GT299" s="155"/>
      <c r="HZ299" s="2"/>
      <c r="KD299" s="2"/>
      <c r="KE299" s="2"/>
    </row>
    <row r="300" spans="17:295" ht="15" customHeight="1" x14ac:dyDescent="0.25">
      <c r="Q300" s="1"/>
      <c r="R300" s="1"/>
      <c r="T300" s="1"/>
      <c r="X300" s="2"/>
      <c r="AM300" s="2"/>
      <c r="EO300" s="2"/>
      <c r="GT300" s="155"/>
      <c r="HZ300" s="2"/>
      <c r="KD300" s="2"/>
      <c r="KE300" s="2"/>
      <c r="KF300" s="2"/>
      <c r="KG300" s="2"/>
      <c r="KH300" s="2"/>
      <c r="KI300" s="2"/>
    </row>
    <row r="301" spans="17:295" ht="15" customHeight="1" x14ac:dyDescent="0.25">
      <c r="Q301" s="1"/>
      <c r="R301" s="1"/>
      <c r="T301" s="1"/>
      <c r="X301" s="2"/>
      <c r="AM301" s="2"/>
      <c r="EO301" s="2"/>
      <c r="GT301" s="155"/>
      <c r="HZ301" s="2"/>
      <c r="KD301" s="2"/>
      <c r="KE301" s="2"/>
      <c r="KF301" s="2"/>
    </row>
    <row r="302" spans="17:295" ht="15" customHeight="1" x14ac:dyDescent="0.25">
      <c r="Q302" s="1"/>
      <c r="R302" s="1"/>
      <c r="T302" s="1"/>
      <c r="X302" s="2"/>
      <c r="AM302" s="2"/>
      <c r="EO302" s="2"/>
      <c r="GT302" s="155"/>
      <c r="HZ302" s="2"/>
      <c r="KD302" s="2"/>
      <c r="KE302" s="2"/>
    </row>
    <row r="303" spans="17:295" ht="15" customHeight="1" x14ac:dyDescent="0.25">
      <c r="Q303" s="1"/>
      <c r="R303" s="1"/>
      <c r="T303" s="1"/>
      <c r="X303" s="2"/>
      <c r="AM303" s="2"/>
      <c r="EO303" s="2"/>
      <c r="GT303" s="155"/>
      <c r="HZ303" s="2"/>
    </row>
    <row r="304" spans="17:295" ht="15" customHeight="1" x14ac:dyDescent="0.25">
      <c r="Q304" s="1"/>
      <c r="R304" s="1"/>
      <c r="T304" s="1"/>
      <c r="X304" s="2"/>
      <c r="AM304" s="2"/>
      <c r="EO304" s="2"/>
      <c r="GT304" s="155"/>
      <c r="HZ304" s="2"/>
    </row>
    <row r="305" spans="17:295" ht="15" customHeight="1" x14ac:dyDescent="0.25">
      <c r="Q305" s="1"/>
      <c r="R305" s="1"/>
      <c r="T305" s="1"/>
      <c r="X305" s="2"/>
      <c r="AM305" s="2"/>
      <c r="EO305" s="2"/>
      <c r="GT305" s="155"/>
      <c r="HZ305" s="2"/>
    </row>
    <row r="306" spans="17:295" ht="15" customHeight="1" x14ac:dyDescent="0.25">
      <c r="Q306" s="1"/>
      <c r="R306" s="1"/>
      <c r="T306" s="1"/>
      <c r="X306" s="2"/>
      <c r="AM306" s="2"/>
      <c r="EO306" s="2"/>
      <c r="GT306" s="155"/>
      <c r="HZ306" s="2"/>
    </row>
    <row r="307" spans="17:295" ht="15" customHeight="1" x14ac:dyDescent="0.25">
      <c r="Q307" s="1"/>
      <c r="R307" s="1"/>
      <c r="T307" s="1"/>
      <c r="X307" s="2"/>
      <c r="AM307" s="2"/>
      <c r="EO307" s="2"/>
      <c r="GT307" s="155"/>
      <c r="HZ307" s="2"/>
      <c r="KD307" s="2"/>
      <c r="KE307" s="2"/>
      <c r="KF307" s="2"/>
    </row>
    <row r="308" spans="17:295" ht="15" customHeight="1" x14ac:dyDescent="0.25">
      <c r="Q308" s="1"/>
      <c r="R308" s="1"/>
      <c r="T308" s="1"/>
      <c r="X308" s="2"/>
      <c r="AM308" s="2"/>
      <c r="EO308" s="2"/>
      <c r="GT308" s="155"/>
      <c r="HZ308" s="2"/>
      <c r="KD308" s="2"/>
    </row>
    <row r="309" spans="17:295" ht="15" customHeight="1" x14ac:dyDescent="0.25">
      <c r="Q309" s="1"/>
      <c r="R309" s="1"/>
      <c r="T309" s="1"/>
      <c r="X309" s="2"/>
      <c r="AM309" s="2"/>
      <c r="EO309" s="2"/>
      <c r="GT309" s="155"/>
      <c r="HZ309" s="2"/>
      <c r="KD309" s="2"/>
      <c r="KE309" s="2"/>
    </row>
    <row r="310" spans="17:295" ht="15" customHeight="1" x14ac:dyDescent="0.25">
      <c r="Q310" s="1"/>
      <c r="R310" s="1"/>
      <c r="T310" s="1"/>
      <c r="X310" s="2"/>
      <c r="AM310" s="2"/>
      <c r="EO310" s="2"/>
      <c r="GT310" s="155"/>
      <c r="HZ310" s="2"/>
      <c r="KD310" s="2"/>
    </row>
    <row r="311" spans="17:295" ht="15" customHeight="1" x14ac:dyDescent="0.25">
      <c r="Q311" s="1"/>
      <c r="R311" s="1"/>
      <c r="T311" s="1"/>
      <c r="X311" s="2"/>
      <c r="AM311" s="2"/>
      <c r="EO311" s="2"/>
      <c r="GT311" s="155"/>
      <c r="HZ311" s="2"/>
      <c r="KD311" s="2"/>
      <c r="KE311" s="2"/>
      <c r="KF311" s="2"/>
      <c r="KG311" s="2"/>
      <c r="KH311" s="2"/>
      <c r="KI311" s="2"/>
    </row>
    <row r="312" spans="17:295" ht="15" customHeight="1" x14ac:dyDescent="0.25">
      <c r="Q312" s="1"/>
      <c r="R312" s="1"/>
      <c r="T312" s="1"/>
      <c r="X312" s="2"/>
      <c r="AM312" s="2"/>
      <c r="EO312" s="2"/>
      <c r="GT312" s="155"/>
      <c r="HZ312" s="2"/>
      <c r="KD312" s="2"/>
      <c r="KE312" s="2"/>
    </row>
    <row r="313" spans="17:295" ht="15" customHeight="1" x14ac:dyDescent="0.25">
      <c r="Q313" s="1"/>
      <c r="R313" s="1"/>
      <c r="T313" s="1"/>
      <c r="X313" s="2"/>
      <c r="AM313" s="2"/>
      <c r="EO313" s="2"/>
      <c r="GT313" s="155"/>
      <c r="HZ313" s="2"/>
      <c r="KD313" s="2"/>
    </row>
    <row r="314" spans="17:295" ht="15" customHeight="1" x14ac:dyDescent="0.25">
      <c r="Q314" s="1"/>
      <c r="R314" s="1"/>
      <c r="T314" s="1"/>
      <c r="X314" s="2"/>
      <c r="AM314" s="2"/>
      <c r="EO314" s="2"/>
      <c r="GT314" s="155"/>
      <c r="HZ314" s="2"/>
    </row>
    <row r="315" spans="17:295" ht="15" customHeight="1" x14ac:dyDescent="0.25">
      <c r="Q315" s="1"/>
      <c r="R315" s="1"/>
      <c r="T315" s="1"/>
      <c r="X315" s="2"/>
      <c r="AM315" s="2"/>
      <c r="EO315" s="2"/>
      <c r="GT315" s="155"/>
      <c r="HZ315" s="2"/>
      <c r="KD315" s="2"/>
      <c r="KE315" s="2"/>
    </row>
    <row r="316" spans="17:295" ht="15" customHeight="1" x14ac:dyDescent="0.25">
      <c r="Q316" s="1"/>
      <c r="R316" s="1"/>
      <c r="T316" s="1"/>
      <c r="X316" s="2"/>
      <c r="AM316" s="2"/>
      <c r="EO316" s="2"/>
      <c r="GT316" s="155"/>
      <c r="HZ316" s="2"/>
      <c r="KD316" s="2"/>
    </row>
    <row r="317" spans="17:295" ht="15" customHeight="1" x14ac:dyDescent="0.25">
      <c r="Q317" s="1"/>
      <c r="R317" s="1"/>
      <c r="T317" s="1"/>
      <c r="X317" s="2"/>
      <c r="AM317" s="2"/>
      <c r="EO317" s="2"/>
      <c r="GT317" s="155"/>
      <c r="HZ317" s="2"/>
      <c r="KD317" s="2"/>
    </row>
    <row r="318" spans="17:295" ht="15" customHeight="1" x14ac:dyDescent="0.25">
      <c r="Q318" s="1"/>
      <c r="R318" s="1"/>
      <c r="T318" s="1"/>
      <c r="X318" s="2"/>
      <c r="AM318" s="2"/>
      <c r="EO318" s="2"/>
      <c r="GT318" s="155"/>
      <c r="HZ318" s="2"/>
    </row>
    <row r="319" spans="17:295" ht="15" customHeight="1" x14ac:dyDescent="0.25">
      <c r="Q319" s="1"/>
      <c r="R319" s="1"/>
      <c r="T319" s="1"/>
      <c r="X319" s="2"/>
      <c r="AM319" s="2"/>
      <c r="EO319" s="2"/>
      <c r="GT319" s="155"/>
      <c r="HZ319" s="2"/>
      <c r="KD319" s="2"/>
    </row>
    <row r="320" spans="17:295" ht="15" customHeight="1" x14ac:dyDescent="0.25">
      <c r="Q320" s="1"/>
      <c r="R320" s="1"/>
      <c r="T320" s="1"/>
      <c r="X320" s="2"/>
      <c r="AM320" s="2"/>
      <c r="EO320" s="2"/>
      <c r="GT320" s="155"/>
      <c r="HZ320" s="2"/>
      <c r="KD320" s="2"/>
    </row>
    <row r="321" spans="17:295" ht="15" customHeight="1" x14ac:dyDescent="0.25">
      <c r="Q321" s="1"/>
      <c r="R321" s="1"/>
      <c r="T321" s="1"/>
      <c r="X321" s="2"/>
      <c r="AM321" s="2"/>
      <c r="EO321" s="2"/>
      <c r="GT321" s="155"/>
      <c r="HZ321" s="2"/>
      <c r="KD321" s="2"/>
      <c r="KE321" s="2"/>
      <c r="KF321" s="2"/>
    </row>
    <row r="322" spans="17:295" ht="15" customHeight="1" x14ac:dyDescent="0.25">
      <c r="Q322" s="1"/>
      <c r="R322" s="1"/>
      <c r="T322" s="1"/>
      <c r="X322" s="2"/>
      <c r="AM322" s="2"/>
      <c r="EO322" s="2"/>
      <c r="GT322" s="155"/>
      <c r="HZ322" s="2"/>
      <c r="KD322" s="2"/>
    </row>
    <row r="323" spans="17:295" ht="15" customHeight="1" x14ac:dyDescent="0.25">
      <c r="Q323" s="1"/>
      <c r="R323" s="1"/>
      <c r="T323" s="1"/>
      <c r="X323" s="2"/>
      <c r="AM323" s="2"/>
      <c r="EO323" s="2"/>
      <c r="GT323" s="155"/>
      <c r="HZ323" s="2"/>
      <c r="KD323" s="2"/>
    </row>
    <row r="324" spans="17:295" ht="15" customHeight="1" x14ac:dyDescent="0.25">
      <c r="Q324" s="1"/>
      <c r="R324" s="1"/>
      <c r="T324" s="1"/>
      <c r="X324" s="2"/>
      <c r="AM324" s="2"/>
      <c r="EO324" s="2"/>
      <c r="GT324" s="155"/>
      <c r="HZ324" s="2"/>
      <c r="KD324" s="2"/>
    </row>
    <row r="325" spans="17:295" ht="15" customHeight="1" x14ac:dyDescent="0.25">
      <c r="Q325" s="1"/>
      <c r="R325" s="1"/>
      <c r="X325" s="2"/>
      <c r="AM325" s="2"/>
      <c r="EO325" s="2"/>
      <c r="GT325" s="155"/>
      <c r="HZ325" s="2"/>
    </row>
    <row r="326" spans="17:295" ht="15" customHeight="1" x14ac:dyDescent="0.25">
      <c r="Q326" s="1"/>
      <c r="R326" s="1"/>
      <c r="T326" s="1"/>
      <c r="X326" s="2"/>
      <c r="AM326" s="2"/>
      <c r="EO326" s="2"/>
      <c r="GT326" s="155"/>
      <c r="HZ326" s="2"/>
      <c r="KD326" s="2"/>
      <c r="KE326" s="2"/>
    </row>
    <row r="327" spans="17:295" ht="15" customHeight="1" x14ac:dyDescent="0.25">
      <c r="Q327" s="1"/>
      <c r="R327" s="1"/>
      <c r="T327" s="1"/>
      <c r="X327" s="2"/>
      <c r="AM327" s="2"/>
      <c r="EO327" s="2"/>
      <c r="GT327" s="155"/>
      <c r="HZ327" s="2"/>
    </row>
    <row r="328" spans="17:295" ht="15" customHeight="1" x14ac:dyDescent="0.25">
      <c r="Q328" s="1"/>
      <c r="R328" s="1"/>
      <c r="T328" s="1"/>
      <c r="X328" s="2"/>
      <c r="AM328" s="2"/>
      <c r="EO328" s="2"/>
      <c r="GT328" s="155"/>
      <c r="HZ328" s="2"/>
    </row>
    <row r="329" spans="17:295" ht="15" customHeight="1" x14ac:dyDescent="0.25">
      <c r="Q329" s="1"/>
      <c r="R329" s="1"/>
      <c r="T329" s="1"/>
      <c r="X329" s="2"/>
      <c r="AM329" s="2"/>
      <c r="EO329" s="2"/>
      <c r="GT329" s="155"/>
      <c r="HZ329" s="2"/>
    </row>
    <row r="330" spans="17:295" ht="15" customHeight="1" x14ac:dyDescent="0.25">
      <c r="Q330" s="1"/>
      <c r="R330" s="1"/>
      <c r="T330" s="1"/>
      <c r="X330" s="2"/>
      <c r="AM330" s="2"/>
      <c r="EO330" s="2"/>
      <c r="GT330" s="155"/>
      <c r="HZ330" s="2"/>
      <c r="KD330" s="2"/>
    </row>
    <row r="331" spans="17:295" ht="15" customHeight="1" x14ac:dyDescent="0.25">
      <c r="Q331" s="1"/>
      <c r="R331" s="1"/>
      <c r="T331" s="1"/>
      <c r="X331" s="2"/>
      <c r="AM331" s="2"/>
      <c r="EO331" s="2"/>
      <c r="GT331" s="155"/>
      <c r="HZ331" s="2"/>
    </row>
    <row r="332" spans="17:295" ht="15" customHeight="1" x14ac:dyDescent="0.25">
      <c r="Q332" s="1"/>
      <c r="R332" s="1"/>
      <c r="T332" s="1"/>
      <c r="X332" s="2"/>
      <c r="AM332" s="2"/>
      <c r="EO332" s="2"/>
      <c r="GT332" s="155"/>
      <c r="HZ332" s="2"/>
    </row>
    <row r="333" spans="17:295" ht="15" customHeight="1" x14ac:dyDescent="0.25">
      <c r="Q333" s="1"/>
      <c r="R333" s="1"/>
      <c r="T333" s="1"/>
      <c r="X333" s="2"/>
      <c r="AM333" s="2"/>
      <c r="EO333" s="2"/>
      <c r="GT333" s="155"/>
      <c r="HZ333" s="2"/>
      <c r="KD333" s="2"/>
    </row>
    <row r="334" spans="17:295" ht="15" customHeight="1" x14ac:dyDescent="0.25">
      <c r="Q334" s="1"/>
      <c r="R334" s="1"/>
      <c r="T334" s="1"/>
      <c r="X334" s="2"/>
      <c r="AM334" s="2"/>
      <c r="EO334" s="2"/>
      <c r="GT334" s="155"/>
      <c r="HZ334" s="2"/>
    </row>
    <row r="335" spans="17:295" ht="15" customHeight="1" x14ac:dyDescent="0.25">
      <c r="Q335" s="1"/>
      <c r="R335" s="1"/>
      <c r="T335" s="1"/>
      <c r="X335" s="2"/>
      <c r="AM335" s="2"/>
      <c r="EO335" s="2"/>
      <c r="GT335" s="155"/>
      <c r="HZ335" s="2"/>
      <c r="KD335" s="2"/>
    </row>
    <row r="336" spans="17:295" ht="15" customHeight="1" x14ac:dyDescent="0.25">
      <c r="Q336" s="1"/>
      <c r="R336" s="1"/>
      <c r="X336" s="2"/>
      <c r="AM336" s="2"/>
      <c r="EO336" s="2"/>
      <c r="GT336" s="155"/>
      <c r="HZ336" s="2"/>
      <c r="KD336" s="2"/>
      <c r="KE336" s="2"/>
      <c r="KF336" s="2"/>
      <c r="KG336" s="2"/>
      <c r="KH336" s="2"/>
      <c r="KI336" s="2"/>
    </row>
    <row r="337" spans="17:299" ht="15" customHeight="1" x14ac:dyDescent="0.25">
      <c r="Q337" s="1"/>
      <c r="R337" s="1"/>
      <c r="T337" s="1"/>
      <c r="X337" s="2"/>
      <c r="AM337" s="2"/>
      <c r="EO337" s="2"/>
      <c r="GT337" s="155"/>
      <c r="HZ337" s="2"/>
    </row>
    <row r="338" spans="17:299" ht="15" customHeight="1" x14ac:dyDescent="0.25">
      <c r="Q338" s="1"/>
      <c r="R338" s="1"/>
      <c r="T338" s="1"/>
      <c r="X338" s="2"/>
      <c r="AM338" s="2"/>
      <c r="EO338" s="2"/>
      <c r="GT338" s="155"/>
      <c r="HZ338" s="2"/>
      <c r="KD338" s="2"/>
    </row>
    <row r="339" spans="17:299" ht="15" customHeight="1" x14ac:dyDescent="0.25">
      <c r="Q339" s="1"/>
      <c r="R339" s="1"/>
      <c r="T339" s="1"/>
      <c r="X339" s="2"/>
      <c r="AM339" s="2"/>
      <c r="EO339" s="2"/>
      <c r="GT339" s="155"/>
      <c r="HZ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</row>
    <row r="340" spans="17:299" ht="15" customHeight="1" x14ac:dyDescent="0.25">
      <c r="Q340" s="1"/>
      <c r="R340" s="1"/>
      <c r="T340" s="1"/>
      <c r="X340" s="2"/>
      <c r="AM340" s="2"/>
      <c r="EO340" s="2"/>
      <c r="GT340" s="155"/>
      <c r="HZ340" s="2"/>
      <c r="KD340" s="2"/>
      <c r="KE340" s="2"/>
      <c r="KF340" s="2"/>
    </row>
    <row r="341" spans="17:299" ht="15" customHeight="1" x14ac:dyDescent="0.25">
      <c r="Q341" s="1"/>
      <c r="R341" s="1"/>
      <c r="X341" s="2"/>
      <c r="AM341" s="2"/>
      <c r="EO341" s="2"/>
      <c r="GT341" s="155"/>
      <c r="HZ341" s="2"/>
    </row>
    <row r="342" spans="17:299" ht="15" customHeight="1" x14ac:dyDescent="0.25">
      <c r="Q342" s="1"/>
      <c r="R342" s="1"/>
      <c r="X342" s="2"/>
      <c r="AM342" s="2"/>
      <c r="EO342" s="2"/>
      <c r="GT342" s="155"/>
      <c r="HZ342" s="2"/>
    </row>
    <row r="343" spans="17:299" ht="15" customHeight="1" x14ac:dyDescent="0.25">
      <c r="Q343" s="1"/>
      <c r="R343" s="1"/>
      <c r="X343" s="2"/>
      <c r="AM343" s="2"/>
      <c r="EO343" s="2"/>
      <c r="GT343" s="155"/>
      <c r="HZ343" s="2"/>
    </row>
    <row r="344" spans="17:299" ht="15" customHeight="1" x14ac:dyDescent="0.25">
      <c r="Q344" s="1"/>
      <c r="R344" s="1"/>
      <c r="X344" s="2"/>
      <c r="AM344" s="2"/>
      <c r="EO344" s="2"/>
      <c r="GT344" s="155"/>
      <c r="HZ344" s="2"/>
    </row>
    <row r="345" spans="17:299" ht="15" customHeight="1" x14ac:dyDescent="0.25">
      <c r="Q345" s="1"/>
      <c r="R345" s="1"/>
      <c r="X345" s="2"/>
      <c r="AM345" s="2"/>
      <c r="EO345" s="2"/>
      <c r="GT345" s="155"/>
      <c r="HZ345" s="2"/>
    </row>
    <row r="346" spans="17:299" ht="15" customHeight="1" x14ac:dyDescent="0.25">
      <c r="Q346" s="1"/>
      <c r="R346" s="1"/>
      <c r="X346" s="2"/>
      <c r="AM346" s="2"/>
      <c r="EO346" s="2"/>
      <c r="GT346" s="155"/>
      <c r="HZ346" s="2"/>
    </row>
    <row r="347" spans="17:299" ht="15" customHeight="1" x14ac:dyDescent="0.25">
      <c r="Q347" s="1"/>
      <c r="R347" s="1"/>
      <c r="X347" s="2"/>
      <c r="AM347" s="2"/>
      <c r="EO347" s="2"/>
      <c r="GT347" s="155"/>
      <c r="HZ347" s="2"/>
    </row>
    <row r="348" spans="17:299" ht="15" customHeight="1" x14ac:dyDescent="0.25">
      <c r="Q348" s="1"/>
      <c r="R348" s="1"/>
      <c r="X348" s="2"/>
      <c r="AM348" s="2"/>
      <c r="EO348" s="2"/>
      <c r="GT348" s="155"/>
      <c r="HZ348" s="2"/>
    </row>
    <row r="349" spans="17:299" ht="15" customHeight="1" x14ac:dyDescent="0.25">
      <c r="Q349" s="1"/>
      <c r="R349" s="1"/>
      <c r="T349" s="1"/>
      <c r="X349" s="2"/>
      <c r="AM349" s="2"/>
      <c r="EO349" s="2"/>
      <c r="GT349" s="155"/>
      <c r="HZ349" s="2"/>
      <c r="KD349" s="2"/>
    </row>
    <row r="350" spans="17:299" ht="15" customHeight="1" x14ac:dyDescent="0.25">
      <c r="Q350" s="1"/>
      <c r="R350" s="1"/>
      <c r="T350" s="1"/>
      <c r="X350" s="2"/>
      <c r="AM350" s="2"/>
      <c r="EO350" s="2"/>
      <c r="GT350" s="155"/>
      <c r="HZ350" s="2"/>
      <c r="KD350" s="2"/>
    </row>
    <row r="351" spans="17:299" ht="15" customHeight="1" x14ac:dyDescent="0.25">
      <c r="Q351" s="1"/>
      <c r="R351" s="1"/>
      <c r="T351" s="1"/>
      <c r="X351" s="2"/>
      <c r="AM351" s="2"/>
      <c r="EO351" s="2"/>
      <c r="GT351" s="155"/>
      <c r="HZ351" s="2"/>
      <c r="KD351" s="2"/>
    </row>
    <row r="352" spans="17:299" ht="15" customHeight="1" x14ac:dyDescent="0.25">
      <c r="Q352" s="1"/>
      <c r="R352" s="1"/>
      <c r="X352" s="2"/>
      <c r="AM352" s="2"/>
      <c r="EO352" s="2"/>
      <c r="GT352" s="155"/>
      <c r="HZ352" s="2"/>
    </row>
    <row r="353" spans="17:294" ht="15" customHeight="1" x14ac:dyDescent="0.25">
      <c r="Q353" s="1"/>
      <c r="R353" s="1"/>
      <c r="T353" s="1"/>
      <c r="X353" s="2"/>
      <c r="AM353" s="2"/>
      <c r="EO353" s="2"/>
      <c r="GT353" s="155"/>
      <c r="HZ353" s="2"/>
    </row>
    <row r="354" spans="17:294" ht="15" customHeight="1" x14ac:dyDescent="0.25">
      <c r="Q354" s="1"/>
      <c r="R354" s="1"/>
      <c r="T354" s="1"/>
      <c r="X354" s="2"/>
      <c r="AM354" s="2"/>
      <c r="EO354" s="2"/>
      <c r="GT354" s="155"/>
      <c r="HZ354" s="2"/>
      <c r="KD354" s="2"/>
    </row>
    <row r="355" spans="17:294" ht="15" customHeight="1" x14ac:dyDescent="0.25">
      <c r="Q355" s="1"/>
      <c r="R355" s="1"/>
      <c r="T355" s="1"/>
      <c r="X355" s="2"/>
      <c r="AM355" s="2"/>
      <c r="EO355" s="2"/>
      <c r="GT355" s="155"/>
      <c r="HZ355" s="2"/>
      <c r="KD355" s="2"/>
      <c r="KE355" s="2"/>
    </row>
    <row r="356" spans="17:294" ht="15" customHeight="1" x14ac:dyDescent="0.25">
      <c r="Q356" s="1"/>
      <c r="R356" s="1"/>
      <c r="T356" s="1"/>
      <c r="X356" s="2"/>
      <c r="AM356" s="2"/>
      <c r="EO356" s="2"/>
      <c r="GT356" s="155"/>
      <c r="HZ356" s="2"/>
      <c r="KD356" s="2"/>
      <c r="KE356" s="2"/>
      <c r="KF356" s="2"/>
    </row>
    <row r="357" spans="17:294" ht="15" customHeight="1" x14ac:dyDescent="0.25">
      <c r="Q357" s="1"/>
      <c r="R357" s="1"/>
      <c r="T357" s="1"/>
      <c r="X357" s="2"/>
      <c r="AM357" s="2"/>
      <c r="EO357" s="2"/>
      <c r="GT357" s="155"/>
      <c r="HZ357" s="2"/>
    </row>
    <row r="358" spans="17:294" ht="15" customHeight="1" x14ac:dyDescent="0.25">
      <c r="Q358" s="1"/>
      <c r="R358" s="1"/>
      <c r="T358" s="1"/>
      <c r="X358" s="2"/>
      <c r="AM358" s="2"/>
      <c r="EO358" s="2"/>
      <c r="GT358" s="155"/>
      <c r="HZ358" s="2"/>
    </row>
    <row r="359" spans="17:294" ht="15" customHeight="1" x14ac:dyDescent="0.25">
      <c r="Q359" s="1"/>
      <c r="R359" s="1"/>
      <c r="T359" s="1"/>
      <c r="X359" s="2"/>
      <c r="AM359" s="2"/>
      <c r="EO359" s="2"/>
      <c r="GT359" s="155"/>
      <c r="HZ359" s="2"/>
    </row>
    <row r="360" spans="17:294" ht="15" customHeight="1" x14ac:dyDescent="0.25">
      <c r="Q360" s="1"/>
      <c r="R360" s="1"/>
      <c r="T360" s="1"/>
      <c r="X360" s="2"/>
      <c r="AM360" s="2"/>
      <c r="EO360" s="2"/>
      <c r="GT360" s="155"/>
      <c r="HZ360" s="2"/>
    </row>
    <row r="361" spans="17:294" ht="15" customHeight="1" x14ac:dyDescent="0.25">
      <c r="Q361" s="1"/>
      <c r="R361" s="1"/>
      <c r="T361" s="1"/>
      <c r="X361" s="2"/>
      <c r="AM361" s="2"/>
      <c r="EO361" s="2"/>
      <c r="GT361" s="155"/>
      <c r="HZ361" s="2"/>
    </row>
    <row r="362" spans="17:294" ht="15" customHeight="1" x14ac:dyDescent="0.25">
      <c r="Q362" s="1"/>
      <c r="R362" s="1"/>
      <c r="T362" s="1"/>
      <c r="X362" s="2"/>
      <c r="AM362" s="2"/>
      <c r="EO362" s="2"/>
      <c r="GT362" s="155"/>
      <c r="HZ362" s="2"/>
      <c r="KD362" s="2"/>
      <c r="KE362" s="2"/>
      <c r="KF362" s="2"/>
      <c r="KG362" s="2"/>
    </row>
    <row r="363" spans="17:294" ht="15" customHeight="1" x14ac:dyDescent="0.25">
      <c r="Q363" s="1"/>
      <c r="R363" s="1"/>
      <c r="T363" s="1"/>
      <c r="X363" s="2"/>
      <c r="AM363" s="2"/>
      <c r="EO363" s="2"/>
      <c r="GT363" s="155"/>
      <c r="HZ363" s="2"/>
      <c r="KD363" s="2"/>
      <c r="KE363" s="2"/>
    </row>
    <row r="364" spans="17:294" ht="15" customHeight="1" x14ac:dyDescent="0.25">
      <c r="Q364" s="1"/>
      <c r="R364" s="1"/>
      <c r="T364" s="1"/>
      <c r="X364" s="2"/>
      <c r="AM364" s="2"/>
      <c r="EO364" s="2"/>
      <c r="GT364" s="155"/>
      <c r="HZ364" s="2"/>
      <c r="KD364" s="2"/>
    </row>
    <row r="365" spans="17:294" ht="15" customHeight="1" x14ac:dyDescent="0.25">
      <c r="Q365" s="1"/>
      <c r="R365" s="1"/>
      <c r="T365" s="1"/>
      <c r="X365" s="2"/>
      <c r="AM365" s="2"/>
      <c r="EO365" s="2"/>
      <c r="GT365" s="155"/>
      <c r="HZ365" s="2"/>
      <c r="KD365" s="2"/>
      <c r="KE365" s="2"/>
      <c r="KF365" s="2"/>
      <c r="KG365" s="2"/>
      <c r="KH365" s="2"/>
    </row>
    <row r="366" spans="17:294" ht="15" customHeight="1" x14ac:dyDescent="0.25">
      <c r="Q366" s="1"/>
      <c r="R366" s="1"/>
      <c r="T366" s="1"/>
      <c r="X366" s="2"/>
      <c r="AM366" s="2"/>
      <c r="EO366" s="2"/>
      <c r="GT366" s="155"/>
      <c r="HZ366" s="2"/>
      <c r="KD366" s="2"/>
    </row>
    <row r="367" spans="17:294" ht="15" customHeight="1" x14ac:dyDescent="0.25">
      <c r="Q367" s="1"/>
      <c r="R367" s="1"/>
      <c r="T367" s="1"/>
      <c r="X367" s="2"/>
      <c r="AM367" s="2"/>
      <c r="EO367" s="2"/>
      <c r="GT367" s="155"/>
      <c r="HZ367" s="2"/>
      <c r="KD367" s="2"/>
      <c r="KE367" s="2"/>
      <c r="KF367" s="2"/>
    </row>
    <row r="368" spans="17:294" ht="15" customHeight="1" x14ac:dyDescent="0.25">
      <c r="Q368" s="1"/>
      <c r="R368" s="1"/>
      <c r="T368" s="1"/>
      <c r="X368" s="2"/>
      <c r="AM368" s="2"/>
      <c r="EO368" s="2"/>
      <c r="GT368" s="155"/>
      <c r="HZ368" s="2"/>
      <c r="KD368" s="2"/>
      <c r="KE368" s="2"/>
      <c r="KF368" s="2"/>
      <c r="KG368" s="2"/>
    </row>
    <row r="369" spans="17:293" ht="15" customHeight="1" x14ac:dyDescent="0.25">
      <c r="Q369" s="1"/>
      <c r="R369" s="1"/>
      <c r="T369" s="1"/>
      <c r="X369" s="2"/>
      <c r="AM369" s="2"/>
      <c r="EO369" s="2"/>
      <c r="GT369" s="155"/>
      <c r="HZ369" s="2"/>
      <c r="KD369" s="2"/>
      <c r="KE369" s="2"/>
    </row>
    <row r="370" spans="17:293" ht="15" customHeight="1" x14ac:dyDescent="0.25">
      <c r="Q370" s="1"/>
      <c r="R370" s="1"/>
      <c r="T370" s="1"/>
      <c r="X370" s="2"/>
      <c r="AM370" s="2"/>
      <c r="EO370" s="2"/>
      <c r="GT370" s="155"/>
      <c r="HZ370" s="2"/>
      <c r="KD370" s="2"/>
    </row>
    <row r="371" spans="17:293" ht="15" customHeight="1" x14ac:dyDescent="0.25">
      <c r="Q371" s="1"/>
      <c r="R371" s="1"/>
      <c r="X371" s="2"/>
      <c r="AM371" s="2"/>
      <c r="EO371" s="2"/>
      <c r="GT371" s="155"/>
      <c r="HZ371" s="2"/>
      <c r="KD371" s="2"/>
    </row>
    <row r="372" spans="17:293" ht="15" customHeight="1" x14ac:dyDescent="0.25">
      <c r="Q372" s="1"/>
      <c r="R372" s="1"/>
      <c r="T372" s="1"/>
      <c r="X372" s="2"/>
      <c r="AM372" s="2"/>
      <c r="EO372" s="2"/>
      <c r="GT372" s="155"/>
      <c r="HZ372" s="2"/>
    </row>
    <row r="373" spans="17:293" ht="15" customHeight="1" x14ac:dyDescent="0.25">
      <c r="Q373" s="1"/>
      <c r="R373" s="1"/>
      <c r="T373" s="1"/>
      <c r="X373" s="2"/>
      <c r="AM373" s="2"/>
      <c r="EO373" s="2"/>
      <c r="GT373" s="155"/>
      <c r="HZ373" s="2"/>
    </row>
    <row r="374" spans="17:293" ht="15" customHeight="1" x14ac:dyDescent="0.25">
      <c r="Q374" s="1"/>
      <c r="R374" s="1"/>
      <c r="T374" s="1"/>
      <c r="X374" s="2"/>
      <c r="AM374" s="2"/>
      <c r="EO374" s="2"/>
      <c r="GT374" s="155"/>
      <c r="HZ374" s="2"/>
      <c r="KD374" s="2"/>
      <c r="KE374" s="2"/>
      <c r="KF374" s="2"/>
      <c r="KG374" s="2"/>
    </row>
    <row r="375" spans="17:293" ht="15" customHeight="1" x14ac:dyDescent="0.25">
      <c r="Q375" s="1"/>
      <c r="R375" s="1"/>
      <c r="T375" s="1"/>
      <c r="X375" s="2"/>
      <c r="AM375" s="2"/>
      <c r="EO375" s="2"/>
      <c r="GT375" s="155"/>
      <c r="HZ375" s="2"/>
      <c r="KD375" s="2"/>
      <c r="KE375" s="2"/>
    </row>
    <row r="376" spans="17:293" ht="15" customHeight="1" x14ac:dyDescent="0.25">
      <c r="Q376" s="1"/>
      <c r="R376" s="1"/>
      <c r="T376" s="1"/>
      <c r="X376" s="2"/>
      <c r="AM376" s="2"/>
      <c r="EO376" s="2"/>
      <c r="GT376" s="155"/>
      <c r="HZ376" s="2"/>
      <c r="KD376" s="2"/>
    </row>
    <row r="377" spans="17:293" ht="15" customHeight="1" x14ac:dyDescent="0.25">
      <c r="Q377" s="1"/>
      <c r="R377" s="1"/>
      <c r="T377" s="1"/>
      <c r="X377" s="2"/>
      <c r="AM377" s="2"/>
      <c r="EO377" s="2"/>
      <c r="GT377" s="155"/>
      <c r="HZ377" s="2"/>
      <c r="KD377" s="2"/>
    </row>
    <row r="378" spans="17:293" ht="15" customHeight="1" x14ac:dyDescent="0.25">
      <c r="Q378" s="1"/>
      <c r="R378" s="1"/>
      <c r="T378" s="1"/>
      <c r="X378" s="2"/>
      <c r="AM378" s="2"/>
      <c r="EO378" s="2"/>
      <c r="GT378" s="155"/>
      <c r="HZ378" s="2"/>
      <c r="KD378" s="2"/>
      <c r="KE378" s="2"/>
      <c r="KF378" s="2"/>
    </row>
    <row r="379" spans="17:293" ht="15" customHeight="1" x14ac:dyDescent="0.25">
      <c r="Q379" s="1"/>
      <c r="R379" s="1"/>
      <c r="T379" s="1"/>
      <c r="X379" s="2"/>
      <c r="AM379" s="2"/>
      <c r="EO379" s="2"/>
      <c r="GT379" s="155"/>
      <c r="HZ379" s="2"/>
      <c r="KD379" s="2"/>
      <c r="KE379" s="2"/>
    </row>
    <row r="380" spans="17:293" ht="15" customHeight="1" x14ac:dyDescent="0.25">
      <c r="Q380" s="1"/>
      <c r="R380" s="1"/>
      <c r="T380" s="1"/>
      <c r="X380" s="2"/>
      <c r="AM380" s="2"/>
      <c r="EO380" s="2"/>
      <c r="GT380" s="155"/>
      <c r="HZ380" s="2"/>
    </row>
    <row r="381" spans="17:293" ht="15" customHeight="1" x14ac:dyDescent="0.25">
      <c r="Q381" s="1"/>
      <c r="R381" s="1"/>
      <c r="T381" s="1"/>
      <c r="X381" s="2"/>
      <c r="AM381" s="2"/>
      <c r="EO381" s="2"/>
      <c r="GT381" s="155"/>
      <c r="HZ381" s="2"/>
      <c r="KD381" s="2"/>
      <c r="KE381" s="2"/>
    </row>
    <row r="382" spans="17:293" ht="15" customHeight="1" x14ac:dyDescent="0.25">
      <c r="Q382" s="1"/>
      <c r="R382" s="1"/>
      <c r="T382" s="1"/>
      <c r="X382" s="2"/>
      <c r="AM382" s="2"/>
      <c r="EO382" s="2"/>
      <c r="GT382" s="155"/>
      <c r="HZ382" s="2"/>
      <c r="KD382" s="2"/>
      <c r="KE382" s="2"/>
      <c r="KF382" s="2"/>
    </row>
    <row r="383" spans="17:293" ht="15" customHeight="1" x14ac:dyDescent="0.25">
      <c r="Q383" s="1"/>
      <c r="R383" s="1"/>
      <c r="T383" s="1"/>
      <c r="X383" s="2"/>
      <c r="AM383" s="2"/>
      <c r="EO383" s="2"/>
      <c r="GT383" s="155"/>
      <c r="HZ383" s="2"/>
      <c r="KD383" s="2"/>
    </row>
    <row r="384" spans="17:293" ht="15" customHeight="1" x14ac:dyDescent="0.25">
      <c r="Q384" s="1"/>
      <c r="R384" s="1"/>
      <c r="X384" s="2"/>
      <c r="AM384" s="2"/>
      <c r="EO384" s="2"/>
      <c r="GT384" s="155"/>
      <c r="HZ384" s="2"/>
    </row>
    <row r="385" spans="17:291" ht="15" customHeight="1" x14ac:dyDescent="0.25">
      <c r="Q385" s="1"/>
      <c r="R385" s="1"/>
      <c r="T385" s="1"/>
      <c r="X385" s="2"/>
      <c r="AM385" s="2"/>
      <c r="EO385" s="2"/>
      <c r="GT385" s="155"/>
      <c r="HZ385" s="2"/>
    </row>
    <row r="386" spans="17:291" ht="15" customHeight="1" x14ac:dyDescent="0.25">
      <c r="Q386" s="1"/>
      <c r="R386" s="1"/>
      <c r="T386" s="1"/>
      <c r="X386" s="2"/>
      <c r="AM386" s="2"/>
      <c r="EO386" s="2"/>
      <c r="GT386" s="155"/>
      <c r="HZ386" s="2"/>
    </row>
    <row r="387" spans="17:291" ht="15" customHeight="1" x14ac:dyDescent="0.25">
      <c r="Q387" s="1"/>
      <c r="R387" s="1"/>
      <c r="T387" s="1"/>
      <c r="X387" s="2"/>
      <c r="AM387" s="2"/>
      <c r="EO387" s="2"/>
      <c r="GT387" s="155"/>
      <c r="HZ387" s="2"/>
    </row>
    <row r="388" spans="17:291" ht="15" customHeight="1" x14ac:dyDescent="0.25">
      <c r="Q388" s="1"/>
      <c r="R388" s="1"/>
      <c r="X388" s="2"/>
      <c r="AM388" s="2"/>
      <c r="EO388" s="2"/>
      <c r="GT388" s="155"/>
      <c r="HZ388" s="2"/>
    </row>
    <row r="389" spans="17:291" ht="15" customHeight="1" x14ac:dyDescent="0.25">
      <c r="Q389" s="1"/>
      <c r="R389" s="1"/>
      <c r="X389" s="2"/>
      <c r="AM389" s="2"/>
      <c r="EO389" s="2"/>
      <c r="GT389" s="155"/>
      <c r="HZ389" s="2"/>
    </row>
    <row r="390" spans="17:291" ht="15" customHeight="1" x14ac:dyDescent="0.25">
      <c r="Q390" s="1"/>
      <c r="R390" s="1"/>
      <c r="T390" s="1"/>
      <c r="X390" s="2"/>
      <c r="AM390" s="2"/>
      <c r="EO390" s="2"/>
      <c r="GT390" s="155"/>
      <c r="HZ390" s="2"/>
    </row>
    <row r="391" spans="17:291" ht="15" customHeight="1" x14ac:dyDescent="0.25">
      <c r="Q391" s="1"/>
      <c r="R391" s="1"/>
      <c r="T391" s="1"/>
      <c r="X391" s="2"/>
      <c r="AM391" s="2"/>
      <c r="EO391" s="2"/>
      <c r="GT391" s="155"/>
      <c r="HZ391" s="2"/>
      <c r="KD391" s="2"/>
    </row>
    <row r="392" spans="17:291" ht="15" customHeight="1" x14ac:dyDescent="0.25">
      <c r="Q392" s="1"/>
      <c r="R392" s="1"/>
      <c r="T392" s="1"/>
      <c r="X392" s="2"/>
      <c r="AM392" s="2"/>
      <c r="EO392" s="2"/>
      <c r="GT392" s="155"/>
      <c r="HZ392" s="2"/>
      <c r="KD392" s="2"/>
      <c r="KE392" s="2"/>
    </row>
    <row r="393" spans="17:291" ht="15" customHeight="1" x14ac:dyDescent="0.25">
      <c r="Q393" s="1"/>
      <c r="R393" s="1"/>
      <c r="T393" s="1"/>
      <c r="X393" s="2"/>
      <c r="AM393" s="2"/>
      <c r="EO393" s="2"/>
      <c r="GT393" s="155"/>
      <c r="HZ393" s="2"/>
      <c r="KD393" s="2"/>
    </row>
    <row r="394" spans="17:291" ht="15" customHeight="1" x14ac:dyDescent="0.25">
      <c r="Q394" s="1"/>
      <c r="R394" s="1"/>
      <c r="X394" s="2"/>
      <c r="AM394" s="2"/>
      <c r="EO394" s="2"/>
      <c r="GT394" s="155"/>
      <c r="HZ394" s="2"/>
    </row>
    <row r="395" spans="17:291" ht="15" customHeight="1" x14ac:dyDescent="0.25">
      <c r="Q395" s="1"/>
      <c r="R395" s="1"/>
      <c r="T395" s="1"/>
      <c r="X395" s="2"/>
      <c r="AM395" s="2"/>
      <c r="EO395" s="2"/>
      <c r="GT395" s="155"/>
      <c r="HZ395" s="2"/>
      <c r="KD395" s="2"/>
    </row>
    <row r="396" spans="17:291" ht="15" customHeight="1" x14ac:dyDescent="0.25">
      <c r="Q396" s="1"/>
      <c r="R396" s="1"/>
      <c r="T396" s="1"/>
      <c r="X396" s="2"/>
      <c r="AM396" s="2"/>
      <c r="EO396" s="2"/>
      <c r="GT396" s="155"/>
      <c r="HZ396" s="2"/>
    </row>
    <row r="397" spans="17:291" ht="15" customHeight="1" x14ac:dyDescent="0.25">
      <c r="Q397" s="1"/>
      <c r="R397" s="1"/>
      <c r="T397" s="1"/>
      <c r="X397" s="2"/>
      <c r="AM397" s="2"/>
      <c r="EO397" s="2"/>
      <c r="GT397" s="155"/>
      <c r="HZ397" s="2"/>
    </row>
    <row r="398" spans="17:291" ht="15" customHeight="1" x14ac:dyDescent="0.25">
      <c r="Q398" s="1"/>
      <c r="R398" s="1"/>
      <c r="T398" s="1"/>
      <c r="X398" s="2"/>
      <c r="AM398" s="2"/>
      <c r="EO398" s="2"/>
      <c r="GT398" s="155"/>
      <c r="HZ398" s="2"/>
    </row>
    <row r="399" spans="17:291" ht="15" customHeight="1" x14ac:dyDescent="0.25">
      <c r="Q399" s="1"/>
      <c r="R399" s="1"/>
      <c r="T399" s="1"/>
      <c r="X399" s="2"/>
      <c r="AM399" s="2"/>
      <c r="EO399" s="2"/>
      <c r="GT399" s="155"/>
      <c r="HZ399" s="2"/>
      <c r="KD399" s="2"/>
      <c r="KE399" s="2"/>
    </row>
    <row r="400" spans="17:291" ht="15" customHeight="1" x14ac:dyDescent="0.25">
      <c r="Q400" s="1"/>
      <c r="R400" s="1"/>
      <c r="T400" s="1"/>
      <c r="X400" s="2"/>
      <c r="AM400" s="2"/>
      <c r="EO400" s="2"/>
      <c r="GT400" s="155"/>
      <c r="HZ400" s="2"/>
      <c r="KD400" s="2"/>
      <c r="KE400" s="2"/>
    </row>
    <row r="401" spans="17:291" ht="15" customHeight="1" x14ac:dyDescent="0.25">
      <c r="Q401" s="1"/>
      <c r="R401" s="1"/>
      <c r="T401" s="1"/>
      <c r="X401" s="2"/>
      <c r="AM401" s="2"/>
      <c r="EO401" s="2"/>
      <c r="GT401" s="155"/>
      <c r="HZ401" s="2"/>
    </row>
    <row r="402" spans="17:291" ht="15" customHeight="1" x14ac:dyDescent="0.25">
      <c r="Q402" s="1"/>
      <c r="R402" s="1"/>
      <c r="T402" s="1"/>
      <c r="X402" s="2"/>
      <c r="AM402" s="2"/>
      <c r="EO402" s="2"/>
      <c r="GT402" s="155"/>
      <c r="HZ402" s="2"/>
      <c r="KD402" s="2"/>
      <c r="KE402" s="2"/>
    </row>
    <row r="403" spans="17:291" ht="15" customHeight="1" x14ac:dyDescent="0.25">
      <c r="Q403" s="1"/>
      <c r="R403" s="1"/>
      <c r="T403" s="1"/>
      <c r="X403" s="2"/>
      <c r="AM403" s="2"/>
      <c r="EO403" s="2"/>
      <c r="GT403" s="155"/>
      <c r="HZ403" s="2"/>
    </row>
    <row r="404" spans="17:291" ht="15" customHeight="1" x14ac:dyDescent="0.25">
      <c r="Q404" s="1"/>
      <c r="R404" s="1"/>
      <c r="T404" s="1"/>
      <c r="X404" s="2"/>
      <c r="AM404" s="2"/>
      <c r="EO404" s="2"/>
      <c r="GT404" s="155"/>
      <c r="HZ404" s="2"/>
      <c r="KD404" s="2"/>
      <c r="KE404" s="2"/>
    </row>
    <row r="405" spans="17:291" ht="15" customHeight="1" x14ac:dyDescent="0.25">
      <c r="Q405" s="1"/>
      <c r="X405" s="2"/>
      <c r="AM405" s="2"/>
      <c r="EO405" s="2"/>
      <c r="GT405" s="155"/>
      <c r="HZ405" s="2"/>
      <c r="KD405" s="2"/>
    </row>
    <row r="406" spans="17:291" ht="15" customHeight="1" x14ac:dyDescent="0.25">
      <c r="Q406" s="1"/>
      <c r="R406" s="1"/>
      <c r="T406" s="1"/>
      <c r="X406" s="2"/>
      <c r="AM406" s="2"/>
      <c r="EO406" s="2"/>
      <c r="GT406" s="155"/>
      <c r="HZ406" s="2"/>
    </row>
    <row r="407" spans="17:291" ht="15" customHeight="1" x14ac:dyDescent="0.25">
      <c r="Q407" s="1"/>
      <c r="R407" s="1"/>
      <c r="T407" s="1"/>
      <c r="X407" s="2"/>
      <c r="AM407" s="2"/>
      <c r="EO407" s="2"/>
      <c r="GT407" s="155"/>
      <c r="HZ407" s="2"/>
    </row>
    <row r="408" spans="17:291" ht="15" customHeight="1" x14ac:dyDescent="0.25">
      <c r="Q408" s="1"/>
      <c r="R408" s="1"/>
      <c r="T408" s="1"/>
      <c r="X408" s="2"/>
      <c r="AM408" s="2"/>
      <c r="EO408" s="2"/>
      <c r="GT408" s="155"/>
      <c r="HZ408" s="2"/>
    </row>
    <row r="409" spans="17:291" ht="15" customHeight="1" x14ac:dyDescent="0.25">
      <c r="Q409" s="1"/>
      <c r="R409" s="1"/>
      <c r="T409" s="1"/>
      <c r="X409" s="2"/>
      <c r="AM409" s="2"/>
      <c r="EO409" s="2"/>
      <c r="GT409" s="155"/>
      <c r="HZ409" s="2"/>
    </row>
    <row r="410" spans="17:291" ht="15" customHeight="1" x14ac:dyDescent="0.25">
      <c r="Q410" s="1"/>
      <c r="R410" s="1"/>
      <c r="T410" s="1"/>
      <c r="X410" s="2"/>
      <c r="AM410" s="2"/>
      <c r="EO410" s="2"/>
      <c r="GT410" s="155"/>
      <c r="HZ410" s="2"/>
    </row>
    <row r="411" spans="17:291" ht="15" customHeight="1" x14ac:dyDescent="0.25">
      <c r="Q411" s="1"/>
      <c r="R411" s="1"/>
      <c r="T411" s="1"/>
      <c r="X411" s="2"/>
      <c r="AM411" s="2"/>
      <c r="EO411" s="2"/>
      <c r="GT411" s="155"/>
      <c r="HZ411" s="2"/>
    </row>
    <row r="412" spans="17:291" ht="15" customHeight="1" x14ac:dyDescent="0.25">
      <c r="Q412" s="1"/>
      <c r="R412" s="1"/>
      <c r="T412" s="1"/>
      <c r="X412" s="2"/>
      <c r="AM412" s="2"/>
      <c r="EO412" s="2"/>
      <c r="GT412" s="155"/>
      <c r="HZ412" s="2"/>
    </row>
    <row r="413" spans="17:291" ht="15" customHeight="1" x14ac:dyDescent="0.25">
      <c r="Q413" s="1"/>
      <c r="R413" s="1"/>
      <c r="T413" s="1"/>
      <c r="X413" s="2"/>
      <c r="AM413" s="2"/>
      <c r="EO413" s="2"/>
      <c r="GT413" s="155"/>
      <c r="HZ413" s="2"/>
      <c r="KD413" s="2"/>
    </row>
    <row r="414" spans="17:291" ht="15" customHeight="1" x14ac:dyDescent="0.25">
      <c r="Q414" s="1"/>
      <c r="R414" s="1"/>
      <c r="T414" s="1"/>
      <c r="X414" s="2"/>
      <c r="AM414" s="2"/>
      <c r="EO414" s="2"/>
      <c r="GT414" s="155"/>
      <c r="HZ414" s="2"/>
      <c r="KD414" s="2"/>
    </row>
    <row r="415" spans="17:291" ht="15" customHeight="1" x14ac:dyDescent="0.25">
      <c r="Q415" s="1"/>
      <c r="R415" s="1"/>
      <c r="T415" s="1"/>
      <c r="X415" s="2"/>
      <c r="AM415" s="2"/>
      <c r="EO415" s="2"/>
      <c r="GT415" s="155"/>
      <c r="HZ415" s="2"/>
      <c r="KD415" s="2"/>
      <c r="KE415" s="2"/>
    </row>
    <row r="416" spans="17:291" ht="15" customHeight="1" x14ac:dyDescent="0.25">
      <c r="Q416" s="1"/>
      <c r="R416" s="1"/>
      <c r="T416" s="1"/>
      <c r="X416" s="2"/>
      <c r="AM416" s="2"/>
      <c r="EO416" s="2"/>
      <c r="GT416" s="155"/>
      <c r="HZ416" s="2"/>
      <c r="KD416" s="2"/>
      <c r="KE416" s="2"/>
    </row>
    <row r="417" spans="17:292" ht="15" customHeight="1" x14ac:dyDescent="0.25">
      <c r="Q417" s="1"/>
      <c r="R417" s="1"/>
      <c r="X417" s="2"/>
      <c r="AM417" s="2"/>
      <c r="EO417" s="2"/>
      <c r="GT417" s="155"/>
      <c r="HZ417" s="2"/>
      <c r="KD417" s="2"/>
    </row>
    <row r="418" spans="17:292" ht="15" customHeight="1" x14ac:dyDescent="0.25">
      <c r="Q418" s="1"/>
      <c r="R418" s="1"/>
      <c r="T418" s="1"/>
      <c r="X418" s="2"/>
      <c r="AM418" s="2"/>
      <c r="EO418" s="2"/>
      <c r="GT418" s="155"/>
      <c r="HZ418" s="2"/>
      <c r="KD418" s="2"/>
    </row>
    <row r="419" spans="17:292" ht="15" customHeight="1" x14ac:dyDescent="0.25">
      <c r="Q419" s="1"/>
      <c r="R419" s="1"/>
      <c r="T419" s="1"/>
      <c r="X419" s="2"/>
      <c r="AM419" s="2"/>
      <c r="EO419" s="2"/>
      <c r="GT419" s="155"/>
      <c r="HZ419" s="2"/>
      <c r="KD419" s="2"/>
    </row>
    <row r="420" spans="17:292" ht="15" customHeight="1" x14ac:dyDescent="0.25">
      <c r="Q420" s="1"/>
      <c r="X420" s="2"/>
      <c r="AM420" s="2"/>
      <c r="EO420" s="2"/>
      <c r="GT420" s="155"/>
      <c r="HZ420" s="2"/>
      <c r="KD420" s="2"/>
      <c r="KE420" s="2"/>
      <c r="KF420" s="2"/>
    </row>
    <row r="421" spans="17:292" ht="15" customHeight="1" x14ac:dyDescent="0.25">
      <c r="Q421" s="1"/>
      <c r="R421" s="1"/>
      <c r="T421" s="1"/>
      <c r="X421" s="2"/>
      <c r="AM421" s="2"/>
      <c r="EO421" s="2"/>
      <c r="GT421" s="155"/>
      <c r="HZ421" s="2"/>
      <c r="KD421" s="2"/>
    </row>
    <row r="422" spans="17:292" ht="15" customHeight="1" x14ac:dyDescent="0.25">
      <c r="Q422" s="1"/>
      <c r="R422" s="1"/>
      <c r="T422" s="1"/>
      <c r="X422" s="2"/>
      <c r="AM422" s="2"/>
      <c r="EO422" s="2"/>
      <c r="GT422" s="155"/>
      <c r="HZ422" s="2"/>
      <c r="KD422" s="2"/>
    </row>
    <row r="423" spans="17:292" ht="15" customHeight="1" x14ac:dyDescent="0.25">
      <c r="Q423" s="1"/>
      <c r="R423" s="1"/>
      <c r="T423" s="1"/>
      <c r="X423" s="2"/>
      <c r="AM423" s="2"/>
      <c r="EO423" s="2"/>
      <c r="GT423" s="155"/>
      <c r="HZ423" s="2"/>
      <c r="KD423" s="2"/>
    </row>
    <row r="424" spans="17:292" ht="15" customHeight="1" x14ac:dyDescent="0.25">
      <c r="Q424" s="1"/>
      <c r="R424" s="1"/>
      <c r="T424" s="1"/>
      <c r="X424" s="2"/>
      <c r="AM424" s="2"/>
      <c r="EO424" s="2"/>
      <c r="GT424" s="155"/>
      <c r="HZ424" s="2"/>
      <c r="KD424" s="2"/>
    </row>
    <row r="425" spans="17:292" ht="15" customHeight="1" x14ac:dyDescent="0.25">
      <c r="Q425" s="1"/>
      <c r="R425" s="1"/>
      <c r="T425" s="1"/>
      <c r="X425" s="2"/>
      <c r="AM425" s="2"/>
      <c r="EO425" s="2"/>
      <c r="GT425" s="155"/>
      <c r="HZ425" s="2"/>
      <c r="KD425" s="2"/>
    </row>
    <row r="426" spans="17:292" ht="15" customHeight="1" x14ac:dyDescent="0.25">
      <c r="Q426" s="1"/>
      <c r="R426" s="1"/>
      <c r="T426" s="1"/>
      <c r="X426" s="2"/>
      <c r="AM426" s="2"/>
      <c r="EO426" s="2"/>
      <c r="GT426" s="155"/>
      <c r="HZ426" s="2"/>
      <c r="KD426" s="2"/>
    </row>
    <row r="427" spans="17:292" ht="15" customHeight="1" x14ac:dyDescent="0.25">
      <c r="Q427" s="1"/>
      <c r="R427" s="1"/>
      <c r="T427" s="1"/>
      <c r="X427" s="2"/>
      <c r="AM427" s="2"/>
      <c r="EO427" s="2"/>
      <c r="GT427" s="155"/>
      <c r="HZ427" s="2"/>
      <c r="KD427" s="2"/>
      <c r="KE427" s="2"/>
    </row>
    <row r="428" spans="17:292" ht="15" customHeight="1" x14ac:dyDescent="0.25">
      <c r="Q428" s="1"/>
      <c r="R428" s="1"/>
      <c r="T428" s="1"/>
      <c r="X428" s="2"/>
      <c r="AM428" s="2"/>
      <c r="EO428" s="2"/>
      <c r="GT428" s="155"/>
      <c r="HZ428" s="2"/>
      <c r="KD428" s="2"/>
      <c r="KE428" s="2"/>
      <c r="KF428" s="2"/>
    </row>
    <row r="429" spans="17:292" ht="15" customHeight="1" x14ac:dyDescent="0.25">
      <c r="Q429" s="1"/>
      <c r="R429" s="1"/>
      <c r="T429" s="1"/>
      <c r="X429" s="2"/>
      <c r="AM429" s="2"/>
      <c r="EO429" s="2"/>
      <c r="GT429" s="155"/>
      <c r="HZ429" s="2"/>
      <c r="KD429" s="2"/>
      <c r="KE429" s="2"/>
    </row>
    <row r="430" spans="17:292" ht="15" customHeight="1" x14ac:dyDescent="0.25">
      <c r="Q430" s="1"/>
      <c r="R430" s="1"/>
      <c r="T430" s="1"/>
      <c r="X430" s="2"/>
      <c r="AM430" s="2"/>
      <c r="EO430" s="2"/>
      <c r="GT430" s="155"/>
      <c r="HZ430" s="2"/>
      <c r="KD430" s="2"/>
    </row>
    <row r="431" spans="17:292" ht="15" customHeight="1" x14ac:dyDescent="0.25">
      <c r="Q431" s="1"/>
      <c r="R431" s="1"/>
      <c r="T431" s="1"/>
      <c r="X431" s="2"/>
      <c r="AM431" s="2"/>
      <c r="EO431" s="2"/>
      <c r="GT431" s="155"/>
      <c r="HZ431" s="2"/>
      <c r="KD431" s="2"/>
    </row>
    <row r="432" spans="17:292" ht="15" customHeight="1" x14ac:dyDescent="0.25">
      <c r="Q432" s="1"/>
      <c r="R432" s="1"/>
      <c r="X432" s="2"/>
      <c r="AM432" s="2"/>
      <c r="EO432" s="2"/>
      <c r="GT432" s="155"/>
      <c r="HZ432" s="2"/>
    </row>
    <row r="433" spans="17:293" ht="15" customHeight="1" x14ac:dyDescent="0.25">
      <c r="Q433" s="1"/>
      <c r="R433" s="1"/>
      <c r="X433" s="2"/>
      <c r="AM433" s="2"/>
      <c r="EO433" s="2"/>
      <c r="GT433" s="155"/>
      <c r="HZ433" s="2"/>
    </row>
    <row r="434" spans="17:293" ht="15" customHeight="1" x14ac:dyDescent="0.25">
      <c r="Q434" s="1"/>
      <c r="R434" s="1"/>
      <c r="T434" s="1"/>
      <c r="X434" s="2"/>
      <c r="AM434" s="2"/>
      <c r="EO434" s="2"/>
      <c r="GT434" s="155"/>
      <c r="HZ434" s="2"/>
      <c r="KD434" s="2"/>
    </row>
    <row r="435" spans="17:293" ht="15" customHeight="1" x14ac:dyDescent="0.25">
      <c r="Q435" s="1"/>
      <c r="R435" s="1"/>
      <c r="X435" s="2"/>
      <c r="AM435" s="2"/>
      <c r="EO435" s="2"/>
      <c r="GT435" s="155"/>
      <c r="HZ435" s="2"/>
    </row>
    <row r="436" spans="17:293" ht="15" customHeight="1" x14ac:dyDescent="0.25">
      <c r="Q436" s="1"/>
      <c r="R436" s="1"/>
      <c r="T436" s="1"/>
      <c r="X436" s="2"/>
      <c r="AM436" s="2"/>
      <c r="EO436" s="2"/>
      <c r="GT436" s="155"/>
      <c r="HZ436" s="2"/>
      <c r="KD436" s="2"/>
      <c r="KE436" s="2"/>
      <c r="KF436" s="2"/>
      <c r="KG436" s="2"/>
    </row>
    <row r="437" spans="17:293" ht="15" customHeight="1" x14ac:dyDescent="0.25">
      <c r="Q437" s="1"/>
      <c r="R437" s="1"/>
      <c r="T437" s="1"/>
      <c r="X437" s="2"/>
      <c r="AM437" s="2"/>
      <c r="EO437" s="2"/>
      <c r="GT437" s="155"/>
      <c r="HZ437" s="2"/>
      <c r="KD437" s="2"/>
    </row>
    <row r="438" spans="17:293" ht="15" customHeight="1" x14ac:dyDescent="0.25">
      <c r="Q438" s="1"/>
      <c r="R438" s="1"/>
      <c r="X438" s="2"/>
      <c r="AM438" s="2"/>
      <c r="EO438" s="2"/>
      <c r="GT438" s="155"/>
      <c r="HZ438" s="2"/>
    </row>
    <row r="439" spans="17:293" ht="15" customHeight="1" x14ac:dyDescent="0.25">
      <c r="Q439" s="1"/>
      <c r="R439" s="1"/>
      <c r="T439" s="1"/>
      <c r="X439" s="2"/>
      <c r="AM439" s="2"/>
      <c r="EO439" s="2"/>
      <c r="GT439" s="155"/>
      <c r="HZ439" s="2"/>
      <c r="KD439" s="2"/>
      <c r="KE439" s="2"/>
    </row>
    <row r="440" spans="17:293" ht="15" customHeight="1" x14ac:dyDescent="0.25">
      <c r="Q440" s="1"/>
      <c r="R440" s="1"/>
      <c r="T440" s="1"/>
      <c r="X440" s="2"/>
      <c r="AM440" s="2"/>
      <c r="EO440" s="2"/>
      <c r="GT440" s="155"/>
      <c r="HZ440" s="2"/>
      <c r="KD440" s="2"/>
      <c r="KE440" s="2"/>
    </row>
    <row r="441" spans="17:293" ht="15" customHeight="1" x14ac:dyDescent="0.25">
      <c r="Q441" s="1"/>
      <c r="R441" s="1"/>
      <c r="T441" s="1"/>
      <c r="X441" s="2"/>
      <c r="AM441" s="2"/>
      <c r="EO441" s="2"/>
      <c r="GT441" s="155"/>
      <c r="HZ441" s="2"/>
      <c r="KD441" s="2"/>
      <c r="KE441" s="2"/>
    </row>
    <row r="442" spans="17:293" ht="15" customHeight="1" x14ac:dyDescent="0.25">
      <c r="Q442" s="1"/>
      <c r="R442" s="1"/>
      <c r="T442" s="1"/>
      <c r="X442" s="2"/>
      <c r="AM442" s="2"/>
      <c r="EO442" s="2"/>
      <c r="GT442" s="155"/>
      <c r="HZ442" s="2"/>
      <c r="KD442" s="2"/>
      <c r="KE442" s="2"/>
      <c r="KF442" s="2"/>
    </row>
    <row r="443" spans="17:293" ht="15" customHeight="1" x14ac:dyDescent="0.25">
      <c r="Q443" s="1"/>
      <c r="R443" s="1"/>
      <c r="T443" s="1"/>
      <c r="X443" s="2"/>
      <c r="AM443" s="2"/>
      <c r="EO443" s="2"/>
      <c r="GT443" s="155"/>
      <c r="HZ443" s="2"/>
      <c r="KD443" s="2"/>
    </row>
    <row r="444" spans="17:293" ht="15" customHeight="1" x14ac:dyDescent="0.25">
      <c r="Q444" s="1"/>
      <c r="R444" s="1"/>
      <c r="T444" s="1"/>
      <c r="X444" s="2"/>
      <c r="AM444" s="2"/>
      <c r="EO444" s="2"/>
      <c r="GT444" s="155"/>
      <c r="HZ444" s="2"/>
      <c r="KD444" s="2"/>
    </row>
    <row r="445" spans="17:293" ht="15" customHeight="1" x14ac:dyDescent="0.25">
      <c r="Q445" s="1"/>
      <c r="R445" s="1"/>
      <c r="T445" s="1"/>
      <c r="X445" s="2"/>
      <c r="AM445" s="2"/>
      <c r="EO445" s="2"/>
      <c r="GT445" s="155"/>
      <c r="HZ445" s="2"/>
      <c r="KD445" s="2"/>
    </row>
    <row r="446" spans="17:293" ht="15" customHeight="1" x14ac:dyDescent="0.25">
      <c r="Q446" s="1"/>
      <c r="R446" s="1"/>
      <c r="T446" s="1"/>
      <c r="X446" s="2"/>
      <c r="AM446" s="2"/>
      <c r="EO446" s="2"/>
      <c r="GT446" s="155"/>
      <c r="HZ446" s="2"/>
      <c r="KD446" s="2"/>
    </row>
    <row r="447" spans="17:293" ht="15" customHeight="1" x14ac:dyDescent="0.25">
      <c r="Q447" s="1"/>
      <c r="R447" s="1"/>
      <c r="T447" s="1"/>
      <c r="X447" s="2"/>
      <c r="AM447" s="2"/>
      <c r="EO447" s="2"/>
      <c r="GT447" s="155"/>
      <c r="HZ447" s="2"/>
      <c r="KD447" s="2"/>
      <c r="KE447" s="2"/>
    </row>
    <row r="448" spans="17:293" ht="15" customHeight="1" x14ac:dyDescent="0.25">
      <c r="Q448" s="1"/>
      <c r="R448" s="1"/>
      <c r="T448" s="1"/>
      <c r="X448" s="2"/>
      <c r="AM448" s="2"/>
      <c r="EO448" s="2"/>
      <c r="GT448" s="155"/>
      <c r="HZ448" s="2"/>
      <c r="KD448" s="2"/>
    </row>
    <row r="449" spans="17:297" ht="15" customHeight="1" x14ac:dyDescent="0.25">
      <c r="Q449" s="1"/>
      <c r="R449" s="1"/>
      <c r="T449" s="1"/>
      <c r="X449" s="2"/>
      <c r="AM449" s="2"/>
      <c r="EO449" s="2"/>
      <c r="GT449" s="155"/>
      <c r="HZ449" s="2"/>
      <c r="KD449" s="2"/>
    </row>
    <row r="450" spans="17:297" ht="15" customHeight="1" x14ac:dyDescent="0.25">
      <c r="Q450" s="1"/>
      <c r="R450" s="1"/>
      <c r="T450" s="1"/>
      <c r="X450" s="2"/>
      <c r="AM450" s="2"/>
      <c r="EO450" s="2"/>
      <c r="GT450" s="155"/>
      <c r="HZ450" s="2"/>
      <c r="KD450" s="2"/>
      <c r="KE450" s="2"/>
    </row>
    <row r="451" spans="17:297" ht="15" customHeight="1" x14ac:dyDescent="0.25">
      <c r="Q451" s="1"/>
      <c r="R451" s="1"/>
      <c r="T451" s="1"/>
      <c r="X451" s="2"/>
      <c r="AM451" s="2"/>
      <c r="EO451" s="2"/>
      <c r="GT451" s="155"/>
      <c r="HZ451" s="2"/>
      <c r="KD451" s="2"/>
      <c r="KE451" s="2"/>
    </row>
    <row r="452" spans="17:297" ht="15" customHeight="1" x14ac:dyDescent="0.25">
      <c r="Q452" s="1"/>
      <c r="R452" s="1"/>
      <c r="T452" s="1"/>
      <c r="X452" s="2"/>
      <c r="AM452" s="2"/>
      <c r="EO452" s="2"/>
      <c r="GT452" s="155"/>
      <c r="HZ452" s="2"/>
      <c r="KD452" s="2"/>
      <c r="KE452" s="2"/>
      <c r="KF452" s="2"/>
      <c r="KG452" s="2"/>
      <c r="KH452" s="2"/>
      <c r="KI452" s="2"/>
      <c r="KJ452" s="2"/>
    </row>
    <row r="453" spans="17:297" ht="15" customHeight="1" x14ac:dyDescent="0.25">
      <c r="Q453" s="1"/>
      <c r="R453" s="1"/>
      <c r="T453" s="1"/>
      <c r="X453" s="2"/>
      <c r="AM453" s="2"/>
      <c r="EO453" s="2"/>
      <c r="GT453" s="155"/>
      <c r="HZ453" s="2"/>
      <c r="KD453" s="2"/>
    </row>
    <row r="454" spans="17:297" ht="15" customHeight="1" x14ac:dyDescent="0.25">
      <c r="Q454" s="1"/>
      <c r="R454" s="1"/>
      <c r="T454" s="1"/>
      <c r="X454" s="2"/>
      <c r="AM454" s="2"/>
      <c r="EO454" s="2"/>
      <c r="GT454" s="155"/>
      <c r="HZ454" s="2"/>
      <c r="KD454" s="2"/>
    </row>
    <row r="455" spans="17:297" ht="15" customHeight="1" x14ac:dyDescent="0.25">
      <c r="Q455" s="1"/>
      <c r="R455" s="1"/>
      <c r="T455" s="1"/>
      <c r="X455" s="2"/>
      <c r="AM455" s="2"/>
      <c r="EO455" s="2"/>
      <c r="GT455" s="155"/>
      <c r="HZ455" s="2"/>
      <c r="KD455" s="2"/>
      <c r="KE455" s="2"/>
      <c r="KF455" s="2"/>
    </row>
    <row r="456" spans="17:297" ht="15" customHeight="1" x14ac:dyDescent="0.25">
      <c r="Q456" s="1"/>
      <c r="R456" s="1"/>
      <c r="T456" s="1"/>
      <c r="X456" s="2"/>
      <c r="AM456" s="2"/>
      <c r="EO456" s="2"/>
      <c r="GT456" s="155"/>
      <c r="HZ456" s="2"/>
      <c r="KD456" s="2"/>
      <c r="KE456" s="2"/>
      <c r="KF456" s="2"/>
      <c r="KG456" s="2"/>
      <c r="KH456" s="2"/>
      <c r="KI456" s="2"/>
      <c r="KJ456" s="2"/>
      <c r="KK456" s="2"/>
    </row>
    <row r="457" spans="17:297" ht="15" customHeight="1" x14ac:dyDescent="0.25">
      <c r="Q457" s="1"/>
      <c r="R457" s="1"/>
      <c r="T457" s="1"/>
      <c r="X457" s="2"/>
      <c r="AM457" s="2"/>
      <c r="EO457" s="2"/>
      <c r="GT457" s="155"/>
      <c r="HZ457" s="2"/>
      <c r="KD457" s="2"/>
      <c r="KE457" s="2"/>
      <c r="KF457" s="2"/>
    </row>
    <row r="458" spans="17:297" ht="15" customHeight="1" x14ac:dyDescent="0.25">
      <c r="Q458" s="1"/>
      <c r="R458" s="1"/>
      <c r="T458" s="1"/>
      <c r="X458" s="2"/>
      <c r="AM458" s="2"/>
      <c r="EO458" s="2"/>
      <c r="GT458" s="155"/>
      <c r="HZ458" s="2"/>
      <c r="KD458" s="2"/>
      <c r="KE458" s="2"/>
    </row>
    <row r="459" spans="17:297" ht="15" customHeight="1" x14ac:dyDescent="0.25">
      <c r="Q459" s="1"/>
      <c r="R459" s="1"/>
      <c r="T459" s="1"/>
      <c r="X459" s="2"/>
      <c r="AM459" s="2"/>
      <c r="EO459" s="2"/>
      <c r="GT459" s="155"/>
      <c r="HZ459" s="2"/>
      <c r="KD459" s="2"/>
      <c r="KE459" s="2"/>
    </row>
    <row r="460" spans="17:297" ht="15" customHeight="1" x14ac:dyDescent="0.25">
      <c r="Q460" s="1"/>
      <c r="R460" s="1"/>
      <c r="T460" s="1"/>
      <c r="X460" s="2"/>
      <c r="AM460" s="2"/>
      <c r="EO460" s="2"/>
      <c r="GT460" s="155"/>
      <c r="HZ460" s="2"/>
      <c r="KD460" s="2"/>
    </row>
    <row r="461" spans="17:297" ht="15" customHeight="1" x14ac:dyDescent="0.25">
      <c r="Q461" s="1"/>
      <c r="R461" s="1"/>
      <c r="T461" s="1"/>
      <c r="X461" s="2"/>
      <c r="AM461" s="2"/>
      <c r="EO461" s="2"/>
      <c r="GT461" s="155"/>
      <c r="HZ461" s="2"/>
      <c r="KD461" s="2"/>
      <c r="KE461" s="2"/>
    </row>
    <row r="462" spans="17:297" ht="15" customHeight="1" x14ac:dyDescent="0.25">
      <c r="Q462" s="1"/>
      <c r="R462" s="1"/>
      <c r="T462" s="1"/>
      <c r="X462" s="2"/>
      <c r="AM462" s="2"/>
      <c r="EO462" s="2"/>
      <c r="GT462" s="155"/>
      <c r="HZ462" s="2"/>
      <c r="KD462" s="2"/>
      <c r="KE462" s="2"/>
      <c r="KF462" s="2"/>
      <c r="KG462" s="2"/>
    </row>
    <row r="463" spans="17:297" ht="15" customHeight="1" x14ac:dyDescent="0.25">
      <c r="Q463" s="1"/>
      <c r="R463" s="1"/>
      <c r="T463" s="1"/>
      <c r="X463" s="2"/>
      <c r="AM463" s="2"/>
      <c r="EO463" s="2"/>
      <c r="GT463" s="155"/>
      <c r="HZ463" s="2"/>
      <c r="KD463" s="2"/>
      <c r="KE463" s="2"/>
    </row>
    <row r="464" spans="17:297" ht="15" customHeight="1" x14ac:dyDescent="0.25">
      <c r="Q464" s="1"/>
      <c r="R464" s="1"/>
      <c r="T464" s="1"/>
      <c r="X464" s="2"/>
      <c r="AM464" s="2"/>
      <c r="EO464" s="2"/>
      <c r="GT464" s="155"/>
      <c r="HZ464" s="2"/>
      <c r="KD464" s="2"/>
      <c r="KE464" s="2"/>
    </row>
    <row r="465" spans="17:294" ht="15" customHeight="1" x14ac:dyDescent="0.25">
      <c r="Q465" s="1"/>
      <c r="R465" s="1"/>
      <c r="T465" s="1"/>
      <c r="X465" s="2"/>
      <c r="AM465" s="2"/>
      <c r="EO465" s="2"/>
      <c r="GT465" s="155"/>
      <c r="HZ465" s="2"/>
    </row>
    <row r="466" spans="17:294" ht="15" customHeight="1" x14ac:dyDescent="0.25">
      <c r="Q466" s="1"/>
      <c r="X466" s="2"/>
      <c r="AM466" s="2"/>
      <c r="EO466" s="2"/>
      <c r="GT466" s="155"/>
      <c r="HZ466" s="2"/>
      <c r="KD466" s="2"/>
      <c r="KE466" s="2"/>
      <c r="KF466" s="2"/>
    </row>
    <row r="467" spans="17:294" ht="15" customHeight="1" x14ac:dyDescent="0.25">
      <c r="Q467" s="1"/>
      <c r="R467" s="1"/>
      <c r="T467" s="1"/>
      <c r="X467" s="2"/>
      <c r="AM467" s="2"/>
      <c r="EO467" s="2"/>
      <c r="GT467" s="155"/>
      <c r="HZ467" s="2"/>
      <c r="KD467" s="2"/>
    </row>
    <row r="468" spans="17:294" ht="15" customHeight="1" x14ac:dyDescent="0.25">
      <c r="Q468" s="1"/>
      <c r="R468" s="1"/>
      <c r="T468" s="1"/>
      <c r="X468" s="2"/>
      <c r="AM468" s="2"/>
      <c r="EO468" s="2"/>
      <c r="GT468" s="155"/>
      <c r="HZ468" s="2"/>
      <c r="KD468" s="2"/>
    </row>
    <row r="469" spans="17:294" ht="15" customHeight="1" x14ac:dyDescent="0.25">
      <c r="Q469" s="1"/>
      <c r="R469" s="1"/>
      <c r="T469" s="1"/>
      <c r="X469" s="2"/>
      <c r="AM469" s="2"/>
      <c r="EO469" s="2"/>
      <c r="GT469" s="155"/>
      <c r="HZ469" s="2"/>
      <c r="KD469" s="2"/>
    </row>
    <row r="470" spans="17:294" ht="15" customHeight="1" x14ac:dyDescent="0.25">
      <c r="Q470" s="1"/>
      <c r="R470" s="1"/>
      <c r="T470" s="1"/>
      <c r="X470" s="2"/>
      <c r="AM470" s="2"/>
      <c r="EO470" s="2"/>
      <c r="GT470" s="155"/>
      <c r="HZ470" s="2"/>
    </row>
    <row r="471" spans="17:294" ht="15" customHeight="1" x14ac:dyDescent="0.25">
      <c r="Q471" s="1"/>
      <c r="R471" s="1"/>
      <c r="T471" s="1"/>
      <c r="X471" s="2"/>
      <c r="AM471" s="2"/>
      <c r="EO471" s="2"/>
      <c r="GT471" s="155"/>
      <c r="HZ471" s="2"/>
    </row>
    <row r="472" spans="17:294" ht="15" customHeight="1" x14ac:dyDescent="0.25">
      <c r="Q472" s="1"/>
      <c r="R472" s="1"/>
      <c r="T472" s="1"/>
      <c r="X472" s="2"/>
      <c r="AM472" s="2"/>
      <c r="EO472" s="2"/>
      <c r="GT472" s="155"/>
      <c r="HZ472" s="2"/>
    </row>
    <row r="473" spans="17:294" ht="15" customHeight="1" x14ac:dyDescent="0.25">
      <c r="Q473" s="1"/>
      <c r="R473" s="1"/>
      <c r="T473" s="1"/>
      <c r="X473" s="2"/>
      <c r="AM473" s="2"/>
      <c r="EO473" s="2"/>
      <c r="GT473" s="155"/>
      <c r="HZ473" s="2"/>
      <c r="KD473" s="2"/>
      <c r="KE473" s="2"/>
      <c r="KF473" s="2"/>
      <c r="KG473" s="2"/>
      <c r="KH473" s="2"/>
    </row>
    <row r="474" spans="17:294" ht="15" customHeight="1" x14ac:dyDescent="0.25">
      <c r="Q474" s="1"/>
      <c r="R474" s="1"/>
      <c r="T474" s="1"/>
      <c r="X474" s="2"/>
      <c r="AM474" s="2"/>
      <c r="EO474" s="2"/>
      <c r="GT474" s="155"/>
      <c r="HZ474" s="2"/>
      <c r="KD474" s="2"/>
    </row>
    <row r="475" spans="17:294" ht="15" customHeight="1" x14ac:dyDescent="0.25">
      <c r="Q475" s="1"/>
      <c r="R475" s="1"/>
      <c r="T475" s="1"/>
      <c r="X475" s="2"/>
      <c r="AM475" s="2"/>
      <c r="EO475" s="2"/>
      <c r="GT475" s="155"/>
      <c r="HZ475" s="2"/>
      <c r="KD475" s="2"/>
      <c r="KE475" s="2"/>
      <c r="KF475" s="2"/>
    </row>
    <row r="476" spans="17:294" ht="15" customHeight="1" x14ac:dyDescent="0.25">
      <c r="Q476" s="1"/>
      <c r="R476" s="1"/>
      <c r="T476" s="1"/>
      <c r="X476" s="2"/>
      <c r="AM476" s="2"/>
      <c r="EO476" s="2"/>
      <c r="GT476" s="155"/>
      <c r="HZ476" s="2"/>
      <c r="KD476" s="2"/>
    </row>
    <row r="477" spans="17:294" ht="15" customHeight="1" x14ac:dyDescent="0.25">
      <c r="Q477" s="1"/>
      <c r="R477" s="1"/>
      <c r="T477" s="1"/>
      <c r="X477" s="2"/>
      <c r="AM477" s="2"/>
      <c r="EO477" s="2"/>
      <c r="GT477" s="155"/>
      <c r="HZ477" s="2"/>
      <c r="KD477" s="2"/>
      <c r="KE477" s="2"/>
    </row>
    <row r="478" spans="17:294" ht="15" customHeight="1" x14ac:dyDescent="0.25">
      <c r="Q478" s="1"/>
      <c r="R478" s="1"/>
      <c r="X478" s="2"/>
      <c r="AM478" s="2"/>
      <c r="EO478" s="2"/>
      <c r="GT478" s="155"/>
      <c r="HZ478" s="2"/>
    </row>
    <row r="479" spans="17:294" ht="15" customHeight="1" x14ac:dyDescent="0.25">
      <c r="Q479" s="1"/>
      <c r="R479" s="1"/>
      <c r="T479" s="1"/>
      <c r="X479" s="2"/>
      <c r="AM479" s="2"/>
      <c r="EO479" s="2"/>
      <c r="GT479" s="155"/>
      <c r="HZ479" s="2"/>
      <c r="KD479" s="2"/>
      <c r="KE479" s="2"/>
      <c r="KF479" s="2"/>
    </row>
    <row r="480" spans="17:294" ht="15" customHeight="1" x14ac:dyDescent="0.25">
      <c r="Q480" s="1"/>
      <c r="R480" s="1"/>
      <c r="T480" s="1"/>
      <c r="X480" s="2"/>
      <c r="AM480" s="2"/>
      <c r="EO480" s="2"/>
      <c r="GT480" s="155"/>
      <c r="HZ480" s="2"/>
    </row>
    <row r="481" spans="17:293" ht="15" customHeight="1" x14ac:dyDescent="0.25">
      <c r="Q481" s="1"/>
      <c r="R481" s="1"/>
      <c r="X481" s="2"/>
      <c r="AM481" s="2"/>
      <c r="EO481" s="2"/>
      <c r="GT481" s="155"/>
      <c r="HZ481" s="2"/>
      <c r="KD481" s="2"/>
      <c r="KE481" s="2"/>
    </row>
    <row r="482" spans="17:293" ht="15" customHeight="1" x14ac:dyDescent="0.25">
      <c r="Q482" s="1"/>
      <c r="R482" s="1"/>
      <c r="T482" s="1"/>
      <c r="X482" s="2"/>
      <c r="AM482" s="2"/>
      <c r="EO482" s="2"/>
      <c r="GT482" s="155"/>
      <c r="HZ482" s="2"/>
      <c r="KD482" s="2"/>
    </row>
    <row r="483" spans="17:293" ht="15" customHeight="1" x14ac:dyDescent="0.25">
      <c r="Q483" s="1"/>
      <c r="R483" s="1"/>
      <c r="T483" s="1"/>
      <c r="X483" s="2"/>
      <c r="AM483" s="2"/>
      <c r="EO483" s="2"/>
      <c r="GT483" s="155"/>
      <c r="HZ483" s="2"/>
      <c r="KD483" s="2"/>
      <c r="KE483" s="2"/>
      <c r="KF483" s="2"/>
      <c r="KG483" s="2"/>
    </row>
    <row r="484" spans="17:293" ht="15" customHeight="1" x14ac:dyDescent="0.25">
      <c r="Q484" s="1"/>
      <c r="R484" s="1"/>
      <c r="X484" s="2"/>
      <c r="AM484" s="2"/>
      <c r="EO484" s="2"/>
      <c r="GT484" s="155"/>
      <c r="HZ484" s="2"/>
    </row>
    <row r="485" spans="17:293" ht="15" customHeight="1" x14ac:dyDescent="0.25">
      <c r="Q485" s="1"/>
      <c r="R485" s="1"/>
      <c r="T485" s="1"/>
      <c r="X485" s="2"/>
      <c r="AM485" s="2"/>
      <c r="EO485" s="2"/>
      <c r="GT485" s="155"/>
      <c r="HZ485" s="2"/>
      <c r="KD485" s="2"/>
      <c r="KE485" s="2"/>
      <c r="KF485" s="2"/>
    </row>
    <row r="486" spans="17:293" ht="15" customHeight="1" x14ac:dyDescent="0.25">
      <c r="Q486" s="1"/>
      <c r="R486" s="1"/>
      <c r="X486" s="2"/>
      <c r="AM486" s="2"/>
      <c r="EO486" s="2"/>
      <c r="GT486" s="155"/>
      <c r="HZ486" s="2"/>
      <c r="KD486" s="2"/>
      <c r="KE486" s="2"/>
    </row>
    <row r="487" spans="17:293" ht="15" customHeight="1" x14ac:dyDescent="0.25">
      <c r="Q487" s="1"/>
      <c r="R487" s="1"/>
      <c r="X487" s="2"/>
      <c r="AM487" s="2"/>
      <c r="EO487" s="2"/>
      <c r="GT487" s="155"/>
      <c r="HZ487" s="2"/>
    </row>
    <row r="488" spans="17:293" ht="15" customHeight="1" x14ac:dyDescent="0.25">
      <c r="Q488" s="1"/>
      <c r="R488" s="1"/>
      <c r="T488" s="1"/>
      <c r="X488" s="2"/>
      <c r="AM488" s="2"/>
      <c r="EO488" s="2"/>
      <c r="GT488" s="155"/>
      <c r="HZ488" s="2"/>
      <c r="KD488" s="2"/>
    </row>
    <row r="489" spans="17:293" ht="15" customHeight="1" x14ac:dyDescent="0.25">
      <c r="Q489" s="1"/>
      <c r="R489" s="1"/>
      <c r="T489" s="1"/>
      <c r="X489" s="2"/>
      <c r="AM489" s="2"/>
      <c r="EO489" s="2"/>
      <c r="GT489" s="155"/>
      <c r="HZ489" s="2"/>
      <c r="KD489" s="2"/>
      <c r="KE489" s="2"/>
    </row>
    <row r="490" spans="17:293" ht="15" customHeight="1" x14ac:dyDescent="0.25">
      <c r="Q490" s="1"/>
      <c r="R490" s="1"/>
      <c r="T490" s="1"/>
      <c r="X490" s="2"/>
      <c r="AM490" s="2"/>
      <c r="EO490" s="2"/>
      <c r="GT490" s="155"/>
      <c r="HZ490" s="2"/>
      <c r="KD490" s="2"/>
      <c r="KE490" s="2"/>
      <c r="KF490" s="2"/>
    </row>
    <row r="491" spans="17:293" ht="15" customHeight="1" x14ac:dyDescent="0.25">
      <c r="Q491" s="1"/>
      <c r="R491" s="1"/>
      <c r="T491" s="1"/>
      <c r="X491" s="2"/>
      <c r="AM491" s="2"/>
      <c r="EO491" s="2"/>
      <c r="GT491" s="155"/>
      <c r="HZ491" s="2"/>
      <c r="KD491" s="2"/>
      <c r="KE491" s="2"/>
    </row>
    <row r="492" spans="17:293" ht="15" customHeight="1" x14ac:dyDescent="0.25">
      <c r="Q492" s="1"/>
      <c r="R492" s="1"/>
      <c r="X492" s="2"/>
      <c r="AM492" s="2"/>
      <c r="EO492" s="2"/>
      <c r="GT492" s="155"/>
      <c r="HZ492" s="2"/>
    </row>
    <row r="493" spans="17:293" ht="15" customHeight="1" x14ac:dyDescent="0.25">
      <c r="Q493" s="1"/>
      <c r="X493" s="2"/>
      <c r="AM493" s="2"/>
      <c r="EO493" s="2"/>
      <c r="GT493" s="155"/>
      <c r="HZ493" s="2"/>
    </row>
    <row r="494" spans="17:293" ht="15" customHeight="1" x14ac:dyDescent="0.25">
      <c r="Q494" s="1"/>
      <c r="X494" s="2"/>
      <c r="AM494" s="2"/>
      <c r="EO494" s="2"/>
      <c r="GT494" s="155"/>
      <c r="HZ494" s="2"/>
      <c r="KD494" s="2"/>
      <c r="KE494" s="2"/>
      <c r="KF494" s="2"/>
    </row>
    <row r="495" spans="17:293" ht="15" customHeight="1" x14ac:dyDescent="0.25">
      <c r="Q495" s="1"/>
      <c r="R495" s="1"/>
      <c r="T495" s="1"/>
      <c r="X495" s="2"/>
      <c r="AM495" s="2"/>
      <c r="EO495" s="2"/>
      <c r="GT495" s="155"/>
      <c r="HZ495" s="2"/>
      <c r="KD495" s="2"/>
      <c r="KE495" s="2"/>
      <c r="KF495" s="2"/>
    </row>
    <row r="496" spans="17:293" ht="15" customHeight="1" x14ac:dyDescent="0.25">
      <c r="Q496" s="1"/>
      <c r="R496" s="1"/>
      <c r="T496" s="1"/>
      <c r="X496" s="2"/>
      <c r="AM496" s="2"/>
      <c r="EO496" s="2"/>
      <c r="GT496" s="155"/>
      <c r="HZ496" s="2"/>
      <c r="KD496" s="2"/>
      <c r="KE496" s="2"/>
      <c r="KF496" s="2"/>
    </row>
    <row r="497" spans="17:294" ht="15" customHeight="1" x14ac:dyDescent="0.25">
      <c r="Q497" s="1"/>
      <c r="R497" s="1"/>
      <c r="T497" s="1"/>
      <c r="X497" s="2"/>
      <c r="AM497" s="2"/>
      <c r="EO497" s="2"/>
      <c r="GT497" s="155"/>
      <c r="HZ497" s="2"/>
      <c r="KD497" s="2"/>
      <c r="KE497" s="2"/>
      <c r="KF497" s="2"/>
    </row>
    <row r="498" spans="17:294" ht="15" customHeight="1" x14ac:dyDescent="0.25">
      <c r="Q498" s="1"/>
      <c r="R498" s="1"/>
      <c r="X498" s="2"/>
      <c r="AM498" s="2"/>
      <c r="EO498" s="2"/>
      <c r="GT498" s="155"/>
      <c r="HZ498" s="2"/>
      <c r="KD498" s="2"/>
      <c r="KE498" s="2"/>
    </row>
    <row r="499" spans="17:294" ht="15" customHeight="1" x14ac:dyDescent="0.25">
      <c r="Q499" s="1"/>
      <c r="R499" s="1"/>
      <c r="X499" s="2"/>
      <c r="AM499" s="2"/>
      <c r="EO499" s="2"/>
      <c r="GT499" s="155"/>
      <c r="HZ499" s="2"/>
    </row>
    <row r="500" spans="17:294" ht="15" customHeight="1" x14ac:dyDescent="0.25">
      <c r="Q500" s="1"/>
      <c r="R500" s="1"/>
      <c r="T500" s="1"/>
      <c r="X500" s="2"/>
      <c r="AM500" s="2"/>
      <c r="EO500" s="2"/>
      <c r="GT500" s="155"/>
      <c r="HZ500" s="2"/>
      <c r="KD500" s="2"/>
    </row>
    <row r="501" spans="17:294" ht="15" customHeight="1" x14ac:dyDescent="0.25">
      <c r="Q501" s="1"/>
      <c r="R501" s="1"/>
      <c r="X501" s="2"/>
      <c r="AM501" s="2"/>
      <c r="EO501" s="2"/>
      <c r="GT501" s="155"/>
      <c r="HZ501" s="2"/>
      <c r="KD501" s="2"/>
    </row>
    <row r="502" spans="17:294" ht="15" customHeight="1" x14ac:dyDescent="0.25">
      <c r="Q502" s="1"/>
      <c r="R502" s="1"/>
      <c r="T502" s="1"/>
      <c r="X502" s="2"/>
      <c r="AM502" s="2"/>
      <c r="EO502" s="2"/>
      <c r="GT502" s="155"/>
      <c r="HZ502" s="2"/>
      <c r="KD502" s="2"/>
    </row>
    <row r="503" spans="17:294" ht="15" customHeight="1" x14ac:dyDescent="0.25">
      <c r="Q503" s="1"/>
      <c r="R503" s="1"/>
      <c r="T503" s="1"/>
      <c r="X503" s="2"/>
      <c r="AM503" s="2"/>
      <c r="EO503" s="2"/>
      <c r="GT503" s="155"/>
      <c r="HZ503" s="2"/>
      <c r="KD503" s="2"/>
    </row>
    <row r="504" spans="17:294" ht="15" customHeight="1" x14ac:dyDescent="0.25">
      <c r="Q504" s="1"/>
      <c r="R504" s="1"/>
      <c r="T504" s="1"/>
      <c r="X504" s="2"/>
      <c r="AM504" s="2"/>
      <c r="EO504" s="2"/>
      <c r="GT504" s="155"/>
      <c r="HZ504" s="2"/>
      <c r="KD504" s="2"/>
      <c r="KE504" s="2"/>
    </row>
    <row r="505" spans="17:294" ht="15" customHeight="1" x14ac:dyDescent="0.25">
      <c r="Q505" s="1"/>
      <c r="R505" s="1"/>
      <c r="T505" s="1"/>
      <c r="X505" s="2"/>
      <c r="AM505" s="2"/>
      <c r="EO505" s="2"/>
      <c r="GT505" s="155"/>
      <c r="HZ505" s="2"/>
      <c r="KD505" s="2"/>
      <c r="KE505" s="2"/>
      <c r="KF505" s="2"/>
    </row>
    <row r="506" spans="17:294" ht="15" customHeight="1" x14ac:dyDescent="0.25">
      <c r="Q506" s="1"/>
      <c r="R506" s="1"/>
      <c r="T506" s="1"/>
      <c r="X506" s="2"/>
      <c r="AM506" s="2"/>
      <c r="EO506" s="2"/>
      <c r="GT506" s="155"/>
      <c r="HZ506" s="2"/>
      <c r="KD506" s="2"/>
    </row>
    <row r="507" spans="17:294" ht="15" customHeight="1" x14ac:dyDescent="0.25">
      <c r="Q507" s="1"/>
      <c r="R507" s="1"/>
      <c r="T507" s="1"/>
      <c r="X507" s="2"/>
      <c r="AM507" s="2"/>
      <c r="EO507" s="2"/>
      <c r="GT507" s="155"/>
      <c r="HZ507" s="2"/>
      <c r="KD507" s="2"/>
      <c r="KE507" s="2"/>
      <c r="KF507" s="2"/>
      <c r="KG507" s="2"/>
    </row>
    <row r="508" spans="17:294" ht="15" customHeight="1" x14ac:dyDescent="0.25">
      <c r="Q508" s="1"/>
      <c r="R508" s="1"/>
      <c r="T508" s="1"/>
      <c r="X508" s="2"/>
      <c r="AM508" s="2"/>
      <c r="EO508" s="2"/>
      <c r="GT508" s="155"/>
      <c r="HZ508" s="2"/>
      <c r="KD508" s="2"/>
      <c r="KE508" s="2"/>
    </row>
    <row r="509" spans="17:294" ht="15" customHeight="1" x14ac:dyDescent="0.25">
      <c r="Q509" s="1"/>
      <c r="R509" s="1"/>
      <c r="X509" s="2"/>
      <c r="AM509" s="2"/>
      <c r="EO509" s="2"/>
      <c r="GT509" s="155"/>
      <c r="HZ509" s="2"/>
      <c r="KD509" s="2"/>
      <c r="KE509" s="2"/>
      <c r="KF509" s="2"/>
    </row>
    <row r="510" spans="17:294" ht="15" customHeight="1" x14ac:dyDescent="0.25">
      <c r="Q510" s="1"/>
      <c r="R510" s="1"/>
      <c r="T510" s="1"/>
      <c r="X510" s="2"/>
      <c r="AM510" s="2"/>
      <c r="EO510" s="2"/>
      <c r="GT510" s="155"/>
      <c r="HZ510" s="2"/>
      <c r="KD510" s="2"/>
      <c r="KE510" s="2"/>
      <c r="KF510" s="2"/>
      <c r="KG510" s="2"/>
    </row>
    <row r="511" spans="17:294" ht="15" customHeight="1" x14ac:dyDescent="0.25">
      <c r="Q511" s="1"/>
      <c r="R511" s="1"/>
      <c r="T511" s="1"/>
      <c r="X511" s="2"/>
      <c r="AM511" s="2"/>
      <c r="EO511" s="2"/>
      <c r="GT511" s="155"/>
      <c r="HZ511" s="2"/>
      <c r="KD511" s="2"/>
      <c r="KE511" s="2"/>
      <c r="KF511" s="2"/>
      <c r="KG511" s="2"/>
      <c r="KH511" s="2"/>
    </row>
    <row r="512" spans="17:294" ht="15" customHeight="1" x14ac:dyDescent="0.25">
      <c r="Q512" s="1"/>
      <c r="R512" s="1"/>
      <c r="T512" s="1"/>
      <c r="X512" s="2"/>
      <c r="AM512" s="2"/>
      <c r="EO512" s="2"/>
      <c r="GT512" s="155"/>
      <c r="HZ512" s="2"/>
      <c r="KD512" s="2"/>
    </row>
    <row r="513" spans="17:295" ht="15" customHeight="1" x14ac:dyDescent="0.25">
      <c r="Q513" s="1"/>
      <c r="R513" s="1"/>
      <c r="T513" s="1"/>
      <c r="X513" s="2"/>
      <c r="AM513" s="2"/>
      <c r="EO513" s="2"/>
      <c r="GT513" s="155"/>
      <c r="HZ513" s="2"/>
      <c r="KD513" s="2"/>
    </row>
    <row r="514" spans="17:295" ht="15" customHeight="1" x14ac:dyDescent="0.25">
      <c r="Q514" s="1"/>
      <c r="R514" s="1"/>
      <c r="T514" s="1"/>
      <c r="X514" s="2"/>
      <c r="AM514" s="2"/>
      <c r="EO514" s="2"/>
      <c r="GT514" s="155"/>
      <c r="HZ514" s="2"/>
      <c r="KD514" s="2"/>
    </row>
    <row r="515" spans="17:295" ht="15" customHeight="1" x14ac:dyDescent="0.25">
      <c r="Q515" s="1"/>
      <c r="R515" s="1"/>
      <c r="T515" s="1"/>
      <c r="X515" s="2"/>
      <c r="AM515" s="2"/>
      <c r="EO515" s="2"/>
      <c r="GT515" s="155"/>
      <c r="HZ515" s="2"/>
      <c r="KD515" s="2"/>
      <c r="KE515" s="2"/>
      <c r="KF515" s="2"/>
    </row>
    <row r="516" spans="17:295" ht="15" customHeight="1" x14ac:dyDescent="0.25">
      <c r="Q516" s="1"/>
      <c r="R516" s="1"/>
      <c r="T516" s="1"/>
      <c r="X516" s="2"/>
      <c r="AM516" s="2"/>
      <c r="EO516" s="2"/>
      <c r="GT516" s="155"/>
      <c r="HZ516" s="2"/>
      <c r="KD516" s="2"/>
    </row>
    <row r="517" spans="17:295" ht="15" customHeight="1" x14ac:dyDescent="0.25">
      <c r="Q517" s="1"/>
      <c r="R517" s="1"/>
      <c r="T517" s="1"/>
      <c r="X517" s="2"/>
      <c r="AM517" s="2"/>
      <c r="EO517" s="2"/>
      <c r="GT517" s="155"/>
      <c r="HZ517" s="2"/>
      <c r="KD517" s="2"/>
    </row>
    <row r="518" spans="17:295" ht="15" customHeight="1" x14ac:dyDescent="0.25">
      <c r="Q518" s="1"/>
      <c r="R518" s="1"/>
      <c r="T518" s="1"/>
      <c r="X518" s="2"/>
      <c r="AM518" s="2"/>
      <c r="EO518" s="2"/>
      <c r="GT518" s="155"/>
      <c r="HZ518" s="2"/>
      <c r="KD518" s="2"/>
    </row>
    <row r="519" spans="17:295" ht="15" customHeight="1" x14ac:dyDescent="0.25">
      <c r="Q519" s="1"/>
      <c r="R519" s="1"/>
      <c r="T519" s="1"/>
      <c r="X519" s="2"/>
      <c r="AM519" s="2"/>
      <c r="EO519" s="2"/>
      <c r="GT519" s="155"/>
      <c r="HZ519" s="2"/>
      <c r="KD519" s="2"/>
      <c r="KE519" s="2"/>
    </row>
    <row r="520" spans="17:295" ht="15" customHeight="1" x14ac:dyDescent="0.25">
      <c r="Q520" s="1"/>
      <c r="R520" s="1"/>
      <c r="T520" s="1"/>
      <c r="X520" s="2"/>
      <c r="AM520" s="2"/>
      <c r="EO520" s="2"/>
      <c r="GT520" s="155"/>
      <c r="HZ520" s="2"/>
      <c r="KD520" s="2"/>
      <c r="KE520" s="2"/>
    </row>
    <row r="521" spans="17:295" ht="15" customHeight="1" x14ac:dyDescent="0.25">
      <c r="Q521" s="1"/>
      <c r="R521" s="1"/>
      <c r="X521" s="2"/>
      <c r="AM521" s="2"/>
      <c r="EO521" s="2"/>
      <c r="GT521" s="155"/>
      <c r="HZ521" s="2"/>
      <c r="KD521" s="2"/>
    </row>
    <row r="522" spans="17:295" ht="15" customHeight="1" x14ac:dyDescent="0.25">
      <c r="Q522" s="1"/>
      <c r="R522" s="1"/>
      <c r="X522" s="2"/>
      <c r="AM522" s="2"/>
      <c r="EO522" s="2"/>
      <c r="GT522" s="155"/>
      <c r="HZ522" s="2"/>
    </row>
    <row r="523" spans="17:295" ht="15" customHeight="1" x14ac:dyDescent="0.25">
      <c r="Q523" s="1"/>
      <c r="R523" s="1"/>
      <c r="T523" s="1"/>
      <c r="X523" s="2"/>
      <c r="AM523" s="2"/>
      <c r="EO523" s="2"/>
      <c r="GT523" s="155"/>
      <c r="HZ523" s="2"/>
      <c r="KD523" s="2"/>
      <c r="KE523" s="2"/>
      <c r="KF523" s="2"/>
      <c r="KG523" s="2"/>
      <c r="KH523" s="2"/>
      <c r="KI523" s="2"/>
    </row>
    <row r="524" spans="17:295" ht="15" customHeight="1" x14ac:dyDescent="0.25">
      <c r="Q524" s="1"/>
      <c r="R524" s="1"/>
      <c r="T524" s="1"/>
      <c r="X524" s="2"/>
      <c r="AM524" s="2"/>
      <c r="EO524" s="2"/>
      <c r="GT524" s="155"/>
      <c r="HZ524" s="2"/>
      <c r="KD524" s="2"/>
      <c r="KE524" s="2"/>
    </row>
    <row r="525" spans="17:295" ht="15" customHeight="1" x14ac:dyDescent="0.25">
      <c r="Q525" s="1"/>
      <c r="R525" s="1"/>
      <c r="T525" s="1"/>
      <c r="X525" s="2"/>
      <c r="AM525" s="2"/>
      <c r="EO525" s="2"/>
      <c r="GT525" s="155"/>
      <c r="HZ525" s="2"/>
    </row>
    <row r="526" spans="17:295" ht="15" customHeight="1" x14ac:dyDescent="0.25">
      <c r="Q526" s="1"/>
      <c r="R526" s="1"/>
      <c r="T526" s="1"/>
      <c r="X526" s="2"/>
      <c r="AM526" s="2"/>
      <c r="EO526" s="2"/>
      <c r="GT526" s="155"/>
      <c r="HZ526" s="2"/>
    </row>
    <row r="527" spans="17:295" ht="15" customHeight="1" x14ac:dyDescent="0.25">
      <c r="Q527" s="1"/>
      <c r="R527" s="1"/>
      <c r="T527" s="1"/>
      <c r="X527" s="2"/>
      <c r="AM527" s="2"/>
      <c r="EO527" s="2"/>
      <c r="GT527" s="155"/>
      <c r="HZ527" s="2"/>
    </row>
    <row r="528" spans="17:295" ht="15" customHeight="1" x14ac:dyDescent="0.25">
      <c r="Q528" s="1"/>
      <c r="R528" s="1"/>
      <c r="T528" s="1"/>
      <c r="X528" s="2"/>
      <c r="AM528" s="2"/>
      <c r="EO528" s="2"/>
      <c r="GT528" s="155"/>
      <c r="HZ528" s="2"/>
      <c r="KD528" s="2"/>
    </row>
    <row r="529" spans="17:291" ht="15" customHeight="1" x14ac:dyDescent="0.25">
      <c r="Q529" s="1"/>
      <c r="R529" s="1"/>
      <c r="T529" s="1"/>
      <c r="X529" s="2"/>
      <c r="AM529" s="2"/>
      <c r="EO529" s="2"/>
      <c r="GT529" s="155"/>
      <c r="HZ529" s="2"/>
      <c r="KD529" s="2"/>
      <c r="KE529" s="2"/>
    </row>
    <row r="530" spans="17:291" ht="15" customHeight="1" x14ac:dyDescent="0.25">
      <c r="Q530" s="1"/>
      <c r="R530" s="1"/>
      <c r="T530" s="1"/>
      <c r="X530" s="2"/>
      <c r="AM530" s="2"/>
      <c r="EO530" s="2"/>
      <c r="GT530" s="155"/>
      <c r="HZ530" s="2"/>
      <c r="KD530" s="2"/>
      <c r="KE530" s="2"/>
    </row>
    <row r="531" spans="17:291" ht="15" customHeight="1" x14ac:dyDescent="0.25">
      <c r="Q531" s="1"/>
      <c r="R531" s="1"/>
      <c r="T531" s="1"/>
      <c r="X531" s="2"/>
      <c r="AM531" s="2"/>
      <c r="EO531" s="2"/>
      <c r="GT531" s="155"/>
      <c r="HZ531" s="2"/>
    </row>
    <row r="532" spans="17:291" ht="15" customHeight="1" x14ac:dyDescent="0.25">
      <c r="Q532" s="1"/>
      <c r="R532" s="1"/>
      <c r="T532" s="1"/>
      <c r="X532" s="2"/>
      <c r="AM532" s="2"/>
      <c r="EO532" s="2"/>
      <c r="GT532" s="155"/>
      <c r="HZ532" s="2"/>
      <c r="KD532" s="2"/>
      <c r="KE532" s="2"/>
    </row>
    <row r="533" spans="17:291" ht="15" customHeight="1" x14ac:dyDescent="0.25">
      <c r="Q533" s="1"/>
      <c r="R533" s="1"/>
      <c r="X533" s="2"/>
      <c r="AM533" s="2"/>
      <c r="EO533" s="2"/>
      <c r="GT533" s="155"/>
      <c r="HZ533" s="2"/>
    </row>
    <row r="534" spans="17:291" ht="15" customHeight="1" x14ac:dyDescent="0.25">
      <c r="Q534" s="1"/>
      <c r="R534" s="1"/>
      <c r="X534" s="2"/>
      <c r="AM534" s="2"/>
      <c r="EO534" s="2"/>
      <c r="GT534" s="155"/>
      <c r="HZ534" s="2"/>
    </row>
    <row r="535" spans="17:291" ht="15" customHeight="1" x14ac:dyDescent="0.25">
      <c r="Q535" s="1"/>
      <c r="R535" s="1"/>
      <c r="X535" s="2"/>
      <c r="AM535" s="2"/>
      <c r="EO535" s="2"/>
      <c r="GT535" s="155"/>
      <c r="HZ535" s="2"/>
    </row>
    <row r="536" spans="17:291" ht="15" customHeight="1" x14ac:dyDescent="0.25">
      <c r="Q536" s="1"/>
      <c r="R536" s="1"/>
      <c r="X536" s="2"/>
      <c r="AM536" s="2"/>
      <c r="EO536" s="2"/>
      <c r="GT536" s="155"/>
      <c r="HZ536" s="2"/>
    </row>
    <row r="537" spans="17:291" ht="15" customHeight="1" x14ac:dyDescent="0.25">
      <c r="Q537" s="1"/>
      <c r="R537" s="1"/>
      <c r="X537" s="2"/>
      <c r="AM537" s="2"/>
      <c r="EO537" s="2"/>
      <c r="GT537" s="155"/>
      <c r="HZ537" s="2"/>
    </row>
    <row r="538" spans="17:291" ht="15" customHeight="1" x14ac:dyDescent="0.25">
      <c r="Q538" s="1"/>
      <c r="R538" s="1"/>
      <c r="X538" s="2"/>
      <c r="AM538" s="2"/>
      <c r="EO538" s="2"/>
      <c r="GT538" s="155"/>
      <c r="HZ538" s="2"/>
    </row>
    <row r="539" spans="17:291" ht="15" customHeight="1" x14ac:dyDescent="0.25">
      <c r="Q539" s="1"/>
      <c r="R539" s="1"/>
      <c r="T539" s="1"/>
      <c r="X539" s="2"/>
      <c r="AM539" s="2"/>
      <c r="EO539" s="2"/>
      <c r="GT539" s="155"/>
      <c r="HZ539" s="2"/>
      <c r="KD539" s="2"/>
    </row>
    <row r="540" spans="17:291" ht="15" customHeight="1" x14ac:dyDescent="0.25">
      <c r="Q540" s="1"/>
      <c r="R540" s="1"/>
      <c r="T540" s="1"/>
      <c r="X540" s="2"/>
      <c r="AM540" s="2"/>
      <c r="EO540" s="2"/>
      <c r="GT540" s="155"/>
      <c r="HZ540" s="2"/>
      <c r="KD540" s="2"/>
      <c r="KE540" s="2"/>
    </row>
    <row r="541" spans="17:291" ht="15" customHeight="1" x14ac:dyDescent="0.25">
      <c r="Q541" s="1"/>
      <c r="R541" s="1"/>
      <c r="T541" s="1"/>
      <c r="X541" s="2"/>
      <c r="AM541" s="2"/>
      <c r="EO541" s="2"/>
      <c r="GT541" s="155"/>
      <c r="HZ541" s="2"/>
      <c r="KD541" s="2"/>
    </row>
    <row r="542" spans="17:291" ht="15" customHeight="1" x14ac:dyDescent="0.25">
      <c r="Q542" s="1"/>
      <c r="X542" s="2"/>
      <c r="AM542" s="2"/>
      <c r="EO542" s="2"/>
      <c r="GT542" s="155"/>
      <c r="HZ542" s="2"/>
      <c r="KD542" s="2"/>
    </row>
    <row r="543" spans="17:291" ht="15" customHeight="1" x14ac:dyDescent="0.25">
      <c r="Q543" s="1"/>
      <c r="X543" s="2"/>
      <c r="AM543" s="2"/>
      <c r="EO543" s="2"/>
      <c r="GT543" s="155"/>
      <c r="HZ543" s="2"/>
      <c r="KD543" s="2"/>
    </row>
    <row r="544" spans="17:291" ht="15" customHeight="1" x14ac:dyDescent="0.25">
      <c r="Q544" s="1"/>
      <c r="X544" s="2"/>
      <c r="AM544" s="2"/>
      <c r="EO544" s="2"/>
      <c r="GT544" s="155"/>
      <c r="HZ544" s="2"/>
      <c r="KD544" s="2"/>
    </row>
    <row r="545" spans="17:292" ht="15" customHeight="1" x14ac:dyDescent="0.25">
      <c r="Q545" s="1"/>
      <c r="R545" s="1"/>
      <c r="T545" s="1"/>
      <c r="X545" s="2"/>
      <c r="AM545" s="2"/>
      <c r="EO545" s="2"/>
      <c r="GT545" s="155"/>
      <c r="HZ545" s="2"/>
      <c r="KD545" s="2"/>
      <c r="KE545" s="2"/>
    </row>
    <row r="546" spans="17:292" ht="15" customHeight="1" x14ac:dyDescent="0.25">
      <c r="Q546" s="1"/>
      <c r="R546" s="1"/>
      <c r="T546" s="1"/>
      <c r="X546" s="2"/>
      <c r="AM546" s="2"/>
      <c r="EO546" s="2"/>
      <c r="GT546" s="155"/>
      <c r="HZ546" s="2"/>
      <c r="KD546" s="2"/>
      <c r="KE546" s="2"/>
      <c r="KF546" s="2"/>
    </row>
    <row r="547" spans="17:292" ht="15" customHeight="1" x14ac:dyDescent="0.25">
      <c r="Q547" s="1"/>
      <c r="R547" s="1"/>
      <c r="T547" s="1"/>
      <c r="X547" s="2"/>
      <c r="AM547" s="2"/>
      <c r="EO547" s="2"/>
      <c r="GT547" s="155"/>
      <c r="HZ547" s="2"/>
      <c r="KD547" s="2"/>
    </row>
    <row r="548" spans="17:292" ht="15" customHeight="1" x14ac:dyDescent="0.25">
      <c r="Q548" s="1"/>
      <c r="R548" s="1"/>
      <c r="X548" s="2"/>
      <c r="AM548" s="2"/>
      <c r="EO548" s="2"/>
      <c r="GT548" s="155"/>
      <c r="HZ548" s="2"/>
      <c r="KD548" s="2"/>
    </row>
    <row r="549" spans="17:292" ht="15" customHeight="1" x14ac:dyDescent="0.25">
      <c r="Q549" s="1"/>
      <c r="R549" s="1"/>
      <c r="X549" s="2"/>
      <c r="AM549" s="2"/>
      <c r="EO549" s="2"/>
      <c r="GT549" s="155"/>
      <c r="HZ549" s="2"/>
    </row>
    <row r="550" spans="17:292" ht="15" customHeight="1" x14ac:dyDescent="0.25">
      <c r="Q550" s="1"/>
      <c r="X550" s="2"/>
      <c r="AM550" s="2"/>
      <c r="EO550" s="2"/>
      <c r="GT550" s="155"/>
      <c r="HZ550" s="2"/>
      <c r="KD550" s="2"/>
    </row>
    <row r="551" spans="17:292" ht="15" customHeight="1" x14ac:dyDescent="0.25">
      <c r="Q551" s="1"/>
      <c r="R551" s="1"/>
      <c r="T551" s="1"/>
      <c r="X551" s="2"/>
      <c r="AM551" s="2"/>
      <c r="EO551" s="2"/>
      <c r="GT551" s="155"/>
      <c r="HZ551" s="2"/>
      <c r="KD551" s="2"/>
    </row>
    <row r="552" spans="17:292" ht="15" customHeight="1" x14ac:dyDescent="0.25">
      <c r="Q552" s="1"/>
      <c r="R552" s="1"/>
      <c r="T552" s="1"/>
      <c r="X552" s="2"/>
      <c r="AM552" s="2"/>
      <c r="EO552" s="2"/>
      <c r="GT552" s="155"/>
      <c r="HZ552" s="2"/>
      <c r="KD552" s="2"/>
    </row>
    <row r="553" spans="17:292" ht="15" customHeight="1" x14ac:dyDescent="0.25">
      <c r="Q553" s="1"/>
      <c r="R553" s="1"/>
      <c r="X553" s="2"/>
      <c r="AM553" s="2"/>
      <c r="EO553" s="2"/>
      <c r="GT553" s="155"/>
      <c r="HZ553" s="2"/>
      <c r="KD553" s="2"/>
    </row>
    <row r="554" spans="17:292" ht="15" customHeight="1" x14ac:dyDescent="0.25">
      <c r="Q554" s="1"/>
      <c r="X554" s="2"/>
      <c r="AM554" s="2"/>
      <c r="EO554" s="2"/>
      <c r="GT554" s="155"/>
      <c r="HZ554" s="2"/>
      <c r="KD554" s="2"/>
    </row>
    <row r="555" spans="17:292" ht="15" customHeight="1" x14ac:dyDescent="0.25">
      <c r="Q555" s="1"/>
      <c r="R555" s="1"/>
      <c r="T555" s="1"/>
      <c r="X555" s="2"/>
      <c r="AM555" s="2"/>
      <c r="EO555" s="2"/>
      <c r="GT555" s="155"/>
      <c r="HZ555" s="2"/>
      <c r="KD555" s="2"/>
    </row>
    <row r="556" spans="17:292" ht="15" customHeight="1" x14ac:dyDescent="0.25">
      <c r="Q556" s="1"/>
      <c r="R556" s="1"/>
      <c r="T556" s="1"/>
      <c r="X556" s="2"/>
      <c r="AM556" s="2"/>
      <c r="EO556" s="2"/>
      <c r="GT556" s="155"/>
      <c r="HZ556" s="2"/>
      <c r="KD556" s="2"/>
    </row>
    <row r="557" spans="17:292" ht="15" customHeight="1" x14ac:dyDescent="0.25">
      <c r="Q557" s="1"/>
      <c r="R557" s="1"/>
      <c r="T557" s="1"/>
      <c r="X557" s="2"/>
      <c r="AM557" s="2"/>
      <c r="EO557" s="2"/>
      <c r="GT557" s="155"/>
      <c r="HZ557" s="2"/>
      <c r="KD557" s="2"/>
    </row>
    <row r="558" spans="17:292" ht="15" customHeight="1" x14ac:dyDescent="0.25">
      <c r="Q558" s="1"/>
      <c r="R558" s="1"/>
      <c r="T558" s="1"/>
      <c r="X558" s="2"/>
      <c r="AM558" s="2"/>
      <c r="EO558" s="2"/>
      <c r="GT558" s="155"/>
      <c r="HZ558" s="2"/>
      <c r="KD558" s="2"/>
    </row>
    <row r="559" spans="17:292" ht="15" customHeight="1" x14ac:dyDescent="0.25">
      <c r="Q559" s="1"/>
      <c r="R559" s="1"/>
      <c r="T559" s="1"/>
      <c r="X559" s="2"/>
      <c r="AM559" s="2"/>
      <c r="EO559" s="2"/>
      <c r="GT559" s="155"/>
      <c r="HZ559" s="2"/>
      <c r="KD559" s="2"/>
    </row>
    <row r="560" spans="17:292" ht="15" customHeight="1" x14ac:dyDescent="0.25">
      <c r="Q560" s="1"/>
      <c r="R560" s="1"/>
      <c r="T560" s="1"/>
      <c r="X560" s="2"/>
      <c r="AM560" s="2"/>
      <c r="EO560" s="2"/>
      <c r="GT560" s="155"/>
      <c r="HZ560" s="2"/>
      <c r="KD560" s="2"/>
      <c r="KE560" s="2"/>
    </row>
    <row r="561" spans="17:294" ht="15" customHeight="1" x14ac:dyDescent="0.25">
      <c r="Q561" s="1"/>
      <c r="R561" s="1"/>
      <c r="T561" s="1"/>
      <c r="X561" s="2"/>
      <c r="AM561" s="2"/>
      <c r="EO561" s="2"/>
      <c r="GT561" s="155"/>
      <c r="HZ561" s="2"/>
      <c r="KD561" s="2"/>
      <c r="KE561" s="2"/>
    </row>
    <row r="562" spans="17:294" ht="15" customHeight="1" x14ac:dyDescent="0.25">
      <c r="Q562" s="1"/>
      <c r="R562" s="1"/>
      <c r="T562" s="1"/>
      <c r="X562" s="2"/>
      <c r="AM562" s="2"/>
      <c r="EO562" s="2"/>
      <c r="GT562" s="155"/>
      <c r="HZ562" s="2"/>
      <c r="KD562" s="2"/>
      <c r="KE562" s="2"/>
      <c r="KF562" s="2"/>
    </row>
    <row r="563" spans="17:294" ht="15" customHeight="1" x14ac:dyDescent="0.25">
      <c r="Q563" s="1"/>
      <c r="R563" s="1"/>
      <c r="T563" s="1"/>
      <c r="X563" s="2"/>
      <c r="AM563" s="2"/>
      <c r="EO563" s="2"/>
      <c r="GT563" s="155"/>
      <c r="HZ563" s="2"/>
      <c r="KD563" s="2"/>
    </row>
    <row r="564" spans="17:294" ht="15" customHeight="1" x14ac:dyDescent="0.25">
      <c r="Q564" s="1"/>
      <c r="R564" s="1"/>
      <c r="T564" s="1"/>
      <c r="X564" s="2"/>
      <c r="AM564" s="2"/>
      <c r="EO564" s="2"/>
      <c r="GT564" s="155"/>
      <c r="HZ564" s="2"/>
      <c r="KD564" s="2"/>
      <c r="KE564" s="2"/>
      <c r="KF564" s="2"/>
    </row>
    <row r="565" spans="17:294" ht="15" customHeight="1" x14ac:dyDescent="0.25">
      <c r="Q565" s="1"/>
      <c r="R565" s="1"/>
      <c r="T565" s="1"/>
      <c r="X565" s="2"/>
      <c r="AM565" s="2"/>
      <c r="EO565" s="2"/>
      <c r="GT565" s="155"/>
      <c r="HZ565" s="2"/>
    </row>
    <row r="566" spans="17:294" ht="15" customHeight="1" x14ac:dyDescent="0.25">
      <c r="Q566" s="1"/>
      <c r="R566" s="1"/>
      <c r="X566" s="2"/>
      <c r="AM566" s="2"/>
      <c r="EO566" s="2"/>
      <c r="GT566" s="155"/>
      <c r="HZ566" s="2"/>
      <c r="KD566" s="2"/>
    </row>
    <row r="567" spans="17:294" ht="15" customHeight="1" x14ac:dyDescent="0.25">
      <c r="Q567" s="1"/>
      <c r="R567" s="1"/>
      <c r="X567" s="2"/>
      <c r="AM567" s="2"/>
      <c r="EO567" s="2"/>
      <c r="GT567" s="155"/>
      <c r="HZ567" s="2"/>
      <c r="KD567" s="2"/>
      <c r="KE567" s="2"/>
    </row>
    <row r="568" spans="17:294" ht="15" customHeight="1" x14ac:dyDescent="0.25">
      <c r="Q568" s="1"/>
      <c r="R568" s="1"/>
      <c r="T568" s="1"/>
      <c r="X568" s="2"/>
      <c r="AM568" s="2"/>
      <c r="EO568" s="2"/>
      <c r="GT568" s="155"/>
      <c r="HZ568" s="2"/>
      <c r="KD568" s="2"/>
      <c r="KE568" s="2"/>
    </row>
    <row r="569" spans="17:294" ht="15" customHeight="1" x14ac:dyDescent="0.25">
      <c r="Q569" s="1"/>
      <c r="R569" s="1"/>
      <c r="T569" s="1"/>
      <c r="X569" s="2"/>
      <c r="AM569" s="2"/>
      <c r="EO569" s="2"/>
      <c r="GT569" s="155"/>
      <c r="HZ569" s="2"/>
      <c r="KD569" s="2"/>
      <c r="KE569" s="2"/>
    </row>
    <row r="570" spans="17:294" ht="15" customHeight="1" x14ac:dyDescent="0.25">
      <c r="Q570" s="1"/>
      <c r="R570" s="1"/>
      <c r="T570" s="1"/>
      <c r="X570" s="2"/>
      <c r="AM570" s="2"/>
      <c r="EO570" s="2"/>
      <c r="GT570" s="155"/>
      <c r="HZ570" s="2"/>
      <c r="KD570" s="2"/>
    </row>
    <row r="571" spans="17:294" ht="15" customHeight="1" x14ac:dyDescent="0.25">
      <c r="Q571" s="1"/>
      <c r="R571" s="1"/>
      <c r="T571" s="1"/>
      <c r="X571" s="2"/>
      <c r="AM571" s="2"/>
      <c r="EO571" s="2"/>
      <c r="GT571" s="155"/>
      <c r="HZ571" s="2"/>
    </row>
    <row r="572" spans="17:294" ht="15" customHeight="1" x14ac:dyDescent="0.25">
      <c r="Q572" s="1"/>
      <c r="R572" s="1"/>
      <c r="X572" s="2"/>
      <c r="AM572" s="2"/>
      <c r="EO572" s="2"/>
      <c r="GT572" s="155"/>
      <c r="HZ572" s="2"/>
    </row>
    <row r="573" spans="17:294" ht="15" customHeight="1" x14ac:dyDescent="0.25">
      <c r="Q573" s="1"/>
      <c r="R573" s="1"/>
      <c r="T573" s="1"/>
      <c r="X573" s="2"/>
      <c r="AM573" s="2"/>
      <c r="EO573" s="2"/>
      <c r="GT573" s="155"/>
      <c r="HZ573" s="2"/>
      <c r="KD573" s="2"/>
    </row>
    <row r="574" spans="17:294" ht="15" customHeight="1" x14ac:dyDescent="0.25">
      <c r="Q574" s="1"/>
      <c r="R574" s="1"/>
      <c r="T574" s="1"/>
      <c r="X574" s="2"/>
      <c r="AM574" s="2"/>
      <c r="EO574" s="2"/>
      <c r="GT574" s="155"/>
      <c r="HZ574" s="2"/>
    </row>
    <row r="575" spans="17:294" ht="15" customHeight="1" x14ac:dyDescent="0.25">
      <c r="Q575" s="1"/>
      <c r="R575" s="1"/>
      <c r="T575" s="1"/>
      <c r="X575" s="2"/>
      <c r="AM575" s="2"/>
      <c r="EO575" s="2"/>
      <c r="GT575" s="155"/>
      <c r="HZ575" s="2"/>
      <c r="KD575" s="2"/>
      <c r="KE575" s="2"/>
    </row>
    <row r="576" spans="17:294" ht="15" customHeight="1" x14ac:dyDescent="0.25">
      <c r="Q576" s="1"/>
      <c r="R576" s="1"/>
      <c r="T576" s="1"/>
      <c r="X576" s="2"/>
      <c r="AM576" s="2"/>
      <c r="EO576" s="2"/>
      <c r="GT576" s="155"/>
      <c r="HZ576" s="2"/>
      <c r="KD576" s="2"/>
      <c r="KE576" s="2"/>
      <c r="KF576" s="2"/>
      <c r="KG576" s="2"/>
      <c r="KH576" s="2"/>
    </row>
    <row r="577" spans="17:294" ht="15" customHeight="1" x14ac:dyDescent="0.25">
      <c r="Q577" s="1"/>
      <c r="R577" s="1"/>
      <c r="T577" s="1"/>
      <c r="X577" s="2"/>
      <c r="AM577" s="2"/>
      <c r="EO577" s="2"/>
      <c r="GT577" s="155"/>
      <c r="HZ577" s="2"/>
    </row>
    <row r="578" spans="17:294" ht="15" customHeight="1" x14ac:dyDescent="0.25">
      <c r="Q578" s="1"/>
      <c r="R578" s="1"/>
      <c r="T578" s="1"/>
      <c r="X578" s="2"/>
      <c r="AM578" s="2"/>
      <c r="EO578" s="2"/>
      <c r="GT578" s="155"/>
      <c r="HZ578" s="2"/>
      <c r="KD578" s="2"/>
    </row>
    <row r="579" spans="17:294" ht="15" customHeight="1" x14ac:dyDescent="0.25">
      <c r="Q579" s="1"/>
      <c r="R579" s="1"/>
      <c r="T579" s="1"/>
      <c r="X579" s="2"/>
      <c r="AM579" s="2"/>
      <c r="EO579" s="2"/>
      <c r="GT579" s="155"/>
      <c r="HZ579" s="2"/>
    </row>
    <row r="580" spans="17:294" ht="15" customHeight="1" x14ac:dyDescent="0.25">
      <c r="Q580" s="1"/>
      <c r="R580" s="1"/>
      <c r="T580" s="1"/>
      <c r="X580" s="2"/>
      <c r="AM580" s="2"/>
      <c r="EO580" s="2"/>
      <c r="GT580" s="155"/>
      <c r="HZ580" s="2"/>
    </row>
    <row r="581" spans="17:294" ht="15" customHeight="1" x14ac:dyDescent="0.25">
      <c r="Q581" s="1"/>
      <c r="R581" s="1"/>
      <c r="T581" s="1"/>
      <c r="X581" s="2"/>
      <c r="AM581" s="2"/>
      <c r="EO581" s="2"/>
      <c r="GT581" s="155"/>
      <c r="HZ581" s="2"/>
      <c r="KD581" s="2"/>
      <c r="KE581" s="2"/>
    </row>
    <row r="582" spans="17:294" ht="15" customHeight="1" x14ac:dyDescent="0.25">
      <c r="Q582" s="1"/>
      <c r="R582" s="1"/>
      <c r="T582" s="1"/>
      <c r="X582" s="2"/>
      <c r="AM582" s="2"/>
      <c r="EO582" s="2"/>
      <c r="GT582" s="155"/>
      <c r="HZ582" s="2"/>
      <c r="KD582" s="2"/>
    </row>
    <row r="583" spans="17:294" ht="15" customHeight="1" x14ac:dyDescent="0.25">
      <c r="Q583" s="1"/>
      <c r="R583" s="1"/>
      <c r="T583" s="1"/>
      <c r="X583" s="2"/>
      <c r="AM583" s="2"/>
      <c r="EO583" s="2"/>
      <c r="GT583" s="155"/>
      <c r="HZ583" s="2"/>
      <c r="KD583" s="2"/>
      <c r="KE583" s="2"/>
    </row>
    <row r="584" spans="17:294" ht="15" customHeight="1" x14ac:dyDescent="0.25">
      <c r="Q584" s="1"/>
      <c r="R584" s="1"/>
      <c r="T584" s="1"/>
      <c r="X584" s="2"/>
      <c r="AM584" s="2"/>
      <c r="EO584" s="2"/>
      <c r="GT584" s="155"/>
      <c r="HZ584" s="2"/>
      <c r="KD584" s="2"/>
    </row>
    <row r="585" spans="17:294" ht="15" customHeight="1" x14ac:dyDescent="0.25">
      <c r="Q585" s="1"/>
      <c r="R585" s="1"/>
      <c r="T585" s="1"/>
      <c r="X585" s="2"/>
      <c r="AM585" s="2"/>
      <c r="EO585" s="2"/>
      <c r="GT585" s="155"/>
      <c r="HZ585" s="2"/>
      <c r="KD585" s="2"/>
    </row>
    <row r="586" spans="17:294" ht="15" customHeight="1" x14ac:dyDescent="0.25">
      <c r="Q586" s="1"/>
      <c r="R586" s="1"/>
      <c r="X586" s="2"/>
      <c r="AM586" s="2"/>
      <c r="EO586" s="2"/>
      <c r="GT586" s="155"/>
      <c r="HZ586" s="2"/>
      <c r="KD586" s="2"/>
      <c r="KE586" s="2"/>
    </row>
    <row r="587" spans="17:294" ht="15" customHeight="1" x14ac:dyDescent="0.25">
      <c r="Q587" s="1"/>
      <c r="R587" s="1"/>
      <c r="T587" s="1"/>
      <c r="X587" s="2"/>
      <c r="AM587" s="2"/>
      <c r="EO587" s="2"/>
      <c r="GT587" s="155"/>
      <c r="HZ587" s="2"/>
      <c r="KD587" s="2"/>
    </row>
    <row r="588" spans="17:294" ht="15" customHeight="1" x14ac:dyDescent="0.25">
      <c r="Q588" s="1"/>
      <c r="R588" s="1"/>
      <c r="T588" s="1"/>
      <c r="X588" s="2"/>
      <c r="AM588" s="2"/>
      <c r="EO588" s="2"/>
      <c r="GT588" s="155"/>
      <c r="HZ588" s="2"/>
      <c r="KD588" s="2"/>
      <c r="KE588" s="2"/>
      <c r="KF588" s="2"/>
      <c r="KG588" s="2"/>
    </row>
    <row r="589" spans="17:294" ht="15" customHeight="1" x14ac:dyDescent="0.25">
      <c r="Q589" s="1"/>
      <c r="R589" s="1"/>
      <c r="T589" s="1"/>
      <c r="X589" s="2"/>
      <c r="AM589" s="2"/>
      <c r="EO589" s="2"/>
      <c r="GT589" s="155"/>
      <c r="HZ589" s="2"/>
      <c r="KD589" s="2"/>
      <c r="KE589" s="2"/>
      <c r="KF589" s="2"/>
    </row>
    <row r="590" spans="17:294" ht="15" customHeight="1" x14ac:dyDescent="0.25">
      <c r="Q590" s="1"/>
      <c r="R590" s="1"/>
      <c r="T590" s="1"/>
      <c r="X590" s="2"/>
      <c r="AM590" s="2"/>
      <c r="EO590" s="2"/>
      <c r="GT590" s="155"/>
      <c r="HZ590" s="2"/>
      <c r="KD590" s="2"/>
      <c r="KE590" s="2"/>
    </row>
    <row r="591" spans="17:294" ht="15" customHeight="1" x14ac:dyDescent="0.25">
      <c r="Q591" s="1"/>
      <c r="R591" s="1"/>
      <c r="T591" s="1"/>
      <c r="X591" s="2"/>
      <c r="AM591" s="2"/>
      <c r="EO591" s="2"/>
      <c r="GT591" s="155"/>
      <c r="HZ591" s="2"/>
      <c r="KD591" s="2"/>
      <c r="KE591" s="2"/>
    </row>
    <row r="592" spans="17:294" ht="15" customHeight="1" x14ac:dyDescent="0.25">
      <c r="Q592" s="1"/>
      <c r="R592" s="1"/>
      <c r="T592" s="1"/>
      <c r="X592" s="2"/>
      <c r="AM592" s="2"/>
      <c r="EO592" s="2"/>
      <c r="GT592" s="155"/>
      <c r="HZ592" s="2"/>
      <c r="KD592" s="2"/>
      <c r="KE592" s="2"/>
      <c r="KF592" s="2"/>
      <c r="KG592" s="2"/>
      <c r="KH592" s="2"/>
    </row>
    <row r="593" spans="17:293" ht="15" customHeight="1" x14ac:dyDescent="0.25">
      <c r="Q593" s="1"/>
      <c r="R593" s="1"/>
      <c r="T593" s="1"/>
      <c r="X593" s="2"/>
      <c r="AM593" s="2"/>
      <c r="EO593" s="2"/>
      <c r="GT593" s="155"/>
      <c r="HZ593" s="2"/>
      <c r="KD593" s="2"/>
    </row>
    <row r="594" spans="17:293" ht="15" customHeight="1" x14ac:dyDescent="0.25">
      <c r="Q594" s="1"/>
      <c r="R594" s="1"/>
      <c r="T594" s="1"/>
      <c r="X594" s="2"/>
      <c r="AM594" s="2"/>
      <c r="EO594" s="2"/>
      <c r="GT594" s="155"/>
      <c r="HZ594" s="2"/>
      <c r="KD594" s="2"/>
      <c r="KE594" s="2"/>
    </row>
    <row r="595" spans="17:293" ht="15" customHeight="1" x14ac:dyDescent="0.25">
      <c r="Q595" s="1"/>
      <c r="R595" s="1"/>
      <c r="T595" s="1"/>
      <c r="X595" s="2"/>
      <c r="AM595" s="2"/>
      <c r="EO595" s="2"/>
      <c r="GT595" s="155"/>
      <c r="HZ595" s="2"/>
      <c r="KD595" s="2"/>
      <c r="KE595" s="2"/>
    </row>
    <row r="596" spans="17:293" ht="15" customHeight="1" x14ac:dyDescent="0.25">
      <c r="Q596" s="1"/>
      <c r="R596" s="1"/>
      <c r="T596" s="1"/>
      <c r="X596" s="2"/>
      <c r="AM596" s="2"/>
      <c r="EO596" s="2"/>
      <c r="GT596" s="155"/>
      <c r="HZ596" s="2"/>
      <c r="KD596" s="2"/>
      <c r="KE596" s="2"/>
    </row>
    <row r="597" spans="17:293" ht="15" customHeight="1" x14ac:dyDescent="0.25">
      <c r="Q597" s="1"/>
      <c r="R597" s="1"/>
      <c r="T597" s="1"/>
      <c r="X597" s="2"/>
      <c r="AM597" s="2"/>
      <c r="EO597" s="2"/>
      <c r="GT597" s="155"/>
      <c r="HZ597" s="2"/>
      <c r="KD597" s="2"/>
      <c r="KE597" s="2"/>
    </row>
    <row r="598" spans="17:293" ht="15" customHeight="1" x14ac:dyDescent="0.25">
      <c r="Q598" s="1"/>
      <c r="R598" s="1"/>
      <c r="T598" s="1"/>
      <c r="X598" s="2"/>
      <c r="AM598" s="2"/>
      <c r="EO598" s="2"/>
      <c r="GT598" s="155"/>
      <c r="HZ598" s="2"/>
      <c r="KD598" s="2"/>
      <c r="KE598" s="2"/>
      <c r="KF598" s="2"/>
    </row>
    <row r="599" spans="17:293" ht="15" customHeight="1" x14ac:dyDescent="0.25">
      <c r="Q599" s="1"/>
      <c r="R599" s="1"/>
      <c r="T599" s="1"/>
      <c r="X599" s="2"/>
      <c r="AM599" s="2"/>
      <c r="EO599" s="2"/>
      <c r="GT599" s="155"/>
      <c r="HZ599" s="2"/>
      <c r="KD599" s="2"/>
      <c r="KE599" s="2"/>
      <c r="KF599" s="2"/>
    </row>
    <row r="600" spans="17:293" ht="15" customHeight="1" x14ac:dyDescent="0.25">
      <c r="Q600" s="1"/>
      <c r="R600" s="1"/>
      <c r="T600" s="1"/>
      <c r="X600" s="2"/>
      <c r="AM600" s="2"/>
      <c r="EO600" s="2"/>
      <c r="GT600" s="155"/>
      <c r="HZ600" s="2"/>
      <c r="KD600" s="2"/>
      <c r="KE600" s="2"/>
    </row>
    <row r="601" spans="17:293" ht="15" customHeight="1" x14ac:dyDescent="0.25">
      <c r="Q601" s="1"/>
      <c r="R601" s="1"/>
      <c r="T601" s="1"/>
      <c r="X601" s="2"/>
      <c r="AM601" s="2"/>
      <c r="EO601" s="2"/>
      <c r="GT601" s="155"/>
      <c r="HZ601" s="2"/>
      <c r="KD601" s="2"/>
    </row>
    <row r="602" spans="17:293" ht="15" customHeight="1" x14ac:dyDescent="0.25">
      <c r="Q602" s="1"/>
      <c r="R602" s="1"/>
      <c r="T602" s="1"/>
      <c r="X602" s="2"/>
      <c r="AM602" s="2"/>
      <c r="EO602" s="2"/>
      <c r="GT602" s="155"/>
      <c r="HZ602" s="2"/>
      <c r="KD602" s="2"/>
    </row>
    <row r="603" spans="17:293" ht="15" customHeight="1" x14ac:dyDescent="0.25">
      <c r="Q603" s="1"/>
      <c r="R603" s="1"/>
      <c r="T603" s="1"/>
      <c r="X603" s="2"/>
      <c r="AM603" s="2"/>
      <c r="EO603" s="2"/>
      <c r="GT603" s="155"/>
      <c r="HZ603" s="2"/>
      <c r="KD603" s="2"/>
      <c r="KE603" s="2"/>
      <c r="KF603" s="2"/>
      <c r="KG603" s="2"/>
    </row>
    <row r="604" spans="17:293" ht="15" customHeight="1" x14ac:dyDescent="0.25">
      <c r="Q604" s="1"/>
      <c r="R604" s="1"/>
      <c r="T604" s="1"/>
      <c r="X604" s="2"/>
      <c r="AM604" s="2"/>
      <c r="EO604" s="2"/>
      <c r="GT604" s="155"/>
      <c r="HZ604" s="2"/>
    </row>
    <row r="605" spans="17:293" ht="15" customHeight="1" x14ac:dyDescent="0.25">
      <c r="Q605" s="1"/>
      <c r="R605" s="1"/>
      <c r="T605" s="1"/>
      <c r="X605" s="2"/>
      <c r="AM605" s="2"/>
      <c r="EO605" s="2"/>
      <c r="GT605" s="155"/>
      <c r="HZ605" s="2"/>
      <c r="KD605" s="2"/>
    </row>
    <row r="606" spans="17:293" ht="15" customHeight="1" x14ac:dyDescent="0.25">
      <c r="Q606" s="1"/>
      <c r="R606" s="1"/>
      <c r="T606" s="1"/>
      <c r="X606" s="2"/>
      <c r="AM606" s="2"/>
      <c r="EO606" s="2"/>
      <c r="GT606" s="155"/>
      <c r="HZ606" s="2"/>
      <c r="KD606" s="2"/>
    </row>
    <row r="607" spans="17:293" ht="15" customHeight="1" x14ac:dyDescent="0.25">
      <c r="Q607" s="1"/>
      <c r="R607" s="1"/>
      <c r="T607" s="1"/>
      <c r="X607" s="2"/>
      <c r="AM607" s="2"/>
      <c r="EO607" s="2"/>
      <c r="GT607" s="155"/>
      <c r="HZ607" s="2"/>
      <c r="KD607" s="2"/>
    </row>
    <row r="608" spans="17:293" ht="15" customHeight="1" x14ac:dyDescent="0.25">
      <c r="Q608" s="1"/>
      <c r="R608" s="1"/>
      <c r="T608" s="1"/>
      <c r="X608" s="2"/>
      <c r="AM608" s="2"/>
      <c r="EO608" s="2"/>
      <c r="GT608" s="155"/>
      <c r="HZ608" s="2"/>
      <c r="KD608" s="2"/>
      <c r="KE608" s="2"/>
    </row>
    <row r="609" spans="17:293" ht="15" customHeight="1" x14ac:dyDescent="0.25">
      <c r="Q609" s="1"/>
      <c r="R609" s="1"/>
      <c r="T609" s="1"/>
      <c r="X609" s="2"/>
      <c r="AM609" s="2"/>
      <c r="EO609" s="2"/>
      <c r="GT609" s="155"/>
      <c r="HZ609" s="2"/>
      <c r="KD609" s="2"/>
      <c r="KE609" s="2"/>
      <c r="KF609" s="2"/>
    </row>
    <row r="610" spans="17:293" ht="15" customHeight="1" x14ac:dyDescent="0.25">
      <c r="Q610" s="1"/>
      <c r="R610" s="1"/>
      <c r="X610" s="2"/>
      <c r="AM610" s="2"/>
      <c r="EO610" s="2"/>
      <c r="GT610" s="155"/>
      <c r="HZ610" s="2"/>
      <c r="KD610" s="2"/>
    </row>
    <row r="611" spans="17:293" ht="15" customHeight="1" x14ac:dyDescent="0.25">
      <c r="Q611" s="1"/>
      <c r="R611" s="1"/>
      <c r="T611" s="1"/>
      <c r="X611" s="2"/>
      <c r="AM611" s="2"/>
      <c r="EO611" s="2"/>
      <c r="GT611" s="155"/>
      <c r="HZ611" s="2"/>
      <c r="KD611" s="2"/>
    </row>
    <row r="612" spans="17:293" ht="15" customHeight="1" x14ac:dyDescent="0.25">
      <c r="Q612" s="1"/>
      <c r="R612" s="1"/>
      <c r="T612" s="1"/>
      <c r="X612" s="2"/>
      <c r="AM612" s="2"/>
      <c r="EO612" s="2"/>
      <c r="GT612" s="155"/>
      <c r="HZ612" s="2"/>
      <c r="KD612" s="2"/>
    </row>
    <row r="613" spans="17:293" ht="15" customHeight="1" x14ac:dyDescent="0.25">
      <c r="Q613" s="1"/>
      <c r="R613" s="1"/>
      <c r="T613" s="1"/>
      <c r="X613" s="2"/>
      <c r="AM613" s="2"/>
      <c r="EO613" s="2"/>
      <c r="GT613" s="155"/>
      <c r="HZ613" s="2"/>
      <c r="KD613" s="2"/>
      <c r="KE613" s="2"/>
    </row>
    <row r="614" spans="17:293" ht="15" customHeight="1" x14ac:dyDescent="0.25">
      <c r="Q614" s="1"/>
      <c r="R614" s="1"/>
      <c r="T614" s="1"/>
      <c r="X614" s="2"/>
      <c r="AM614" s="2"/>
      <c r="EO614" s="2"/>
      <c r="GT614" s="155"/>
      <c r="HZ614" s="2"/>
      <c r="KD614" s="2"/>
      <c r="KE614" s="2"/>
    </row>
    <row r="615" spans="17:293" ht="15" customHeight="1" x14ac:dyDescent="0.25">
      <c r="Q615" s="1"/>
      <c r="R615" s="1"/>
      <c r="T615" s="1"/>
      <c r="X615" s="2"/>
      <c r="AM615" s="2"/>
      <c r="EO615" s="2"/>
      <c r="GT615" s="155"/>
      <c r="HZ615" s="2"/>
    </row>
    <row r="616" spans="17:293" ht="15" customHeight="1" x14ac:dyDescent="0.25">
      <c r="Q616" s="1"/>
      <c r="R616" s="1"/>
      <c r="T616" s="1"/>
      <c r="X616" s="2"/>
      <c r="AM616" s="2"/>
      <c r="EO616" s="2"/>
      <c r="GT616" s="155"/>
      <c r="HZ616" s="2"/>
      <c r="KD616" s="2"/>
      <c r="KE616" s="2"/>
    </row>
    <row r="617" spans="17:293" ht="15" customHeight="1" x14ac:dyDescent="0.25">
      <c r="Q617" s="1"/>
      <c r="R617" s="1"/>
      <c r="T617" s="1"/>
      <c r="X617" s="2"/>
      <c r="AM617" s="2"/>
      <c r="EO617" s="2"/>
      <c r="GT617" s="155"/>
      <c r="HZ617" s="2"/>
      <c r="KD617" s="2"/>
    </row>
    <row r="618" spans="17:293" ht="15" customHeight="1" x14ac:dyDescent="0.25">
      <c r="Q618" s="1"/>
      <c r="R618" s="1"/>
      <c r="T618" s="1"/>
      <c r="X618" s="2"/>
      <c r="AM618" s="2"/>
      <c r="EO618" s="2"/>
      <c r="GT618" s="155"/>
      <c r="HZ618" s="2"/>
      <c r="KD618" s="2"/>
      <c r="KE618" s="2"/>
      <c r="KF618" s="2"/>
    </row>
    <row r="619" spans="17:293" ht="15" customHeight="1" x14ac:dyDescent="0.25">
      <c r="Q619" s="1"/>
      <c r="R619" s="1"/>
      <c r="T619" s="1"/>
      <c r="X619" s="2"/>
      <c r="AM619" s="2"/>
      <c r="EO619" s="2"/>
      <c r="GT619" s="155"/>
      <c r="HZ619" s="2"/>
      <c r="KD619" s="2"/>
    </row>
    <row r="620" spans="17:293" ht="15" customHeight="1" x14ac:dyDescent="0.25">
      <c r="Q620" s="1"/>
      <c r="R620" s="1"/>
      <c r="T620" s="1"/>
      <c r="X620" s="2"/>
      <c r="AM620" s="2"/>
      <c r="EO620" s="2"/>
      <c r="GT620" s="155"/>
      <c r="HZ620" s="2"/>
      <c r="KD620" s="2"/>
      <c r="KE620" s="2"/>
      <c r="KF620" s="2"/>
    </row>
    <row r="621" spans="17:293" ht="15" customHeight="1" x14ac:dyDescent="0.25">
      <c r="Q621" s="1"/>
      <c r="R621" s="1"/>
      <c r="T621" s="1"/>
      <c r="X621" s="2"/>
      <c r="AM621" s="2"/>
      <c r="EO621" s="2"/>
      <c r="GT621" s="155"/>
      <c r="HZ621" s="2"/>
      <c r="KD621" s="2"/>
    </row>
    <row r="622" spans="17:293" ht="15" customHeight="1" x14ac:dyDescent="0.25">
      <c r="Q622" s="1"/>
      <c r="R622" s="1"/>
      <c r="T622" s="1"/>
      <c r="X622" s="2"/>
      <c r="AM622" s="2"/>
      <c r="EO622" s="2"/>
      <c r="GT622" s="155"/>
      <c r="HZ622" s="2"/>
      <c r="KD622" s="2"/>
    </row>
    <row r="623" spans="17:293" ht="15" customHeight="1" x14ac:dyDescent="0.25">
      <c r="Q623" s="1"/>
      <c r="R623" s="1"/>
      <c r="T623" s="1"/>
      <c r="X623" s="2"/>
      <c r="AM623" s="2"/>
      <c r="EO623" s="2"/>
      <c r="GT623" s="155"/>
      <c r="HZ623" s="2"/>
      <c r="KD623" s="2"/>
    </row>
    <row r="624" spans="17:293" ht="15" customHeight="1" x14ac:dyDescent="0.25">
      <c r="Q624" s="1"/>
      <c r="R624" s="1"/>
      <c r="T624" s="1"/>
      <c r="X624" s="2"/>
      <c r="AM624" s="2"/>
      <c r="EO624" s="2"/>
      <c r="GT624" s="155"/>
      <c r="HZ624" s="2"/>
      <c r="KD624" s="2"/>
      <c r="KE624" s="2"/>
      <c r="KF624" s="2"/>
      <c r="KG624" s="2"/>
    </row>
    <row r="625" spans="17:302" ht="15" customHeight="1" x14ac:dyDescent="0.25">
      <c r="Q625" s="1"/>
      <c r="R625" s="1"/>
      <c r="T625" s="1"/>
      <c r="X625" s="2"/>
      <c r="AM625" s="2"/>
      <c r="EO625" s="2"/>
      <c r="GT625" s="155"/>
      <c r="HZ625" s="2"/>
      <c r="KD625" s="2"/>
      <c r="KE625" s="2"/>
      <c r="KF625" s="2"/>
      <c r="KG625" s="2"/>
      <c r="KH625" s="2"/>
      <c r="KI625" s="2"/>
      <c r="KJ625" s="2"/>
      <c r="KK625" s="2"/>
      <c r="KL625" s="2"/>
      <c r="KM625" s="2"/>
      <c r="KN625" s="2"/>
      <c r="KO625" s="2"/>
      <c r="KP625" s="2"/>
    </row>
    <row r="626" spans="17:302" ht="15" customHeight="1" x14ac:dyDescent="0.25">
      <c r="Q626" s="1"/>
      <c r="R626" s="1"/>
      <c r="X626" s="2"/>
      <c r="AM626" s="2"/>
      <c r="EO626" s="2"/>
      <c r="GT626" s="155"/>
      <c r="HZ626" s="2"/>
    </row>
    <row r="627" spans="17:302" ht="15" customHeight="1" x14ac:dyDescent="0.25">
      <c r="Q627" s="1"/>
      <c r="R627" s="1"/>
      <c r="T627" s="1"/>
      <c r="X627" s="2"/>
      <c r="AM627" s="2"/>
      <c r="EO627" s="2"/>
      <c r="GT627" s="155"/>
      <c r="HZ627" s="2"/>
    </row>
    <row r="628" spans="17:302" ht="15" customHeight="1" x14ac:dyDescent="0.25">
      <c r="Q628" s="1"/>
      <c r="R628" s="1"/>
      <c r="T628" s="1"/>
      <c r="X628" s="2"/>
      <c r="AM628" s="2"/>
      <c r="EO628" s="2"/>
      <c r="GT628" s="155"/>
      <c r="HZ628" s="2"/>
      <c r="KD628" s="2"/>
    </row>
    <row r="629" spans="17:302" ht="15" customHeight="1" x14ac:dyDescent="0.25">
      <c r="Q629" s="1"/>
      <c r="R629" s="1"/>
      <c r="T629" s="1"/>
      <c r="X629" s="2"/>
      <c r="AM629" s="2"/>
      <c r="EO629" s="2"/>
      <c r="GT629" s="155"/>
      <c r="HZ629" s="2"/>
      <c r="KD629" s="2"/>
      <c r="KE629" s="2"/>
    </row>
    <row r="630" spans="17:302" ht="15" customHeight="1" x14ac:dyDescent="0.25">
      <c r="Q630" s="1"/>
      <c r="R630" s="1"/>
      <c r="T630" s="1"/>
      <c r="X630" s="2"/>
      <c r="AM630" s="2"/>
      <c r="EO630" s="2"/>
      <c r="GT630" s="155"/>
      <c r="HZ630" s="2"/>
      <c r="KD630" s="2"/>
    </row>
    <row r="631" spans="17:302" ht="15" customHeight="1" x14ac:dyDescent="0.25">
      <c r="Q631" s="1"/>
      <c r="R631" s="1"/>
      <c r="T631" s="1"/>
      <c r="X631" s="2"/>
      <c r="AM631" s="2"/>
      <c r="EO631" s="2"/>
      <c r="GT631" s="155"/>
      <c r="HZ631" s="2"/>
      <c r="KD631" s="2"/>
    </row>
    <row r="632" spans="17:302" ht="15" customHeight="1" x14ac:dyDescent="0.25">
      <c r="Q632" s="1"/>
      <c r="R632" s="1"/>
      <c r="T632" s="1"/>
      <c r="X632" s="2"/>
      <c r="AM632" s="2"/>
      <c r="EO632" s="2"/>
      <c r="GT632" s="155"/>
      <c r="HZ632" s="2"/>
      <c r="KD632" s="2"/>
      <c r="KE632" s="2"/>
      <c r="KF632" s="2"/>
      <c r="KG632" s="2"/>
      <c r="KH632" s="2"/>
    </row>
    <row r="633" spans="17:302" ht="15" customHeight="1" x14ac:dyDescent="0.25">
      <c r="Q633" s="1"/>
      <c r="R633" s="1"/>
      <c r="T633" s="1"/>
      <c r="X633" s="2"/>
      <c r="AM633" s="2"/>
      <c r="EO633" s="2"/>
      <c r="GT633" s="155"/>
      <c r="HZ633" s="2"/>
      <c r="KD633" s="2"/>
      <c r="KE633" s="2"/>
      <c r="KF633" s="2"/>
      <c r="KG633" s="2"/>
    </row>
    <row r="634" spans="17:302" ht="15" customHeight="1" x14ac:dyDescent="0.25">
      <c r="Q634" s="1"/>
      <c r="R634" s="1"/>
      <c r="T634" s="1"/>
      <c r="X634" s="2"/>
      <c r="AM634" s="2"/>
      <c r="EO634" s="2"/>
      <c r="GT634" s="155"/>
      <c r="HZ634" s="2"/>
      <c r="KD634" s="2"/>
      <c r="KE634" s="2"/>
      <c r="KF634" s="2"/>
    </row>
    <row r="635" spans="17:302" ht="15" customHeight="1" x14ac:dyDescent="0.25">
      <c r="Q635" s="1"/>
      <c r="R635" s="1"/>
      <c r="T635" s="1"/>
      <c r="X635" s="2"/>
      <c r="AM635" s="2"/>
      <c r="EO635" s="2"/>
      <c r="GT635" s="155"/>
      <c r="HZ635" s="2"/>
      <c r="KD635" s="2"/>
      <c r="KE635" s="2"/>
      <c r="KF635" s="2"/>
    </row>
    <row r="636" spans="17:302" ht="15" customHeight="1" x14ac:dyDescent="0.25">
      <c r="Q636" s="1"/>
      <c r="R636" s="1"/>
      <c r="T636" s="1"/>
      <c r="X636" s="2"/>
      <c r="AM636" s="2"/>
      <c r="EO636" s="2"/>
      <c r="GT636" s="155"/>
      <c r="HZ636" s="2"/>
      <c r="KD636" s="2"/>
      <c r="KE636" s="2"/>
      <c r="KF636" s="2"/>
      <c r="KG636" s="2"/>
      <c r="KH636" s="2"/>
      <c r="KI636" s="2"/>
    </row>
    <row r="637" spans="17:302" ht="15" customHeight="1" x14ac:dyDescent="0.25">
      <c r="Q637" s="1"/>
      <c r="R637" s="1"/>
      <c r="T637" s="1"/>
      <c r="X637" s="2"/>
      <c r="AM637" s="2"/>
      <c r="EO637" s="2"/>
      <c r="GT637" s="155"/>
      <c r="HZ637" s="2"/>
      <c r="KD637" s="2"/>
      <c r="KE637" s="2"/>
      <c r="KF637" s="2"/>
      <c r="KG637" s="2"/>
    </row>
    <row r="638" spans="17:302" ht="15" customHeight="1" x14ac:dyDescent="0.25">
      <c r="Q638" s="1"/>
      <c r="R638" s="1"/>
      <c r="T638" s="1"/>
      <c r="X638" s="2"/>
      <c r="AM638" s="2"/>
      <c r="EO638" s="2"/>
      <c r="GT638" s="155"/>
      <c r="HZ638" s="2"/>
      <c r="KD638" s="2"/>
      <c r="KE638" s="2"/>
      <c r="KF638" s="2"/>
      <c r="KG638" s="2"/>
    </row>
    <row r="639" spans="17:302" ht="15" customHeight="1" x14ac:dyDescent="0.25">
      <c r="Q639" s="1"/>
      <c r="R639" s="1"/>
      <c r="T639" s="1"/>
      <c r="X639" s="2"/>
      <c r="AM639" s="2"/>
      <c r="EO639" s="2"/>
      <c r="GT639" s="155"/>
      <c r="HZ639" s="2"/>
      <c r="KD639" s="2"/>
      <c r="KE639" s="2"/>
      <c r="KF639" s="2"/>
    </row>
    <row r="640" spans="17:302" ht="15" customHeight="1" x14ac:dyDescent="0.25">
      <c r="Q640" s="1"/>
      <c r="R640" s="1"/>
      <c r="T640" s="1"/>
      <c r="X640" s="2"/>
      <c r="AM640" s="2"/>
      <c r="EO640" s="2"/>
      <c r="GT640" s="155"/>
      <c r="HZ640" s="2"/>
      <c r="KD640" s="2"/>
      <c r="KE640" s="2"/>
    </row>
    <row r="641" spans="17:293" ht="15" customHeight="1" x14ac:dyDescent="0.25">
      <c r="Q641" s="1"/>
      <c r="R641" s="1"/>
      <c r="T641" s="1"/>
      <c r="X641" s="2"/>
      <c r="AM641" s="2"/>
      <c r="EO641" s="2"/>
      <c r="GT641" s="155"/>
      <c r="HZ641" s="2"/>
      <c r="KD641" s="2"/>
    </row>
    <row r="642" spans="17:293" ht="15" customHeight="1" x14ac:dyDescent="0.25">
      <c r="Q642" s="1"/>
      <c r="R642" s="1"/>
      <c r="T642" s="1"/>
      <c r="X642" s="2"/>
      <c r="AM642" s="2"/>
      <c r="EO642" s="2"/>
      <c r="GT642" s="155"/>
      <c r="HZ642" s="2"/>
      <c r="KD642" s="2"/>
    </row>
    <row r="643" spans="17:293" ht="15" customHeight="1" x14ac:dyDescent="0.25">
      <c r="Q643" s="1"/>
      <c r="R643" s="1"/>
      <c r="T643" s="1"/>
      <c r="X643" s="2"/>
      <c r="AM643" s="2"/>
      <c r="EO643" s="2"/>
      <c r="GT643" s="155"/>
      <c r="HZ643" s="2"/>
      <c r="KD643" s="2"/>
    </row>
    <row r="644" spans="17:293" ht="15" customHeight="1" x14ac:dyDescent="0.25">
      <c r="Q644" s="1"/>
      <c r="R644" s="1"/>
      <c r="T644" s="1"/>
      <c r="X644" s="2"/>
      <c r="AM644" s="2"/>
      <c r="EO644" s="2"/>
      <c r="GT644" s="155"/>
      <c r="HZ644" s="2"/>
      <c r="KD644" s="2"/>
    </row>
    <row r="645" spans="17:293" ht="15" customHeight="1" x14ac:dyDescent="0.25">
      <c r="Q645" s="1"/>
      <c r="R645" s="1"/>
      <c r="T645" s="1"/>
      <c r="X645" s="2"/>
      <c r="AM645" s="2"/>
      <c r="EO645" s="2"/>
      <c r="GT645" s="155"/>
      <c r="HZ645" s="2"/>
      <c r="KD645" s="2"/>
    </row>
    <row r="646" spans="17:293" ht="15" customHeight="1" x14ac:dyDescent="0.25">
      <c r="Q646" s="1"/>
      <c r="R646" s="1"/>
      <c r="T646" s="1"/>
      <c r="X646" s="2"/>
      <c r="AM646" s="2"/>
      <c r="EO646" s="2"/>
      <c r="GT646" s="155"/>
      <c r="HZ646" s="2"/>
      <c r="KD646" s="2"/>
    </row>
    <row r="647" spans="17:293" ht="15" customHeight="1" x14ac:dyDescent="0.25">
      <c r="Q647" s="1"/>
      <c r="R647" s="1"/>
      <c r="T647" s="1"/>
      <c r="X647" s="2"/>
      <c r="AM647" s="2"/>
      <c r="EO647" s="2"/>
      <c r="GT647" s="155"/>
      <c r="HZ647" s="2"/>
    </row>
    <row r="648" spans="17:293" ht="15" customHeight="1" x14ac:dyDescent="0.25">
      <c r="Q648" s="1"/>
      <c r="X648" s="2"/>
      <c r="AM648" s="2"/>
      <c r="EO648" s="2"/>
      <c r="GT648" s="155"/>
      <c r="HZ648" s="2"/>
      <c r="KD648" s="2"/>
      <c r="KE648" s="2"/>
    </row>
    <row r="649" spans="17:293" ht="15" customHeight="1" x14ac:dyDescent="0.25">
      <c r="Q649" s="1"/>
      <c r="X649" s="2"/>
      <c r="AM649" s="2"/>
      <c r="EO649" s="2"/>
      <c r="GT649" s="155"/>
      <c r="HZ649" s="2"/>
      <c r="KD649" s="2"/>
      <c r="KE649" s="2"/>
    </row>
    <row r="650" spans="17:293" ht="15" customHeight="1" x14ac:dyDescent="0.25">
      <c r="Q650" s="1"/>
      <c r="R650" s="1"/>
      <c r="T650" s="1"/>
      <c r="X650" s="2"/>
      <c r="AM650" s="2"/>
      <c r="EO650" s="2"/>
      <c r="GT650" s="155"/>
      <c r="HZ650" s="2"/>
    </row>
    <row r="651" spans="17:293" ht="15" customHeight="1" x14ac:dyDescent="0.25">
      <c r="Q651" s="1"/>
      <c r="R651" s="1"/>
      <c r="X651" s="2"/>
      <c r="AM651" s="2"/>
      <c r="EO651" s="2"/>
      <c r="GT651" s="155"/>
      <c r="HZ651" s="2"/>
    </row>
    <row r="652" spans="17:293" ht="15" customHeight="1" x14ac:dyDescent="0.25">
      <c r="Q652" s="1"/>
      <c r="R652" s="1"/>
      <c r="T652" s="1"/>
      <c r="X652" s="2"/>
      <c r="AM652" s="2"/>
      <c r="EO652" s="2"/>
      <c r="GT652" s="155"/>
      <c r="HZ652" s="2"/>
      <c r="KD652" s="2"/>
      <c r="KE652" s="2"/>
    </row>
    <row r="653" spans="17:293" ht="15" customHeight="1" x14ac:dyDescent="0.25">
      <c r="Q653" s="1"/>
      <c r="R653" s="1"/>
      <c r="T653" s="1"/>
      <c r="X653" s="2"/>
      <c r="AM653" s="2"/>
      <c r="EO653" s="2"/>
      <c r="GT653" s="155"/>
      <c r="HZ653" s="2"/>
      <c r="KD653" s="2"/>
      <c r="KE653" s="2"/>
      <c r="KF653" s="2"/>
      <c r="KG653" s="2"/>
    </row>
    <row r="654" spans="17:293" ht="15" customHeight="1" x14ac:dyDescent="0.25">
      <c r="Q654" s="1"/>
      <c r="R654" s="1"/>
      <c r="T654" s="1"/>
      <c r="X654" s="2"/>
      <c r="AM654" s="2"/>
      <c r="EO654" s="2"/>
      <c r="GT654" s="155"/>
      <c r="HZ654" s="2"/>
      <c r="KD654" s="2"/>
    </row>
    <row r="655" spans="17:293" ht="15" customHeight="1" x14ac:dyDescent="0.25">
      <c r="Q655" s="1"/>
      <c r="R655" s="1"/>
      <c r="T655" s="1"/>
      <c r="X655" s="2"/>
      <c r="AM655" s="2"/>
      <c r="EO655" s="2"/>
      <c r="GT655" s="155"/>
      <c r="HZ655" s="2"/>
      <c r="KD655" s="2"/>
      <c r="KE655" s="2"/>
    </row>
    <row r="656" spans="17:293" ht="15" customHeight="1" x14ac:dyDescent="0.25">
      <c r="Q656" s="1"/>
      <c r="R656" s="1"/>
      <c r="T656" s="1"/>
      <c r="X656" s="2"/>
      <c r="AM656" s="2"/>
      <c r="EO656" s="2"/>
      <c r="GT656" s="155"/>
      <c r="HZ656" s="2"/>
      <c r="KD656" s="2"/>
    </row>
    <row r="657" spans="17:293" ht="15" customHeight="1" x14ac:dyDescent="0.25">
      <c r="Q657" s="1"/>
      <c r="R657" s="1"/>
      <c r="T657" s="1"/>
      <c r="X657" s="2"/>
      <c r="AM657" s="2"/>
      <c r="EO657" s="2"/>
      <c r="GT657" s="155"/>
      <c r="HZ657" s="2"/>
      <c r="KD657" s="2"/>
    </row>
    <row r="658" spans="17:293" ht="15" customHeight="1" x14ac:dyDescent="0.25">
      <c r="Q658" s="1"/>
      <c r="R658" s="1"/>
      <c r="T658" s="1"/>
      <c r="X658" s="2"/>
      <c r="AM658" s="2"/>
      <c r="EO658" s="2"/>
      <c r="GT658" s="155"/>
      <c r="HZ658" s="2"/>
      <c r="KD658" s="2"/>
      <c r="KE658" s="2"/>
    </row>
    <row r="659" spans="17:293" ht="15" customHeight="1" x14ac:dyDescent="0.25">
      <c r="Q659" s="1"/>
      <c r="R659" s="1"/>
      <c r="T659" s="1"/>
      <c r="X659" s="2"/>
      <c r="AM659" s="2"/>
      <c r="EO659" s="2"/>
      <c r="GT659" s="155"/>
      <c r="HZ659" s="2"/>
      <c r="KD659" s="2"/>
      <c r="KE659" s="2"/>
    </row>
    <row r="660" spans="17:293" ht="15" customHeight="1" x14ac:dyDescent="0.25">
      <c r="Q660" s="1"/>
      <c r="R660" s="1"/>
      <c r="X660" s="2"/>
      <c r="AM660" s="2"/>
      <c r="EO660" s="2"/>
      <c r="GT660" s="155"/>
      <c r="HZ660" s="2"/>
    </row>
    <row r="661" spans="17:293" ht="15" customHeight="1" x14ac:dyDescent="0.25">
      <c r="Q661" s="1"/>
      <c r="R661" s="1"/>
      <c r="T661" s="1"/>
      <c r="X661" s="2"/>
      <c r="AM661" s="2"/>
      <c r="EO661" s="2"/>
      <c r="GT661" s="155"/>
      <c r="HZ661" s="2"/>
      <c r="KD661" s="2"/>
    </row>
    <row r="662" spans="17:293" ht="15" customHeight="1" x14ac:dyDescent="0.25">
      <c r="Q662" s="1"/>
      <c r="R662" s="1"/>
      <c r="T662" s="1"/>
      <c r="X662" s="2"/>
      <c r="AM662" s="2"/>
      <c r="EO662" s="2"/>
      <c r="GT662" s="155"/>
      <c r="HZ662" s="2"/>
      <c r="KD662" s="2"/>
    </row>
    <row r="663" spans="17:293" ht="15" customHeight="1" x14ac:dyDescent="0.25">
      <c r="Q663" s="1"/>
      <c r="R663" s="1"/>
      <c r="T663" s="1"/>
      <c r="X663" s="2"/>
      <c r="AM663" s="2"/>
      <c r="EO663" s="2"/>
      <c r="GT663" s="155"/>
      <c r="HZ663" s="2"/>
      <c r="KD663" s="2"/>
      <c r="KE663" s="2"/>
    </row>
    <row r="664" spans="17:293" ht="15" customHeight="1" x14ac:dyDescent="0.25">
      <c r="Q664" s="1"/>
      <c r="R664" s="1"/>
      <c r="T664" s="1"/>
      <c r="X664" s="2"/>
      <c r="AM664" s="2"/>
      <c r="EO664" s="2"/>
      <c r="GT664" s="155"/>
      <c r="HZ664" s="2"/>
      <c r="KD664" s="2"/>
      <c r="KE664" s="2"/>
    </row>
    <row r="665" spans="17:293" ht="15" customHeight="1" x14ac:dyDescent="0.25">
      <c r="Q665" s="1"/>
      <c r="R665" s="1"/>
      <c r="T665" s="1"/>
      <c r="X665" s="2"/>
      <c r="AM665" s="2"/>
      <c r="EO665" s="2"/>
      <c r="GT665" s="155"/>
      <c r="HZ665" s="2"/>
      <c r="KD665" s="2"/>
      <c r="KE665" s="2"/>
    </row>
    <row r="666" spans="17:293" ht="15" customHeight="1" x14ac:dyDescent="0.25">
      <c r="Q666" s="1"/>
      <c r="R666" s="1"/>
      <c r="T666" s="1"/>
      <c r="X666" s="2"/>
      <c r="AM666" s="2"/>
      <c r="EO666" s="2"/>
      <c r="GT666" s="155"/>
      <c r="HZ666" s="2"/>
      <c r="KD666" s="2"/>
    </row>
    <row r="667" spans="17:293" ht="15" customHeight="1" x14ac:dyDescent="0.25">
      <c r="Q667" s="1"/>
      <c r="R667" s="1"/>
      <c r="T667" s="1"/>
      <c r="X667" s="2"/>
      <c r="AM667" s="2"/>
      <c r="EO667" s="2"/>
      <c r="GT667" s="155"/>
      <c r="HZ667" s="2"/>
      <c r="KD667" s="2"/>
    </row>
    <row r="668" spans="17:293" ht="15" customHeight="1" x14ac:dyDescent="0.25">
      <c r="Q668" s="1"/>
      <c r="R668" s="1"/>
      <c r="T668" s="1"/>
      <c r="X668" s="2"/>
      <c r="AM668" s="2"/>
      <c r="EO668" s="2"/>
      <c r="GT668" s="155"/>
      <c r="HZ668" s="2"/>
      <c r="KD668" s="2"/>
      <c r="KE668" s="2"/>
      <c r="KF668" s="2"/>
      <c r="KG668" s="2"/>
    </row>
    <row r="669" spans="17:293" ht="15" customHeight="1" x14ac:dyDescent="0.25">
      <c r="Q669" s="1"/>
      <c r="R669" s="1"/>
      <c r="T669" s="1"/>
      <c r="X669" s="2"/>
      <c r="AM669" s="2"/>
      <c r="EO669" s="2"/>
      <c r="GT669" s="155"/>
      <c r="HZ669" s="2"/>
      <c r="KD669" s="2"/>
      <c r="KE669" s="2"/>
      <c r="KF669" s="2"/>
    </row>
    <row r="670" spans="17:293" ht="15" customHeight="1" x14ac:dyDescent="0.25">
      <c r="Q670" s="1"/>
      <c r="R670" s="1"/>
      <c r="T670" s="1"/>
      <c r="X670" s="2"/>
      <c r="AM670" s="2"/>
      <c r="EO670" s="2"/>
      <c r="GT670" s="155"/>
      <c r="HZ670" s="2"/>
      <c r="KD670" s="2"/>
    </row>
    <row r="671" spans="17:293" ht="15" customHeight="1" x14ac:dyDescent="0.25">
      <c r="Q671" s="1"/>
      <c r="R671" s="1"/>
      <c r="T671" s="1"/>
      <c r="X671" s="2"/>
      <c r="AM671" s="2"/>
      <c r="EO671" s="2"/>
      <c r="GT671" s="155"/>
      <c r="HZ671" s="2"/>
    </row>
    <row r="672" spans="17:293" ht="15" customHeight="1" x14ac:dyDescent="0.25">
      <c r="Q672" s="1"/>
      <c r="R672" s="1"/>
      <c r="T672" s="1"/>
      <c r="X672" s="2"/>
      <c r="AM672" s="2"/>
      <c r="EO672" s="2"/>
      <c r="GT672" s="155"/>
      <c r="HZ672" s="2"/>
      <c r="KD672" s="2"/>
    </row>
    <row r="673" spans="17:296" ht="15" customHeight="1" x14ac:dyDescent="0.25">
      <c r="Q673" s="1"/>
      <c r="R673" s="1"/>
      <c r="T673" s="1"/>
      <c r="X673" s="2"/>
      <c r="AM673" s="2"/>
      <c r="EO673" s="2"/>
      <c r="GT673" s="155"/>
      <c r="HZ673" s="2"/>
      <c r="KD673" s="2"/>
    </row>
    <row r="674" spans="17:296" ht="15" customHeight="1" x14ac:dyDescent="0.25">
      <c r="Q674" s="1"/>
      <c r="R674" s="1"/>
      <c r="T674" s="1"/>
      <c r="X674" s="2"/>
      <c r="AM674" s="2"/>
      <c r="EO674" s="2"/>
      <c r="GT674" s="155"/>
      <c r="HZ674" s="2"/>
      <c r="KD674" s="2"/>
    </row>
    <row r="675" spans="17:296" ht="15" customHeight="1" x14ac:dyDescent="0.25">
      <c r="Q675" s="1"/>
      <c r="R675" s="1"/>
      <c r="T675" s="1"/>
      <c r="X675" s="2"/>
      <c r="AM675" s="2"/>
      <c r="EO675" s="2"/>
      <c r="GT675" s="155"/>
      <c r="HZ675" s="2"/>
    </row>
    <row r="676" spans="17:296" ht="15" customHeight="1" x14ac:dyDescent="0.25">
      <c r="Q676" s="1"/>
      <c r="R676" s="1"/>
      <c r="T676" s="1"/>
      <c r="X676" s="2"/>
      <c r="AM676" s="2"/>
      <c r="EO676" s="2"/>
      <c r="GT676" s="155"/>
      <c r="HZ676" s="2"/>
    </row>
    <row r="677" spans="17:296" ht="15" customHeight="1" x14ac:dyDescent="0.25">
      <c r="Q677" s="1"/>
      <c r="R677" s="1"/>
      <c r="T677" s="1"/>
      <c r="X677" s="2"/>
      <c r="AM677" s="2"/>
      <c r="EO677" s="2"/>
      <c r="GT677" s="155"/>
      <c r="HZ677" s="2"/>
    </row>
    <row r="678" spans="17:296" ht="15" customHeight="1" x14ac:dyDescent="0.25">
      <c r="Q678" s="1"/>
      <c r="R678" s="1"/>
      <c r="T678" s="1"/>
      <c r="X678" s="2"/>
      <c r="AM678" s="2"/>
      <c r="EO678" s="2"/>
      <c r="GT678" s="155"/>
      <c r="HZ678" s="2"/>
      <c r="KD678" s="2"/>
      <c r="KE678" s="2"/>
      <c r="KF678" s="2"/>
      <c r="KG678" s="2"/>
      <c r="KH678" s="2"/>
      <c r="KI678" s="2"/>
    </row>
    <row r="679" spans="17:296" ht="15" customHeight="1" x14ac:dyDescent="0.25">
      <c r="Q679" s="1"/>
      <c r="R679" s="1"/>
      <c r="T679" s="1"/>
      <c r="X679" s="2"/>
      <c r="AM679" s="2"/>
      <c r="EO679" s="2"/>
      <c r="GT679" s="155"/>
      <c r="HZ679" s="2"/>
      <c r="KD679" s="2"/>
      <c r="KE679" s="2"/>
    </row>
    <row r="680" spans="17:296" ht="15" customHeight="1" x14ac:dyDescent="0.25">
      <c r="Q680" s="1"/>
      <c r="R680" s="1"/>
      <c r="T680" s="1"/>
      <c r="X680" s="2"/>
      <c r="AM680" s="2"/>
      <c r="EO680" s="2"/>
      <c r="GT680" s="155"/>
      <c r="HZ680" s="2"/>
      <c r="KD680" s="2"/>
      <c r="KE680" s="2"/>
    </row>
    <row r="681" spans="17:296" ht="15" customHeight="1" x14ac:dyDescent="0.25">
      <c r="Q681" s="1"/>
      <c r="R681" s="1"/>
      <c r="T681" s="1"/>
      <c r="X681" s="2"/>
      <c r="AM681" s="2"/>
      <c r="EO681" s="2"/>
      <c r="GT681" s="155"/>
      <c r="HZ681" s="2"/>
      <c r="KD681" s="2"/>
      <c r="KE681" s="2"/>
    </row>
    <row r="682" spans="17:296" ht="15" customHeight="1" x14ac:dyDescent="0.25">
      <c r="Q682" s="1"/>
      <c r="R682" s="1"/>
      <c r="T682" s="1"/>
      <c r="X682" s="2"/>
      <c r="AM682" s="2"/>
      <c r="EO682" s="2"/>
      <c r="GT682" s="155"/>
      <c r="HZ682" s="2"/>
      <c r="KD682" s="2"/>
    </row>
    <row r="683" spans="17:296" ht="15" customHeight="1" x14ac:dyDescent="0.25">
      <c r="Q683" s="1"/>
      <c r="R683" s="1"/>
      <c r="T683" s="1"/>
      <c r="X683" s="2"/>
      <c r="AM683" s="2"/>
      <c r="EO683" s="2"/>
      <c r="GT683" s="155"/>
      <c r="HZ683" s="2"/>
      <c r="KD683" s="2"/>
      <c r="KE683" s="2"/>
      <c r="KF683" s="2"/>
      <c r="KG683" s="2"/>
      <c r="KH683" s="2"/>
      <c r="KI683" s="2"/>
      <c r="KJ683" s="2"/>
    </row>
    <row r="684" spans="17:296" ht="15" customHeight="1" x14ac:dyDescent="0.25">
      <c r="Q684" s="1"/>
      <c r="R684" s="1"/>
      <c r="T684" s="1"/>
      <c r="X684" s="2"/>
      <c r="AM684" s="2"/>
      <c r="EO684" s="2"/>
      <c r="GT684" s="155"/>
      <c r="HZ684" s="2"/>
      <c r="KD684" s="2"/>
    </row>
    <row r="685" spans="17:296" ht="15" customHeight="1" x14ac:dyDescent="0.25">
      <c r="Q685" s="1"/>
      <c r="R685" s="1"/>
      <c r="X685" s="2"/>
      <c r="AM685" s="2"/>
      <c r="EO685" s="2"/>
      <c r="GT685" s="155"/>
      <c r="HZ685" s="2"/>
      <c r="KD685" s="2"/>
      <c r="KE685" s="2"/>
      <c r="KF685" s="2"/>
    </row>
    <row r="686" spans="17:296" ht="15" customHeight="1" x14ac:dyDescent="0.25">
      <c r="Q686" s="1"/>
      <c r="R686" s="1"/>
      <c r="X686" s="2"/>
      <c r="AM686" s="2"/>
      <c r="EO686" s="2"/>
      <c r="GT686" s="155"/>
      <c r="HZ686" s="2"/>
    </row>
    <row r="687" spans="17:296" ht="15" customHeight="1" x14ac:dyDescent="0.25">
      <c r="Q687" s="1"/>
      <c r="R687" s="1"/>
      <c r="X687" s="2"/>
      <c r="AM687" s="2"/>
      <c r="EO687" s="2"/>
      <c r="GT687" s="155"/>
      <c r="HZ687" s="2"/>
    </row>
    <row r="688" spans="17:296" ht="15" customHeight="1" x14ac:dyDescent="0.25">
      <c r="Q688" s="1"/>
      <c r="R688" s="1"/>
      <c r="T688" s="1"/>
      <c r="X688" s="2"/>
      <c r="AM688" s="2"/>
      <c r="EO688" s="2"/>
      <c r="GT688" s="155"/>
      <c r="HZ688" s="2"/>
      <c r="KD688" s="2"/>
      <c r="KE688" s="2"/>
      <c r="KF688" s="2"/>
    </row>
    <row r="689" spans="17:298" ht="15" customHeight="1" x14ac:dyDescent="0.25">
      <c r="Q689" s="1"/>
      <c r="R689" s="1"/>
      <c r="T689" s="1"/>
      <c r="X689" s="2"/>
      <c r="AM689" s="2"/>
      <c r="EO689" s="2"/>
      <c r="GT689" s="155"/>
      <c r="HZ689" s="2"/>
      <c r="KD689" s="2"/>
      <c r="KE689" s="2"/>
    </row>
    <row r="690" spans="17:298" ht="15" customHeight="1" x14ac:dyDescent="0.25">
      <c r="Q690" s="1"/>
      <c r="R690" s="1"/>
      <c r="T690" s="1"/>
      <c r="X690" s="2"/>
      <c r="AM690" s="2"/>
      <c r="EO690" s="2"/>
      <c r="GT690" s="155"/>
      <c r="HZ690" s="2"/>
      <c r="KD690" s="2"/>
      <c r="KE690" s="2"/>
    </row>
    <row r="691" spans="17:298" ht="15" customHeight="1" x14ac:dyDescent="0.25">
      <c r="Q691" s="1"/>
      <c r="R691" s="1"/>
      <c r="X691" s="2"/>
      <c r="AM691" s="2"/>
      <c r="EO691" s="2"/>
      <c r="GT691" s="155"/>
      <c r="HZ691" s="2"/>
      <c r="KD691" s="2"/>
      <c r="KE691" s="2"/>
    </row>
    <row r="692" spans="17:298" ht="15" customHeight="1" x14ac:dyDescent="0.25">
      <c r="Q692" s="1"/>
      <c r="R692" s="1"/>
      <c r="T692" s="1"/>
      <c r="X692" s="2"/>
      <c r="AM692" s="2"/>
      <c r="EO692" s="2"/>
      <c r="GT692" s="155"/>
      <c r="HZ692" s="2"/>
      <c r="KD692" s="2"/>
      <c r="KE692" s="2"/>
    </row>
    <row r="693" spans="17:298" ht="15" customHeight="1" x14ac:dyDescent="0.25">
      <c r="Q693" s="1"/>
      <c r="R693" s="1"/>
      <c r="T693" s="1"/>
      <c r="X693" s="2"/>
      <c r="AM693" s="2"/>
      <c r="EO693" s="2"/>
      <c r="GT693" s="155"/>
      <c r="HZ693" s="2"/>
      <c r="KD693" s="2"/>
      <c r="KE693" s="2"/>
      <c r="KF693" s="2"/>
      <c r="KG693" s="2"/>
      <c r="KH693" s="2"/>
      <c r="KI693" s="2"/>
      <c r="KJ693" s="2"/>
      <c r="KK693" s="2"/>
      <c r="KL693" s="2"/>
    </row>
    <row r="694" spans="17:298" ht="15" customHeight="1" x14ac:dyDescent="0.25">
      <c r="Q694" s="1"/>
      <c r="R694" s="1"/>
      <c r="T694" s="1"/>
      <c r="X694" s="2"/>
      <c r="AM694" s="2"/>
      <c r="EO694" s="2"/>
      <c r="GT694" s="155"/>
      <c r="HZ694" s="2"/>
      <c r="KD694" s="2"/>
    </row>
    <row r="695" spans="17:298" ht="15" customHeight="1" x14ac:dyDescent="0.25">
      <c r="Q695" s="1"/>
      <c r="R695" s="1"/>
      <c r="T695" s="1"/>
      <c r="X695" s="2"/>
      <c r="AM695" s="2"/>
      <c r="EO695" s="2"/>
      <c r="GT695" s="155"/>
      <c r="HZ695" s="2"/>
      <c r="KD695" s="2"/>
    </row>
    <row r="696" spans="17:298" ht="15" customHeight="1" x14ac:dyDescent="0.25">
      <c r="Q696" s="1"/>
      <c r="R696" s="1"/>
      <c r="T696" s="1"/>
      <c r="X696" s="2"/>
      <c r="AM696" s="2"/>
      <c r="EO696" s="2"/>
      <c r="GT696" s="155"/>
      <c r="HZ696" s="2"/>
      <c r="KD696" s="2"/>
      <c r="KE696" s="2"/>
    </row>
    <row r="697" spans="17:298" ht="15" customHeight="1" x14ac:dyDescent="0.25">
      <c r="Q697" s="1"/>
      <c r="R697" s="1"/>
      <c r="T697" s="1"/>
      <c r="X697" s="2"/>
      <c r="AM697" s="2"/>
      <c r="EO697" s="2"/>
      <c r="GT697" s="155"/>
      <c r="HZ697" s="2"/>
      <c r="KD697" s="2"/>
    </row>
    <row r="698" spans="17:298" ht="15" customHeight="1" x14ac:dyDescent="0.25">
      <c r="Q698" s="1"/>
      <c r="R698" s="1"/>
      <c r="T698" s="1"/>
      <c r="X698" s="2"/>
      <c r="AM698" s="2"/>
      <c r="EO698" s="2"/>
      <c r="GT698" s="155"/>
      <c r="HZ698" s="2"/>
      <c r="KD698" s="2"/>
      <c r="KE698" s="2"/>
    </row>
    <row r="699" spans="17:298" ht="15" customHeight="1" x14ac:dyDescent="0.25">
      <c r="Q699" s="1"/>
      <c r="R699" s="1"/>
      <c r="T699" s="1"/>
      <c r="X699" s="2"/>
      <c r="AM699" s="2"/>
      <c r="EO699" s="2"/>
      <c r="GT699" s="155"/>
      <c r="HZ699" s="2"/>
      <c r="KD699" s="2"/>
      <c r="KE699" s="2"/>
    </row>
    <row r="700" spans="17:298" ht="15" customHeight="1" x14ac:dyDescent="0.25">
      <c r="Q700" s="1"/>
      <c r="R700" s="1"/>
      <c r="T700" s="1"/>
      <c r="X700" s="2"/>
      <c r="AM700" s="2"/>
      <c r="EO700" s="2"/>
      <c r="GT700" s="155"/>
      <c r="HZ700" s="2"/>
      <c r="KD700" s="2"/>
    </row>
    <row r="701" spans="17:298" ht="15" customHeight="1" x14ac:dyDescent="0.25">
      <c r="Q701" s="1"/>
      <c r="R701" s="1"/>
      <c r="X701" s="2"/>
      <c r="AM701" s="2"/>
      <c r="EO701" s="2"/>
      <c r="GT701" s="155"/>
      <c r="HZ701" s="2"/>
    </row>
    <row r="702" spans="17:298" ht="15" customHeight="1" x14ac:dyDescent="0.25">
      <c r="Q702" s="1"/>
      <c r="R702" s="1"/>
      <c r="T702" s="1"/>
      <c r="X702" s="2"/>
      <c r="AM702" s="2"/>
      <c r="EO702" s="2"/>
      <c r="GT702" s="155"/>
      <c r="HZ702" s="2"/>
    </row>
    <row r="703" spans="17:298" ht="15" customHeight="1" x14ac:dyDescent="0.25">
      <c r="Q703" s="1"/>
      <c r="R703" s="1"/>
      <c r="T703" s="1"/>
      <c r="X703" s="2"/>
      <c r="AM703" s="2"/>
      <c r="EO703" s="2"/>
      <c r="GT703" s="155"/>
      <c r="HZ703" s="2"/>
    </row>
    <row r="704" spans="17:298" ht="15" customHeight="1" x14ac:dyDescent="0.25">
      <c r="Q704" s="1"/>
      <c r="R704" s="1"/>
      <c r="T704" s="1"/>
      <c r="X704" s="2"/>
      <c r="AM704" s="2"/>
      <c r="EO704" s="2"/>
      <c r="GT704" s="155"/>
      <c r="HZ704" s="2"/>
    </row>
    <row r="705" spans="17:293" ht="15" customHeight="1" x14ac:dyDescent="0.25">
      <c r="Q705" s="1"/>
      <c r="R705" s="1"/>
      <c r="T705" s="1"/>
      <c r="X705" s="2"/>
      <c r="AM705" s="2"/>
      <c r="EO705" s="2"/>
      <c r="GT705" s="155"/>
      <c r="HZ705" s="2"/>
      <c r="KD705" s="2"/>
      <c r="KE705" s="2"/>
    </row>
    <row r="706" spans="17:293" ht="15" customHeight="1" x14ac:dyDescent="0.25">
      <c r="Q706" s="1"/>
      <c r="R706" s="1"/>
      <c r="T706" s="1"/>
      <c r="X706" s="2"/>
      <c r="AM706" s="2"/>
      <c r="EO706" s="2"/>
      <c r="GT706" s="155"/>
      <c r="HZ706" s="2"/>
      <c r="KD706" s="2"/>
      <c r="KE706" s="2"/>
    </row>
    <row r="707" spans="17:293" ht="15" customHeight="1" x14ac:dyDescent="0.25">
      <c r="Q707" s="1"/>
      <c r="R707" s="1"/>
      <c r="T707" s="1"/>
      <c r="X707" s="2"/>
      <c r="AM707" s="2"/>
      <c r="EO707" s="2"/>
      <c r="GT707" s="155"/>
      <c r="HZ707" s="2"/>
      <c r="KD707" s="2"/>
      <c r="KE707" s="2"/>
    </row>
    <row r="708" spans="17:293" ht="15" customHeight="1" x14ac:dyDescent="0.25">
      <c r="Q708" s="1"/>
      <c r="R708" s="1"/>
      <c r="T708" s="1"/>
      <c r="X708" s="2"/>
      <c r="AM708" s="2"/>
      <c r="EO708" s="2"/>
      <c r="GT708" s="155"/>
      <c r="HZ708" s="2"/>
      <c r="KD708" s="2"/>
    </row>
    <row r="709" spans="17:293" ht="15" customHeight="1" x14ac:dyDescent="0.25">
      <c r="Q709" s="1"/>
      <c r="R709" s="1"/>
      <c r="T709" s="1"/>
      <c r="X709" s="2"/>
      <c r="AM709" s="2"/>
      <c r="EO709" s="2"/>
      <c r="GT709" s="155"/>
      <c r="HZ709" s="2"/>
      <c r="KD709" s="2"/>
      <c r="KE709" s="2"/>
    </row>
    <row r="710" spans="17:293" ht="15" customHeight="1" x14ac:dyDescent="0.25">
      <c r="Q710" s="1"/>
      <c r="R710" s="1"/>
      <c r="T710" s="1"/>
      <c r="X710" s="2"/>
      <c r="AM710" s="2"/>
      <c r="EO710" s="2"/>
      <c r="GT710" s="155"/>
      <c r="HZ710" s="2"/>
      <c r="KD710" s="2"/>
    </row>
    <row r="711" spans="17:293" ht="15" customHeight="1" x14ac:dyDescent="0.25">
      <c r="Q711" s="1"/>
      <c r="R711" s="1"/>
      <c r="T711" s="1"/>
      <c r="X711" s="2"/>
      <c r="AM711" s="2"/>
      <c r="EO711" s="2"/>
      <c r="GT711" s="155"/>
      <c r="HZ711" s="2"/>
      <c r="KD711" s="2"/>
    </row>
    <row r="712" spans="17:293" ht="15" customHeight="1" x14ac:dyDescent="0.25">
      <c r="Q712" s="1"/>
      <c r="R712" s="1"/>
      <c r="T712" s="1"/>
      <c r="X712" s="2"/>
      <c r="AM712" s="2"/>
      <c r="EO712" s="2"/>
      <c r="GT712" s="155"/>
      <c r="HZ712" s="2"/>
      <c r="KD712" s="2"/>
      <c r="KE712" s="2"/>
    </row>
    <row r="713" spans="17:293" ht="15" customHeight="1" x14ac:dyDescent="0.25">
      <c r="Q713" s="1"/>
      <c r="R713" s="1"/>
      <c r="T713" s="1"/>
      <c r="X713" s="2"/>
      <c r="AM713" s="2"/>
      <c r="EO713" s="2"/>
      <c r="GT713" s="155"/>
      <c r="HZ713" s="2"/>
      <c r="KD713" s="2"/>
    </row>
    <row r="714" spans="17:293" ht="15" customHeight="1" x14ac:dyDescent="0.25">
      <c r="Q714" s="1"/>
      <c r="R714" s="1"/>
      <c r="T714" s="1"/>
      <c r="X714" s="2"/>
      <c r="AM714" s="2"/>
      <c r="EO714" s="2"/>
      <c r="GT714" s="155"/>
      <c r="HZ714" s="2"/>
      <c r="KD714" s="2"/>
      <c r="KE714" s="2"/>
    </row>
    <row r="715" spans="17:293" ht="15" customHeight="1" x14ac:dyDescent="0.25">
      <c r="Q715" s="1"/>
      <c r="R715" s="1"/>
      <c r="T715" s="1"/>
      <c r="X715" s="2"/>
      <c r="AM715" s="2"/>
      <c r="EO715" s="2"/>
      <c r="GT715" s="155"/>
      <c r="HZ715" s="2"/>
      <c r="KD715" s="2"/>
      <c r="KE715" s="2"/>
    </row>
    <row r="716" spans="17:293" ht="15" customHeight="1" x14ac:dyDescent="0.25">
      <c r="Q716" s="1"/>
      <c r="R716" s="1"/>
      <c r="T716" s="1"/>
      <c r="X716" s="2"/>
      <c r="AM716" s="2"/>
      <c r="EO716" s="2"/>
      <c r="GT716" s="155"/>
      <c r="HZ716" s="2"/>
      <c r="KD716" s="2"/>
    </row>
    <row r="717" spans="17:293" ht="15" customHeight="1" x14ac:dyDescent="0.25">
      <c r="Q717" s="1"/>
      <c r="R717" s="1"/>
      <c r="T717" s="1"/>
      <c r="X717" s="2"/>
      <c r="AM717" s="2"/>
      <c r="EO717" s="2"/>
      <c r="GT717" s="155"/>
      <c r="HZ717" s="2"/>
      <c r="KD717" s="2"/>
      <c r="KE717" s="2"/>
      <c r="KF717" s="2"/>
      <c r="KG717" s="2"/>
    </row>
    <row r="718" spans="17:293" ht="15" customHeight="1" x14ac:dyDescent="0.25">
      <c r="Q718" s="1"/>
      <c r="R718" s="1"/>
      <c r="T718" s="1"/>
      <c r="X718" s="2"/>
      <c r="AM718" s="2"/>
      <c r="EO718" s="2"/>
      <c r="GT718" s="155"/>
      <c r="HZ718" s="2"/>
    </row>
    <row r="719" spans="17:293" ht="15" customHeight="1" x14ac:dyDescent="0.25">
      <c r="Q719" s="1"/>
      <c r="R719" s="1"/>
      <c r="T719" s="1"/>
      <c r="X719" s="2"/>
      <c r="AM719" s="2"/>
      <c r="EO719" s="2"/>
      <c r="GT719" s="155"/>
      <c r="HZ719" s="2"/>
      <c r="KD719" s="2"/>
      <c r="KE719" s="2"/>
    </row>
    <row r="720" spans="17:293" ht="15" customHeight="1" x14ac:dyDescent="0.25">
      <c r="Q720" s="1"/>
      <c r="R720" s="1"/>
      <c r="T720" s="1"/>
      <c r="X720" s="2"/>
      <c r="AM720" s="2"/>
      <c r="EO720" s="2"/>
      <c r="GT720" s="155"/>
      <c r="HZ720" s="2"/>
      <c r="KD720" s="2"/>
    </row>
    <row r="721" spans="17:293" ht="15" customHeight="1" x14ac:dyDescent="0.25">
      <c r="Q721" s="1"/>
      <c r="R721" s="1"/>
      <c r="T721" s="1"/>
      <c r="X721" s="2"/>
      <c r="AM721" s="2"/>
      <c r="EO721" s="2"/>
      <c r="GT721" s="155"/>
      <c r="HZ721" s="2"/>
      <c r="KD721" s="2"/>
      <c r="KE721" s="2"/>
    </row>
    <row r="722" spans="17:293" ht="15" customHeight="1" x14ac:dyDescent="0.25">
      <c r="Q722" s="1"/>
      <c r="R722" s="1"/>
      <c r="T722" s="1"/>
      <c r="X722" s="2"/>
      <c r="AM722" s="2"/>
      <c r="EO722" s="2"/>
      <c r="GT722" s="155"/>
      <c r="HZ722" s="2"/>
      <c r="KD722" s="2"/>
    </row>
    <row r="723" spans="17:293" ht="15" customHeight="1" x14ac:dyDescent="0.25">
      <c r="Q723" s="1"/>
      <c r="R723" s="1"/>
      <c r="T723" s="1"/>
      <c r="X723" s="2"/>
      <c r="AM723" s="2"/>
      <c r="EO723" s="2"/>
      <c r="GT723" s="155"/>
      <c r="HZ723" s="2"/>
      <c r="KD723" s="2"/>
    </row>
    <row r="724" spans="17:293" ht="15" customHeight="1" x14ac:dyDescent="0.25">
      <c r="Q724" s="1"/>
      <c r="R724" s="1"/>
      <c r="T724" s="1"/>
      <c r="X724" s="2"/>
      <c r="AM724" s="2"/>
      <c r="EO724" s="2"/>
      <c r="GT724" s="155"/>
      <c r="HZ724" s="2"/>
      <c r="KD724" s="2"/>
      <c r="KE724" s="2"/>
      <c r="KF724" s="2"/>
    </row>
    <row r="725" spans="17:293" ht="15" customHeight="1" x14ac:dyDescent="0.25">
      <c r="Q725" s="1"/>
      <c r="R725" s="1"/>
      <c r="T725" s="1"/>
      <c r="X725" s="2"/>
      <c r="AM725" s="2"/>
      <c r="EO725" s="2"/>
      <c r="GT725" s="155"/>
      <c r="HZ725" s="2"/>
      <c r="KD725" s="2"/>
    </row>
    <row r="726" spans="17:293" ht="15" customHeight="1" x14ac:dyDescent="0.25">
      <c r="Q726" s="1"/>
      <c r="R726" s="1"/>
      <c r="T726" s="1"/>
      <c r="X726" s="2"/>
      <c r="AM726" s="2"/>
      <c r="EO726" s="2"/>
      <c r="GT726" s="155"/>
      <c r="HZ726" s="2"/>
      <c r="KD726" s="2"/>
      <c r="KE726" s="2"/>
      <c r="KF726" s="2"/>
    </row>
    <row r="727" spans="17:293" ht="15" customHeight="1" x14ac:dyDescent="0.25">
      <c r="Q727" s="1"/>
      <c r="R727" s="1"/>
      <c r="T727" s="1"/>
      <c r="X727" s="2"/>
      <c r="AM727" s="2"/>
      <c r="EO727" s="2"/>
      <c r="GT727" s="155"/>
      <c r="HZ727" s="2"/>
      <c r="KD727" s="2"/>
    </row>
    <row r="728" spans="17:293" ht="15" customHeight="1" x14ac:dyDescent="0.25">
      <c r="Q728" s="1"/>
      <c r="R728" s="1"/>
      <c r="T728" s="1"/>
      <c r="X728" s="2"/>
      <c r="AM728" s="2"/>
      <c r="EO728" s="2"/>
      <c r="GT728" s="155"/>
      <c r="HZ728" s="2"/>
      <c r="KD728" s="2"/>
    </row>
    <row r="729" spans="17:293" ht="15" customHeight="1" x14ac:dyDescent="0.25">
      <c r="Q729" s="1"/>
      <c r="R729" s="1"/>
      <c r="T729" s="1"/>
      <c r="X729" s="2"/>
      <c r="AM729" s="2"/>
      <c r="EO729" s="2"/>
      <c r="GT729" s="155"/>
      <c r="HZ729" s="2"/>
      <c r="KD729" s="2"/>
    </row>
    <row r="730" spans="17:293" ht="15" customHeight="1" x14ac:dyDescent="0.25">
      <c r="Q730" s="1"/>
      <c r="R730" s="1"/>
      <c r="T730" s="1"/>
      <c r="X730" s="2"/>
      <c r="AM730" s="2"/>
      <c r="EO730" s="2"/>
      <c r="GT730" s="155"/>
      <c r="HZ730" s="2"/>
    </row>
    <row r="731" spans="17:293" ht="15" customHeight="1" x14ac:dyDescent="0.25">
      <c r="Q731" s="1"/>
      <c r="R731" s="1"/>
      <c r="T731" s="1"/>
      <c r="X731" s="2"/>
      <c r="AM731" s="2"/>
      <c r="EO731" s="2"/>
      <c r="GT731" s="155"/>
      <c r="HZ731" s="2"/>
    </row>
    <row r="732" spans="17:293" ht="15" customHeight="1" x14ac:dyDescent="0.25">
      <c r="Q732" s="1"/>
      <c r="R732" s="1"/>
      <c r="T732" s="1"/>
      <c r="X732" s="2"/>
      <c r="AM732" s="2"/>
      <c r="EO732" s="2"/>
      <c r="GT732" s="155"/>
      <c r="HZ732" s="2"/>
    </row>
    <row r="733" spans="17:293" ht="15" customHeight="1" x14ac:dyDescent="0.25">
      <c r="Q733" s="1"/>
      <c r="R733" s="1"/>
      <c r="T733" s="1"/>
      <c r="X733" s="2"/>
      <c r="AM733" s="2"/>
      <c r="EO733" s="2"/>
      <c r="GT733" s="155"/>
      <c r="HZ733" s="2"/>
    </row>
    <row r="734" spans="17:293" ht="15" customHeight="1" x14ac:dyDescent="0.25">
      <c r="Q734" s="1"/>
      <c r="R734" s="1"/>
      <c r="T734" s="1"/>
      <c r="X734" s="2"/>
      <c r="AM734" s="2"/>
      <c r="EO734" s="2"/>
      <c r="GT734" s="155"/>
      <c r="HZ734" s="2"/>
      <c r="KD734" s="2"/>
      <c r="KE734" s="2"/>
      <c r="KF734" s="2"/>
      <c r="KG734" s="2"/>
    </row>
    <row r="735" spans="17:293" ht="15" customHeight="1" x14ac:dyDescent="0.25">
      <c r="Q735" s="1"/>
      <c r="R735" s="1"/>
      <c r="T735" s="1"/>
      <c r="X735" s="2"/>
      <c r="AM735" s="2"/>
      <c r="EO735" s="2"/>
      <c r="GT735" s="155"/>
      <c r="HZ735" s="2"/>
    </row>
    <row r="736" spans="17:293" ht="15" customHeight="1" x14ac:dyDescent="0.25">
      <c r="Q736" s="1"/>
      <c r="R736" s="1"/>
      <c r="T736" s="1"/>
      <c r="X736" s="2"/>
      <c r="AM736" s="2"/>
      <c r="EO736" s="2"/>
      <c r="GT736" s="155"/>
      <c r="HZ736" s="2"/>
    </row>
    <row r="737" spans="17:292" ht="15" customHeight="1" x14ac:dyDescent="0.25">
      <c r="Q737" s="1"/>
      <c r="R737" s="1"/>
      <c r="X737" s="2"/>
      <c r="AM737" s="2"/>
      <c r="EO737" s="2"/>
      <c r="GT737" s="155"/>
      <c r="HZ737" s="2"/>
    </row>
    <row r="738" spans="17:292" ht="15" customHeight="1" x14ac:dyDescent="0.25">
      <c r="Q738" s="1"/>
      <c r="R738" s="1"/>
      <c r="X738" s="2"/>
      <c r="AM738" s="2"/>
      <c r="EO738" s="2"/>
      <c r="GT738" s="155"/>
      <c r="HZ738" s="2"/>
    </row>
    <row r="739" spans="17:292" ht="15" customHeight="1" x14ac:dyDescent="0.25">
      <c r="Q739" s="1"/>
      <c r="R739" s="1"/>
      <c r="X739" s="2"/>
      <c r="AM739" s="2"/>
      <c r="EO739" s="2"/>
      <c r="GT739" s="155"/>
      <c r="HZ739" s="2"/>
    </row>
    <row r="740" spans="17:292" ht="15" customHeight="1" x14ac:dyDescent="0.25">
      <c r="Q740" s="1"/>
      <c r="R740" s="1"/>
      <c r="T740" s="1"/>
      <c r="X740" s="2"/>
      <c r="AM740" s="2"/>
      <c r="EO740" s="2"/>
      <c r="GT740" s="155"/>
      <c r="HZ740" s="2"/>
      <c r="KD740" s="2"/>
    </row>
    <row r="741" spans="17:292" ht="15" customHeight="1" x14ac:dyDescent="0.25">
      <c r="Q741" s="1"/>
      <c r="R741" s="1"/>
      <c r="X741" s="2"/>
      <c r="AM741" s="2"/>
      <c r="EO741" s="2"/>
      <c r="GT741" s="155"/>
      <c r="HZ741" s="2"/>
    </row>
    <row r="742" spans="17:292" ht="15" customHeight="1" x14ac:dyDescent="0.25">
      <c r="Q742" s="1"/>
      <c r="R742" s="1"/>
      <c r="T742" s="1"/>
      <c r="X742" s="2"/>
      <c r="AM742" s="2"/>
      <c r="EO742" s="2"/>
      <c r="GT742" s="155"/>
      <c r="HZ742" s="2"/>
      <c r="KD742" s="2"/>
      <c r="KE742" s="2"/>
    </row>
    <row r="743" spans="17:292" ht="15" customHeight="1" x14ac:dyDescent="0.25">
      <c r="Q743" s="1"/>
      <c r="R743" s="1"/>
      <c r="X743" s="2"/>
      <c r="AM743" s="2"/>
      <c r="EO743" s="2"/>
      <c r="GT743" s="155"/>
      <c r="HZ743" s="2"/>
    </row>
    <row r="744" spans="17:292" ht="15" customHeight="1" x14ac:dyDescent="0.25">
      <c r="Q744" s="1"/>
      <c r="R744" s="1"/>
      <c r="T744" s="1"/>
      <c r="X744" s="2"/>
      <c r="AM744" s="2"/>
      <c r="EO744" s="2"/>
      <c r="GT744" s="155"/>
      <c r="HZ744" s="2"/>
    </row>
    <row r="745" spans="17:292" ht="15" customHeight="1" x14ac:dyDescent="0.25">
      <c r="Q745" s="1"/>
      <c r="R745" s="1"/>
      <c r="T745" s="1"/>
      <c r="X745" s="2"/>
      <c r="AM745" s="2"/>
      <c r="EO745" s="2"/>
      <c r="GT745" s="155"/>
      <c r="HZ745" s="2"/>
      <c r="KD745" s="2"/>
    </row>
    <row r="746" spans="17:292" ht="15" customHeight="1" x14ac:dyDescent="0.25">
      <c r="Q746" s="1"/>
      <c r="R746" s="1"/>
      <c r="T746" s="1"/>
      <c r="X746" s="2"/>
      <c r="AM746" s="2"/>
      <c r="EO746" s="2"/>
      <c r="GT746" s="155"/>
      <c r="HZ746" s="2"/>
      <c r="KD746" s="2"/>
      <c r="KE746" s="2"/>
    </row>
    <row r="747" spans="17:292" ht="15" customHeight="1" x14ac:dyDescent="0.25">
      <c r="Q747" s="1"/>
      <c r="R747" s="1"/>
      <c r="X747" s="2"/>
      <c r="AM747" s="2"/>
      <c r="EO747" s="2"/>
      <c r="GT747" s="155"/>
      <c r="HZ747" s="2"/>
    </row>
    <row r="748" spans="17:292" ht="15" customHeight="1" x14ac:dyDescent="0.25">
      <c r="Q748" s="1"/>
      <c r="R748" s="1"/>
      <c r="T748" s="1"/>
      <c r="X748" s="2"/>
      <c r="AM748" s="2"/>
      <c r="EO748" s="2"/>
      <c r="GT748" s="155"/>
      <c r="HZ748" s="2"/>
      <c r="KD748" s="2"/>
    </row>
    <row r="749" spans="17:292" ht="15" customHeight="1" x14ac:dyDescent="0.25">
      <c r="Q749" s="1"/>
      <c r="R749" s="1"/>
      <c r="T749" s="1"/>
      <c r="X749" s="2"/>
      <c r="AM749" s="2"/>
      <c r="EO749" s="2"/>
      <c r="GT749" s="155"/>
      <c r="HZ749" s="2"/>
      <c r="KD749" s="2"/>
      <c r="KE749" s="2"/>
      <c r="KF749" s="2"/>
    </row>
    <row r="750" spans="17:292" ht="15" customHeight="1" x14ac:dyDescent="0.25">
      <c r="Q750" s="1"/>
      <c r="R750" s="1"/>
      <c r="T750" s="1"/>
      <c r="X750" s="2"/>
      <c r="AM750" s="2"/>
      <c r="EO750" s="2"/>
      <c r="GT750" s="155"/>
      <c r="HZ750" s="2"/>
      <c r="KD750" s="2"/>
    </row>
    <row r="751" spans="17:292" ht="15" customHeight="1" x14ac:dyDescent="0.25">
      <c r="Q751" s="1"/>
      <c r="R751" s="1"/>
      <c r="T751" s="1"/>
      <c r="X751" s="2"/>
      <c r="AM751" s="2"/>
      <c r="EO751" s="2"/>
      <c r="GT751" s="155"/>
      <c r="HZ751" s="2"/>
      <c r="KD751" s="2"/>
      <c r="KE751" s="2"/>
    </row>
    <row r="752" spans="17:292" ht="15" customHeight="1" x14ac:dyDescent="0.25">
      <c r="Q752" s="1"/>
      <c r="X752" s="2"/>
      <c r="AM752" s="2"/>
      <c r="EO752" s="2"/>
      <c r="GT752" s="155"/>
      <c r="HZ752" s="2"/>
      <c r="KD752" s="2"/>
    </row>
    <row r="753" spans="17:295" ht="15" customHeight="1" x14ac:dyDescent="0.25">
      <c r="Q753" s="1"/>
      <c r="R753" s="1"/>
      <c r="T753" s="1"/>
      <c r="X753" s="2"/>
      <c r="AM753" s="2"/>
      <c r="EO753" s="2"/>
      <c r="GT753" s="155"/>
      <c r="HZ753" s="2"/>
      <c r="KD753" s="2"/>
      <c r="KE753" s="2"/>
    </row>
    <row r="754" spans="17:295" ht="15" customHeight="1" x14ac:dyDescent="0.25">
      <c r="Q754" s="1"/>
      <c r="R754" s="1"/>
      <c r="T754" s="1"/>
      <c r="X754" s="2"/>
      <c r="AM754" s="2"/>
      <c r="EO754" s="2"/>
      <c r="GT754" s="155"/>
      <c r="HZ754" s="2"/>
      <c r="KD754" s="2"/>
      <c r="KE754" s="2"/>
      <c r="KF754" s="2"/>
    </row>
    <row r="755" spans="17:295" ht="15" customHeight="1" x14ac:dyDescent="0.25">
      <c r="Q755" s="1"/>
      <c r="R755" s="1"/>
      <c r="X755" s="2"/>
      <c r="AM755" s="2"/>
      <c r="EO755" s="2"/>
      <c r="GT755" s="155"/>
      <c r="HZ755" s="2"/>
    </row>
    <row r="756" spans="17:295" ht="15" customHeight="1" x14ac:dyDescent="0.25">
      <c r="Q756" s="1"/>
      <c r="R756" s="1"/>
      <c r="T756" s="1"/>
      <c r="X756" s="2"/>
      <c r="AM756" s="2"/>
      <c r="EO756" s="2"/>
      <c r="GT756" s="155"/>
      <c r="HZ756" s="2"/>
      <c r="KD756" s="2"/>
      <c r="KE756" s="2"/>
    </row>
    <row r="757" spans="17:295" ht="15" customHeight="1" x14ac:dyDescent="0.25">
      <c r="Q757" s="1"/>
      <c r="R757" s="1"/>
      <c r="T757" s="1"/>
      <c r="X757" s="2"/>
      <c r="AM757" s="2"/>
      <c r="EO757" s="2"/>
      <c r="GT757" s="155"/>
      <c r="HZ757" s="2"/>
      <c r="KD757" s="2"/>
    </row>
    <row r="758" spans="17:295" ht="15" customHeight="1" x14ac:dyDescent="0.25">
      <c r="Q758" s="1"/>
      <c r="R758" s="1"/>
      <c r="T758" s="1"/>
      <c r="X758" s="2"/>
      <c r="AM758" s="2"/>
      <c r="EO758" s="2"/>
      <c r="GT758" s="155"/>
      <c r="HZ758" s="2"/>
      <c r="KD758" s="2"/>
      <c r="KE758" s="2"/>
    </row>
    <row r="759" spans="17:295" ht="15" customHeight="1" x14ac:dyDescent="0.25">
      <c r="Q759" s="1"/>
      <c r="R759" s="1"/>
      <c r="T759" s="1"/>
      <c r="X759" s="2"/>
      <c r="AM759" s="2"/>
      <c r="EO759" s="2"/>
      <c r="GT759" s="155"/>
      <c r="HZ759" s="2"/>
      <c r="KD759" s="2"/>
      <c r="KE759" s="2"/>
      <c r="KF759" s="2"/>
      <c r="KG759" s="2"/>
      <c r="KH759" s="2"/>
    </row>
    <row r="760" spans="17:295" ht="15" customHeight="1" x14ac:dyDescent="0.25">
      <c r="Q760" s="1"/>
      <c r="R760" s="1"/>
      <c r="T760" s="1"/>
      <c r="X760" s="2"/>
      <c r="AM760" s="2"/>
      <c r="EO760" s="2"/>
      <c r="GT760" s="155"/>
      <c r="HZ760" s="2"/>
      <c r="KD760" s="2"/>
      <c r="KE760" s="2"/>
      <c r="KF760" s="2"/>
      <c r="KG760" s="2"/>
      <c r="KH760" s="2"/>
    </row>
    <row r="761" spans="17:295" ht="15" customHeight="1" x14ac:dyDescent="0.25">
      <c r="Q761" s="1"/>
      <c r="R761" s="1"/>
      <c r="T761" s="1"/>
      <c r="X761" s="2"/>
      <c r="AM761" s="2"/>
      <c r="EO761" s="2"/>
      <c r="GT761" s="155"/>
      <c r="HZ761" s="2"/>
      <c r="KD761" s="2"/>
      <c r="KE761" s="2"/>
    </row>
    <row r="762" spans="17:295" ht="15" customHeight="1" x14ac:dyDescent="0.25">
      <c r="Q762" s="1"/>
      <c r="R762" s="1"/>
      <c r="T762" s="1"/>
      <c r="X762" s="2"/>
      <c r="AM762" s="2"/>
      <c r="EO762" s="2"/>
      <c r="GT762" s="155"/>
      <c r="HZ762" s="2"/>
      <c r="KD762" s="2"/>
      <c r="KE762" s="2"/>
    </row>
    <row r="763" spans="17:295" ht="15" customHeight="1" x14ac:dyDescent="0.25">
      <c r="Q763" s="1"/>
      <c r="R763" s="1"/>
      <c r="T763" s="1"/>
      <c r="X763" s="2"/>
      <c r="AM763" s="2"/>
      <c r="EO763" s="2"/>
      <c r="GT763" s="155"/>
      <c r="HZ763" s="2"/>
      <c r="KD763" s="2"/>
    </row>
    <row r="764" spans="17:295" ht="15" customHeight="1" x14ac:dyDescent="0.25">
      <c r="Q764" s="1"/>
      <c r="R764" s="1"/>
      <c r="T764" s="1"/>
      <c r="X764" s="2"/>
      <c r="AM764" s="2"/>
      <c r="EO764" s="2"/>
      <c r="GT764" s="155"/>
      <c r="HZ764" s="2"/>
      <c r="KD764" s="2"/>
      <c r="KE764" s="2"/>
    </row>
    <row r="765" spans="17:295" ht="15" customHeight="1" x14ac:dyDescent="0.25">
      <c r="Q765" s="1"/>
      <c r="R765" s="1"/>
      <c r="T765" s="1"/>
      <c r="X765" s="2"/>
      <c r="AM765" s="2"/>
      <c r="EO765" s="2"/>
      <c r="GT765" s="155"/>
      <c r="HZ765" s="2"/>
      <c r="KD765" s="2"/>
    </row>
    <row r="766" spans="17:295" ht="15" customHeight="1" x14ac:dyDescent="0.25">
      <c r="Q766" s="1"/>
      <c r="R766" s="1"/>
      <c r="T766" s="1"/>
      <c r="X766" s="2"/>
      <c r="AM766" s="2"/>
      <c r="EO766" s="2"/>
      <c r="GT766" s="155"/>
      <c r="HZ766" s="2"/>
      <c r="KD766" s="2"/>
    </row>
    <row r="767" spans="17:295" ht="15" customHeight="1" x14ac:dyDescent="0.25">
      <c r="Q767" s="1"/>
      <c r="R767" s="1"/>
      <c r="T767" s="1"/>
      <c r="X767" s="2"/>
      <c r="AM767" s="2"/>
      <c r="EO767" s="2"/>
      <c r="GT767" s="155"/>
      <c r="HZ767" s="2"/>
      <c r="KD767" s="2"/>
    </row>
    <row r="768" spans="17:295" ht="15" customHeight="1" x14ac:dyDescent="0.25">
      <c r="Q768" s="1"/>
      <c r="R768" s="1"/>
      <c r="T768" s="1"/>
      <c r="X768" s="2"/>
      <c r="AM768" s="2"/>
      <c r="EO768" s="2"/>
      <c r="GT768" s="155"/>
      <c r="HZ768" s="2"/>
      <c r="KD768" s="2"/>
      <c r="KE768" s="2"/>
      <c r="KF768" s="2"/>
      <c r="KG768" s="2"/>
      <c r="KH768" s="2"/>
      <c r="KI768" s="2"/>
    </row>
    <row r="769" spans="17:292" ht="15" customHeight="1" x14ac:dyDescent="0.25">
      <c r="Q769" s="1"/>
      <c r="R769" s="1"/>
      <c r="T769" s="1"/>
      <c r="X769" s="2"/>
      <c r="AM769" s="2"/>
      <c r="EO769" s="2"/>
      <c r="GT769" s="155"/>
      <c r="HZ769" s="2"/>
      <c r="KD769" s="2"/>
      <c r="KE769" s="2"/>
    </row>
    <row r="770" spans="17:292" ht="15" customHeight="1" x14ac:dyDescent="0.25">
      <c r="Q770" s="1"/>
      <c r="R770" s="1"/>
      <c r="T770" s="1"/>
      <c r="X770" s="2"/>
      <c r="AM770" s="2"/>
      <c r="EO770" s="2"/>
      <c r="GT770" s="155"/>
      <c r="HZ770" s="2"/>
      <c r="KD770" s="2"/>
      <c r="KE770" s="2"/>
      <c r="KF770" s="2"/>
    </row>
    <row r="771" spans="17:292" ht="15" customHeight="1" x14ac:dyDescent="0.25">
      <c r="Q771" s="1"/>
      <c r="R771" s="1"/>
      <c r="T771" s="1"/>
      <c r="X771" s="2"/>
      <c r="AM771" s="2"/>
      <c r="EO771" s="2"/>
      <c r="GT771" s="155"/>
      <c r="HZ771" s="2"/>
      <c r="KD771" s="2"/>
    </row>
    <row r="772" spans="17:292" ht="15" customHeight="1" x14ac:dyDescent="0.25">
      <c r="Q772" s="1"/>
      <c r="R772" s="1"/>
      <c r="T772" s="1"/>
      <c r="X772" s="2"/>
      <c r="AM772" s="2"/>
      <c r="EO772" s="2"/>
      <c r="GT772" s="155"/>
      <c r="HZ772" s="2"/>
      <c r="KD772" s="2"/>
    </row>
    <row r="773" spans="17:292" ht="15" customHeight="1" x14ac:dyDescent="0.25">
      <c r="Q773" s="1"/>
      <c r="R773" s="1"/>
      <c r="T773" s="1"/>
      <c r="X773" s="2"/>
      <c r="AM773" s="2"/>
      <c r="EO773" s="2"/>
      <c r="GT773" s="155"/>
      <c r="HZ773" s="2"/>
      <c r="KD773" s="2"/>
    </row>
    <row r="774" spans="17:292" ht="15" customHeight="1" x14ac:dyDescent="0.25">
      <c r="Q774" s="1"/>
      <c r="R774" s="1"/>
      <c r="T774" s="1"/>
      <c r="X774" s="2"/>
      <c r="AM774" s="2"/>
      <c r="EO774" s="2"/>
      <c r="GT774" s="155"/>
      <c r="HZ774" s="2"/>
      <c r="KD774" s="2"/>
    </row>
    <row r="775" spans="17:292" ht="15" customHeight="1" x14ac:dyDescent="0.25">
      <c r="Q775" s="1"/>
      <c r="R775" s="1"/>
      <c r="T775" s="1"/>
      <c r="X775" s="2"/>
      <c r="AM775" s="2"/>
      <c r="EO775" s="2"/>
      <c r="GT775" s="155"/>
      <c r="HZ775" s="2"/>
      <c r="KD775" s="2"/>
    </row>
    <row r="776" spans="17:292" ht="15" customHeight="1" x14ac:dyDescent="0.25">
      <c r="Q776" s="1"/>
      <c r="R776" s="1"/>
      <c r="T776" s="1"/>
      <c r="X776" s="2"/>
      <c r="AM776" s="2"/>
      <c r="EO776" s="2"/>
      <c r="GT776" s="155"/>
      <c r="HZ776" s="2"/>
      <c r="KD776" s="2"/>
    </row>
    <row r="777" spans="17:292" ht="15" customHeight="1" x14ac:dyDescent="0.25">
      <c r="Q777" s="1"/>
      <c r="R777" s="1"/>
      <c r="T777" s="1"/>
      <c r="X777" s="2"/>
      <c r="AM777" s="2"/>
      <c r="EO777" s="2"/>
      <c r="GT777" s="155"/>
      <c r="HZ777" s="2"/>
      <c r="KD777" s="2"/>
      <c r="KE777" s="2"/>
      <c r="KF777" s="2"/>
    </row>
    <row r="778" spans="17:292" ht="15" customHeight="1" x14ac:dyDescent="0.25">
      <c r="Q778" s="1"/>
      <c r="R778" s="1"/>
      <c r="T778" s="1"/>
      <c r="X778" s="2"/>
      <c r="AM778" s="2"/>
      <c r="EO778" s="2"/>
      <c r="GT778" s="155"/>
      <c r="HZ778" s="2"/>
      <c r="KD778" s="2"/>
      <c r="KE778" s="2"/>
    </row>
    <row r="779" spans="17:292" ht="15" customHeight="1" x14ac:dyDescent="0.25">
      <c r="Q779" s="1"/>
      <c r="R779" s="1"/>
      <c r="T779" s="1"/>
      <c r="X779" s="2"/>
      <c r="AM779" s="2"/>
      <c r="EO779" s="2"/>
      <c r="GT779" s="155"/>
      <c r="HZ779" s="2"/>
      <c r="KD779" s="2"/>
      <c r="KE779" s="2"/>
      <c r="KF779" s="2"/>
    </row>
    <row r="780" spans="17:292" ht="15" customHeight="1" x14ac:dyDescent="0.25">
      <c r="Q780" s="1"/>
      <c r="R780" s="1"/>
      <c r="T780" s="1"/>
      <c r="X780" s="2"/>
      <c r="AM780" s="2"/>
      <c r="EO780" s="2"/>
      <c r="GT780" s="155"/>
      <c r="HZ780" s="2"/>
      <c r="KD780" s="2"/>
      <c r="KE780" s="2"/>
    </row>
    <row r="781" spans="17:292" ht="15" customHeight="1" x14ac:dyDescent="0.25">
      <c r="Q781" s="1"/>
      <c r="R781" s="1"/>
      <c r="T781" s="1"/>
      <c r="X781" s="2"/>
      <c r="AM781" s="2"/>
      <c r="EO781" s="2"/>
      <c r="GT781" s="155"/>
      <c r="HZ781" s="2"/>
      <c r="KD781" s="2"/>
    </row>
    <row r="782" spans="17:292" ht="15" customHeight="1" x14ac:dyDescent="0.25">
      <c r="Q782" s="1"/>
      <c r="R782" s="1"/>
      <c r="T782" s="1"/>
      <c r="X782" s="2"/>
      <c r="AM782" s="2"/>
      <c r="EO782" s="2"/>
      <c r="GT782" s="155"/>
      <c r="HZ782" s="2"/>
      <c r="KD782" s="2"/>
    </row>
    <row r="783" spans="17:292" ht="15" customHeight="1" x14ac:dyDescent="0.25">
      <c r="Q783" s="1"/>
      <c r="R783" s="1"/>
      <c r="T783" s="1"/>
      <c r="X783" s="2"/>
      <c r="AM783" s="2"/>
      <c r="EO783" s="2"/>
      <c r="GT783" s="155"/>
      <c r="HZ783" s="2"/>
      <c r="KD783" s="2"/>
      <c r="KE783" s="2"/>
      <c r="KF783" s="2"/>
    </row>
    <row r="784" spans="17:292" ht="15" customHeight="1" x14ac:dyDescent="0.25">
      <c r="Q784" s="1"/>
      <c r="R784" s="1"/>
      <c r="T784" s="1"/>
      <c r="X784" s="2"/>
      <c r="AM784" s="2"/>
      <c r="EO784" s="2"/>
      <c r="GT784" s="155"/>
      <c r="HZ784" s="2"/>
      <c r="KD784" s="2"/>
      <c r="KE784" s="2"/>
    </row>
    <row r="785" spans="17:294" ht="15" customHeight="1" x14ac:dyDescent="0.25">
      <c r="Q785" s="1"/>
      <c r="R785" s="1"/>
      <c r="T785" s="1"/>
      <c r="X785" s="2"/>
      <c r="AM785" s="2"/>
      <c r="EO785" s="2"/>
      <c r="GT785" s="155"/>
      <c r="HZ785" s="2"/>
      <c r="KD785" s="2"/>
      <c r="KE785" s="2"/>
      <c r="KF785" s="2"/>
      <c r="KG785" s="2"/>
    </row>
    <row r="786" spans="17:294" ht="15" customHeight="1" x14ac:dyDescent="0.25">
      <c r="Q786" s="1"/>
      <c r="R786" s="1"/>
      <c r="T786" s="1"/>
      <c r="X786" s="2"/>
      <c r="AM786" s="2"/>
      <c r="EO786" s="2"/>
      <c r="GT786" s="155"/>
      <c r="HZ786" s="2"/>
      <c r="KD786" s="2"/>
      <c r="KE786" s="2"/>
      <c r="KF786" s="2"/>
      <c r="KG786" s="2"/>
      <c r="KH786" s="2"/>
    </row>
    <row r="787" spans="17:294" ht="15" customHeight="1" x14ac:dyDescent="0.25">
      <c r="Q787" s="1"/>
      <c r="R787" s="1"/>
      <c r="T787" s="1"/>
      <c r="X787" s="2"/>
      <c r="AM787" s="2"/>
      <c r="EO787" s="2"/>
      <c r="GT787" s="155"/>
      <c r="HZ787" s="2"/>
      <c r="KD787" s="2"/>
      <c r="KE787" s="2"/>
    </row>
    <row r="788" spans="17:294" ht="15" customHeight="1" x14ac:dyDescent="0.25">
      <c r="Q788" s="1"/>
      <c r="R788" s="1"/>
      <c r="T788" s="1"/>
      <c r="X788" s="2"/>
      <c r="AM788" s="2"/>
      <c r="EO788" s="2"/>
      <c r="GT788" s="155"/>
      <c r="HZ788" s="2"/>
      <c r="KD788" s="2"/>
      <c r="KE788" s="2"/>
      <c r="KF788" s="2"/>
    </row>
    <row r="789" spans="17:294" ht="15" customHeight="1" x14ac:dyDescent="0.25">
      <c r="Q789" s="1"/>
      <c r="R789" s="1"/>
      <c r="T789" s="1"/>
      <c r="X789" s="2"/>
      <c r="AM789" s="2"/>
      <c r="EO789" s="2"/>
      <c r="GT789" s="155"/>
      <c r="HZ789" s="2"/>
      <c r="KD789" s="2"/>
    </row>
    <row r="790" spans="17:294" ht="15" customHeight="1" x14ac:dyDescent="0.25">
      <c r="Q790" s="1"/>
      <c r="R790" s="1"/>
      <c r="T790" s="1"/>
      <c r="X790" s="2"/>
      <c r="AM790" s="2"/>
      <c r="EO790" s="2"/>
      <c r="GT790" s="155"/>
      <c r="HZ790" s="2"/>
    </row>
    <row r="791" spans="17:294" ht="15" customHeight="1" x14ac:dyDescent="0.25">
      <c r="Q791" s="1"/>
      <c r="R791" s="1"/>
      <c r="T791" s="1"/>
      <c r="X791" s="2"/>
      <c r="AM791" s="2"/>
      <c r="EO791" s="2"/>
      <c r="GT791" s="155"/>
      <c r="HZ791" s="2"/>
      <c r="KD791" s="2"/>
      <c r="KE791" s="2"/>
    </row>
    <row r="792" spans="17:294" ht="15" customHeight="1" x14ac:dyDescent="0.25">
      <c r="Q792" s="1"/>
      <c r="R792" s="1"/>
      <c r="T792" s="1"/>
      <c r="X792" s="2"/>
      <c r="AM792" s="2"/>
      <c r="EO792" s="2"/>
      <c r="GT792" s="155"/>
      <c r="HZ792" s="2"/>
      <c r="KD792" s="2"/>
      <c r="KE792" s="2"/>
      <c r="KF792" s="2"/>
    </row>
    <row r="793" spans="17:294" ht="15" customHeight="1" x14ac:dyDescent="0.25">
      <c r="Q793" s="1"/>
      <c r="R793" s="1"/>
      <c r="T793" s="1"/>
      <c r="X793" s="2"/>
      <c r="AM793" s="2"/>
      <c r="EO793" s="2"/>
      <c r="GT793" s="155"/>
      <c r="HZ793" s="2"/>
    </row>
    <row r="794" spans="17:294" ht="15" customHeight="1" x14ac:dyDescent="0.25">
      <c r="Q794" s="1"/>
      <c r="R794" s="1"/>
      <c r="T794" s="1"/>
      <c r="X794" s="2"/>
      <c r="AM794" s="2"/>
      <c r="EO794" s="2"/>
      <c r="GT794" s="155"/>
      <c r="HZ794" s="2"/>
      <c r="KD794" s="2"/>
      <c r="KE794" s="2"/>
      <c r="KF794" s="2"/>
    </row>
    <row r="795" spans="17:294" ht="15" customHeight="1" x14ac:dyDescent="0.25">
      <c r="Q795" s="1"/>
      <c r="R795" s="1"/>
      <c r="T795" s="1"/>
      <c r="X795" s="2"/>
      <c r="AM795" s="2"/>
      <c r="EO795" s="2"/>
      <c r="GT795" s="155"/>
      <c r="HZ795" s="2"/>
    </row>
    <row r="796" spans="17:294" ht="15" customHeight="1" x14ac:dyDescent="0.25">
      <c r="Q796" s="1"/>
      <c r="R796" s="1"/>
      <c r="T796" s="1"/>
      <c r="X796" s="2"/>
      <c r="AM796" s="2"/>
      <c r="EO796" s="2"/>
      <c r="GT796" s="155"/>
      <c r="HZ796" s="2"/>
      <c r="KD796" s="2"/>
    </row>
    <row r="797" spans="17:294" ht="15" customHeight="1" x14ac:dyDescent="0.25">
      <c r="Q797" s="1"/>
      <c r="R797" s="1"/>
      <c r="T797" s="1"/>
      <c r="X797" s="2"/>
      <c r="AM797" s="2"/>
      <c r="EO797" s="2"/>
      <c r="GT797" s="155"/>
      <c r="HZ797" s="2"/>
      <c r="KD797" s="2"/>
    </row>
    <row r="798" spans="17:294" ht="15" customHeight="1" x14ac:dyDescent="0.25">
      <c r="Q798" s="1"/>
      <c r="X798" s="2"/>
      <c r="AM798" s="2"/>
      <c r="EO798" s="2"/>
      <c r="GT798" s="155"/>
      <c r="HZ798" s="2"/>
      <c r="KD798" s="2"/>
      <c r="KE798" s="2"/>
    </row>
    <row r="799" spans="17:294" ht="15" customHeight="1" x14ac:dyDescent="0.25">
      <c r="Q799" s="1"/>
      <c r="R799" s="1"/>
      <c r="T799" s="1"/>
      <c r="X799" s="2"/>
      <c r="AM799" s="2"/>
      <c r="EO799" s="2"/>
      <c r="GT799" s="155"/>
      <c r="HZ799" s="2"/>
      <c r="KD799" s="2"/>
    </row>
    <row r="800" spans="17:294" ht="15" customHeight="1" x14ac:dyDescent="0.25">
      <c r="Q800" s="1"/>
      <c r="R800" s="1"/>
      <c r="T800" s="1"/>
      <c r="X800" s="2"/>
      <c r="AM800" s="2"/>
      <c r="EO800" s="2"/>
      <c r="GT800" s="155"/>
      <c r="HZ800" s="2"/>
      <c r="KD800" s="2"/>
      <c r="KE800" s="2"/>
    </row>
    <row r="801" spans="17:292" ht="15" customHeight="1" x14ac:dyDescent="0.25">
      <c r="Q801" s="1"/>
      <c r="R801" s="1"/>
      <c r="T801" s="1"/>
      <c r="X801" s="2"/>
      <c r="AM801" s="2"/>
      <c r="EO801" s="2"/>
      <c r="GT801" s="155"/>
      <c r="HZ801" s="2"/>
      <c r="KD801" s="2"/>
    </row>
    <row r="802" spans="17:292" ht="15" customHeight="1" x14ac:dyDescent="0.25">
      <c r="Q802" s="1"/>
      <c r="R802" s="1"/>
      <c r="T802" s="1"/>
      <c r="X802" s="2"/>
      <c r="AM802" s="2"/>
      <c r="EO802" s="2"/>
      <c r="GT802" s="155"/>
      <c r="HZ802" s="2"/>
      <c r="KD802" s="2"/>
    </row>
    <row r="803" spans="17:292" ht="15" customHeight="1" x14ac:dyDescent="0.25">
      <c r="Q803" s="1"/>
      <c r="R803" s="1"/>
      <c r="T803" s="1"/>
      <c r="X803" s="2"/>
      <c r="AM803" s="2"/>
      <c r="EO803" s="2"/>
      <c r="GT803" s="155"/>
      <c r="HZ803" s="2"/>
      <c r="KD803" s="2"/>
    </row>
    <row r="804" spans="17:292" ht="15" customHeight="1" x14ac:dyDescent="0.25">
      <c r="Q804" s="1"/>
      <c r="R804" s="1"/>
      <c r="T804" s="1"/>
      <c r="X804" s="2"/>
      <c r="AM804" s="2"/>
      <c r="EO804" s="2"/>
      <c r="GT804" s="155"/>
      <c r="HZ804" s="2"/>
      <c r="KD804" s="2"/>
    </row>
    <row r="805" spans="17:292" ht="15" customHeight="1" x14ac:dyDescent="0.25">
      <c r="Q805" s="1"/>
      <c r="X805" s="2"/>
      <c r="AM805" s="2"/>
      <c r="EO805" s="2"/>
      <c r="GT805" s="155"/>
      <c r="HZ805" s="2"/>
    </row>
    <row r="806" spans="17:292" ht="15" customHeight="1" x14ac:dyDescent="0.25">
      <c r="Q806" s="1"/>
      <c r="R806" s="1"/>
      <c r="T806" s="1"/>
      <c r="X806" s="2"/>
      <c r="AM806" s="2"/>
      <c r="EO806" s="2"/>
      <c r="GT806" s="155"/>
      <c r="HZ806" s="2"/>
      <c r="KD806" s="2"/>
      <c r="KE806" s="2"/>
    </row>
    <row r="807" spans="17:292" ht="15" customHeight="1" x14ac:dyDescent="0.25">
      <c r="Q807" s="1"/>
      <c r="R807" s="1"/>
      <c r="T807" s="1"/>
      <c r="X807" s="2"/>
      <c r="AM807" s="2"/>
      <c r="EO807" s="2"/>
      <c r="GT807" s="155"/>
      <c r="HZ807" s="2"/>
      <c r="KD807" s="2"/>
    </row>
    <row r="808" spans="17:292" ht="15" customHeight="1" x14ac:dyDescent="0.25">
      <c r="Q808" s="1"/>
      <c r="R808" s="1"/>
      <c r="T808" s="1"/>
      <c r="X808" s="2"/>
      <c r="AM808" s="2"/>
      <c r="EO808" s="2"/>
      <c r="GT808" s="155"/>
      <c r="HZ808" s="2"/>
      <c r="KD808" s="2"/>
    </row>
    <row r="809" spans="17:292" ht="15" customHeight="1" x14ac:dyDescent="0.25">
      <c r="Q809" s="1"/>
      <c r="R809" s="1"/>
      <c r="T809" s="1"/>
      <c r="X809" s="2"/>
      <c r="AM809" s="2"/>
      <c r="EO809" s="2"/>
      <c r="GT809" s="155"/>
      <c r="HZ809" s="2"/>
      <c r="KD809" s="2"/>
    </row>
    <row r="810" spans="17:292" ht="15" customHeight="1" x14ac:dyDescent="0.25">
      <c r="Q810" s="1"/>
      <c r="R810" s="1"/>
      <c r="T810" s="1"/>
      <c r="X810" s="2"/>
      <c r="AM810" s="2"/>
      <c r="EO810" s="2"/>
      <c r="GT810" s="155"/>
      <c r="HZ810" s="2"/>
      <c r="KD810" s="2"/>
    </row>
    <row r="811" spans="17:292" ht="15" customHeight="1" x14ac:dyDescent="0.25">
      <c r="Q811" s="1"/>
      <c r="R811" s="1"/>
      <c r="T811" s="1"/>
      <c r="X811" s="2"/>
      <c r="AM811" s="2"/>
      <c r="EO811" s="2"/>
      <c r="GT811" s="155"/>
      <c r="HZ811" s="2"/>
      <c r="KD811" s="2"/>
      <c r="KE811" s="2"/>
    </row>
    <row r="812" spans="17:292" ht="15" customHeight="1" x14ac:dyDescent="0.25">
      <c r="Q812" s="1"/>
      <c r="R812" s="1"/>
      <c r="T812" s="1"/>
      <c r="X812" s="2"/>
      <c r="AM812" s="2"/>
      <c r="EO812" s="2"/>
      <c r="GT812" s="155"/>
      <c r="HZ812" s="2"/>
      <c r="KD812" s="2"/>
    </row>
    <row r="813" spans="17:292" ht="15" customHeight="1" x14ac:dyDescent="0.25">
      <c r="Q813" s="1"/>
      <c r="R813" s="1"/>
      <c r="T813" s="1"/>
      <c r="X813" s="2"/>
      <c r="AM813" s="2"/>
      <c r="EO813" s="2"/>
      <c r="GT813" s="155"/>
      <c r="HZ813" s="2"/>
      <c r="KD813" s="2"/>
    </row>
    <row r="814" spans="17:292" ht="15" customHeight="1" x14ac:dyDescent="0.25">
      <c r="Q814" s="1"/>
      <c r="R814" s="1"/>
      <c r="T814" s="1"/>
      <c r="X814" s="2"/>
      <c r="AM814" s="2"/>
      <c r="EO814" s="2"/>
      <c r="GT814" s="155"/>
      <c r="HZ814" s="2"/>
      <c r="KD814" s="2"/>
    </row>
    <row r="815" spans="17:292" ht="15" customHeight="1" x14ac:dyDescent="0.25">
      <c r="Q815" s="1"/>
      <c r="R815" s="1"/>
      <c r="T815" s="1"/>
      <c r="X815" s="2"/>
      <c r="AM815" s="2"/>
      <c r="EO815" s="2"/>
      <c r="GT815" s="155"/>
      <c r="HZ815" s="2"/>
      <c r="KD815" s="2"/>
      <c r="KE815" s="2"/>
      <c r="KF815" s="2"/>
    </row>
    <row r="816" spans="17:292" ht="15" customHeight="1" x14ac:dyDescent="0.25">
      <c r="Q816" s="1"/>
      <c r="R816" s="1"/>
      <c r="T816" s="1"/>
      <c r="X816" s="2"/>
      <c r="AM816" s="2"/>
      <c r="EO816" s="2"/>
      <c r="GT816" s="155"/>
      <c r="HZ816" s="2"/>
      <c r="KD816" s="2"/>
      <c r="KE816" s="2"/>
      <c r="KF816" s="2"/>
    </row>
    <row r="817" spans="17:293" ht="15" customHeight="1" x14ac:dyDescent="0.25">
      <c r="Q817" s="1"/>
      <c r="R817" s="1"/>
      <c r="T817" s="1"/>
      <c r="X817" s="2"/>
      <c r="AM817" s="2"/>
      <c r="EO817" s="2"/>
      <c r="GT817" s="155"/>
      <c r="HZ817" s="2"/>
      <c r="KD817" s="2"/>
      <c r="KE817" s="2"/>
    </row>
    <row r="818" spans="17:293" ht="15" customHeight="1" x14ac:dyDescent="0.25">
      <c r="Q818" s="1"/>
      <c r="R818" s="1"/>
      <c r="T818" s="1"/>
      <c r="X818" s="2"/>
      <c r="AM818" s="2"/>
      <c r="EO818" s="2"/>
      <c r="GT818" s="155"/>
      <c r="HZ818" s="2"/>
      <c r="KD818" s="2"/>
    </row>
    <row r="819" spans="17:293" ht="15" customHeight="1" x14ac:dyDescent="0.25">
      <c r="Q819" s="1"/>
      <c r="R819" s="1"/>
      <c r="T819" s="1"/>
      <c r="X819" s="2"/>
      <c r="AM819" s="2"/>
      <c r="EO819" s="2"/>
      <c r="GT819" s="155"/>
      <c r="HZ819" s="2"/>
      <c r="KD819" s="2"/>
      <c r="KE819" s="2"/>
    </row>
    <row r="820" spans="17:293" ht="15" customHeight="1" x14ac:dyDescent="0.25">
      <c r="Q820" s="1"/>
      <c r="R820" s="1"/>
      <c r="T820" s="1"/>
      <c r="X820" s="2"/>
      <c r="AM820" s="2"/>
      <c r="EO820" s="2"/>
      <c r="GT820" s="155"/>
      <c r="HZ820" s="2"/>
      <c r="KD820" s="2"/>
      <c r="KE820" s="2"/>
    </row>
    <row r="821" spans="17:293" ht="15" customHeight="1" x14ac:dyDescent="0.25">
      <c r="Q821" s="1"/>
      <c r="R821" s="1"/>
      <c r="T821" s="1"/>
      <c r="X821" s="2"/>
      <c r="AM821" s="2"/>
      <c r="EO821" s="2"/>
      <c r="GT821" s="155"/>
      <c r="HZ821" s="2"/>
      <c r="KD821" s="2"/>
      <c r="KE821" s="2"/>
    </row>
    <row r="822" spans="17:293" ht="15" customHeight="1" x14ac:dyDescent="0.25">
      <c r="Q822" s="1"/>
      <c r="R822" s="1"/>
      <c r="T822" s="1"/>
      <c r="X822" s="2"/>
      <c r="AM822" s="2"/>
      <c r="EO822" s="2"/>
      <c r="GT822" s="155"/>
      <c r="HZ822" s="2"/>
    </row>
    <row r="823" spans="17:293" ht="15" customHeight="1" x14ac:dyDescent="0.25">
      <c r="Q823" s="1"/>
      <c r="R823" s="1"/>
      <c r="T823" s="1"/>
      <c r="X823" s="2"/>
      <c r="AM823" s="2"/>
      <c r="EO823" s="2"/>
      <c r="GT823" s="155"/>
      <c r="HZ823" s="2"/>
      <c r="KD823" s="2"/>
    </row>
    <row r="824" spans="17:293" ht="15" customHeight="1" x14ac:dyDescent="0.25">
      <c r="Q824" s="1"/>
      <c r="R824" s="1"/>
      <c r="T824" s="1"/>
      <c r="X824" s="2"/>
      <c r="AM824" s="2"/>
      <c r="EO824" s="2"/>
      <c r="GT824" s="155"/>
      <c r="HZ824" s="2"/>
      <c r="KD824" s="2"/>
      <c r="KE824" s="2"/>
    </row>
    <row r="825" spans="17:293" ht="15" customHeight="1" x14ac:dyDescent="0.25">
      <c r="Q825" s="1"/>
      <c r="R825" s="1"/>
      <c r="X825" s="2"/>
      <c r="AM825" s="2"/>
      <c r="EO825" s="2"/>
      <c r="GT825" s="155"/>
      <c r="HZ825" s="2"/>
    </row>
    <row r="826" spans="17:293" ht="15" customHeight="1" x14ac:dyDescent="0.25">
      <c r="Q826" s="1"/>
      <c r="R826" s="1"/>
      <c r="X826" s="2"/>
      <c r="AM826" s="2"/>
      <c r="EO826" s="2"/>
      <c r="GT826" s="155"/>
      <c r="HZ826" s="2"/>
    </row>
    <row r="827" spans="17:293" ht="15" customHeight="1" x14ac:dyDescent="0.25">
      <c r="Q827" s="1"/>
      <c r="R827" s="1"/>
      <c r="T827" s="1"/>
      <c r="X827" s="2"/>
      <c r="AM827" s="2"/>
      <c r="EO827" s="2"/>
      <c r="GT827" s="155"/>
      <c r="HZ827" s="2"/>
      <c r="KD827" s="2"/>
      <c r="KE827" s="2"/>
    </row>
    <row r="828" spans="17:293" ht="15" customHeight="1" x14ac:dyDescent="0.25">
      <c r="Q828" s="1"/>
      <c r="R828" s="1"/>
      <c r="T828" s="1"/>
      <c r="X828" s="2"/>
      <c r="AM828" s="2"/>
      <c r="EO828" s="2"/>
      <c r="GT828" s="155"/>
      <c r="HZ828" s="2"/>
      <c r="KD828" s="2"/>
    </row>
    <row r="829" spans="17:293" ht="15" customHeight="1" x14ac:dyDescent="0.25">
      <c r="Q829" s="1"/>
      <c r="R829" s="1"/>
      <c r="X829" s="2"/>
      <c r="AM829" s="2"/>
      <c r="EO829" s="2"/>
      <c r="GT829" s="155"/>
      <c r="HZ829" s="2"/>
      <c r="KD829" s="2"/>
      <c r="KE829" s="2"/>
      <c r="KF829" s="2"/>
      <c r="KG829" s="2"/>
    </row>
    <row r="830" spans="17:293" ht="15" customHeight="1" x14ac:dyDescent="0.25">
      <c r="Q830" s="1"/>
      <c r="R830" s="1"/>
      <c r="T830" s="1"/>
      <c r="X830" s="2"/>
      <c r="AM830" s="2"/>
      <c r="EO830" s="2"/>
      <c r="GT830" s="155"/>
      <c r="HZ830" s="2"/>
      <c r="KD830" s="2"/>
    </row>
    <row r="831" spans="17:293" ht="15" customHeight="1" x14ac:dyDescent="0.25">
      <c r="Q831" s="1"/>
      <c r="R831" s="1"/>
      <c r="T831" s="1"/>
      <c r="X831" s="2"/>
      <c r="AM831" s="2"/>
      <c r="EO831" s="2"/>
      <c r="GT831" s="155"/>
      <c r="HZ831" s="2"/>
      <c r="KD831" s="2"/>
    </row>
    <row r="832" spans="17:293" ht="15" customHeight="1" x14ac:dyDescent="0.25">
      <c r="Q832" s="1"/>
      <c r="R832" s="1"/>
      <c r="T832" s="1"/>
      <c r="X832" s="2"/>
      <c r="AM832" s="2"/>
      <c r="EO832" s="2"/>
      <c r="GT832" s="155"/>
      <c r="HZ832" s="2"/>
      <c r="KD832" s="2"/>
    </row>
    <row r="833" spans="17:291" ht="15" customHeight="1" x14ac:dyDescent="0.25">
      <c r="Q833" s="1"/>
      <c r="R833" s="1"/>
      <c r="T833" s="1"/>
      <c r="X833" s="2"/>
      <c r="AM833" s="2"/>
      <c r="EO833" s="2"/>
      <c r="GT833" s="155"/>
      <c r="HZ833" s="2"/>
      <c r="KD833" s="2"/>
    </row>
    <row r="834" spans="17:291" ht="15" customHeight="1" x14ac:dyDescent="0.25">
      <c r="Q834" s="1"/>
      <c r="R834" s="1"/>
      <c r="X834" s="2"/>
      <c r="AM834" s="2"/>
      <c r="EO834" s="2"/>
      <c r="GT834" s="155"/>
      <c r="HZ834" s="2"/>
    </row>
    <row r="835" spans="17:291" ht="15" customHeight="1" x14ac:dyDescent="0.25">
      <c r="Q835" s="1"/>
      <c r="R835" s="1"/>
      <c r="T835" s="1"/>
      <c r="X835" s="2"/>
      <c r="AM835" s="2"/>
      <c r="EO835" s="2"/>
      <c r="GT835" s="155"/>
      <c r="HZ835" s="2"/>
      <c r="KD835" s="2"/>
      <c r="KE835" s="2"/>
    </row>
    <row r="836" spans="17:291" ht="15" customHeight="1" x14ac:dyDescent="0.25">
      <c r="Q836" s="1"/>
      <c r="R836" s="1"/>
      <c r="T836" s="1"/>
      <c r="X836" s="2"/>
      <c r="AM836" s="2"/>
      <c r="EO836" s="2"/>
      <c r="GT836" s="155"/>
      <c r="HZ836" s="2"/>
      <c r="KD836" s="2"/>
    </row>
    <row r="837" spans="17:291" ht="15" customHeight="1" x14ac:dyDescent="0.25">
      <c r="Q837" s="1"/>
      <c r="R837" s="1"/>
      <c r="T837" s="1"/>
      <c r="X837" s="2"/>
      <c r="AM837" s="2"/>
      <c r="EO837" s="2"/>
      <c r="GT837" s="155"/>
      <c r="HZ837" s="2"/>
      <c r="KD837" s="2"/>
    </row>
    <row r="838" spans="17:291" ht="15" customHeight="1" x14ac:dyDescent="0.25">
      <c r="Q838" s="1"/>
      <c r="R838" s="1"/>
      <c r="T838" s="1"/>
      <c r="X838" s="2"/>
      <c r="AM838" s="2"/>
      <c r="EO838" s="2"/>
      <c r="GT838" s="155"/>
      <c r="HZ838" s="2"/>
      <c r="KD838" s="2"/>
      <c r="KE838" s="2"/>
    </row>
    <row r="839" spans="17:291" ht="15" customHeight="1" x14ac:dyDescent="0.25">
      <c r="Q839" s="1"/>
      <c r="R839" s="1"/>
      <c r="X839" s="2"/>
      <c r="AM839" s="2"/>
      <c r="EO839" s="2"/>
      <c r="GT839" s="155"/>
      <c r="HZ839" s="2"/>
      <c r="KD839" s="2"/>
    </row>
    <row r="840" spans="17:291" ht="15" customHeight="1" x14ac:dyDescent="0.25">
      <c r="Q840" s="1"/>
      <c r="R840" s="1"/>
      <c r="T840" s="1"/>
      <c r="X840" s="2"/>
      <c r="AM840" s="2"/>
      <c r="EO840" s="2"/>
      <c r="GT840" s="155"/>
      <c r="HZ840" s="2"/>
      <c r="KD840" s="2"/>
      <c r="KE840" s="2"/>
    </row>
    <row r="841" spans="17:291" ht="15" customHeight="1" x14ac:dyDescent="0.25">
      <c r="Q841" s="1"/>
      <c r="R841" s="1"/>
      <c r="T841" s="1"/>
      <c r="X841" s="2"/>
      <c r="AM841" s="2"/>
      <c r="EO841" s="2"/>
      <c r="GT841" s="155"/>
      <c r="HZ841" s="2"/>
      <c r="KD841" s="2"/>
    </row>
    <row r="842" spans="17:291" ht="15" customHeight="1" x14ac:dyDescent="0.25">
      <c r="Q842" s="1"/>
      <c r="R842" s="1"/>
      <c r="T842" s="1"/>
      <c r="X842" s="2"/>
      <c r="AM842" s="2"/>
      <c r="EO842" s="2"/>
      <c r="GT842" s="155"/>
      <c r="HZ842" s="2"/>
      <c r="KD842" s="2"/>
    </row>
    <row r="843" spans="17:291" ht="15" customHeight="1" x14ac:dyDescent="0.25">
      <c r="Q843" s="1"/>
      <c r="R843" s="1"/>
      <c r="T843" s="1"/>
      <c r="X843" s="2"/>
      <c r="AM843" s="2"/>
      <c r="EO843" s="2"/>
      <c r="GT843" s="155"/>
      <c r="HZ843" s="2"/>
      <c r="KD843" s="2"/>
    </row>
    <row r="844" spans="17:291" ht="15" customHeight="1" x14ac:dyDescent="0.25">
      <c r="Q844" s="1"/>
      <c r="R844" s="1"/>
      <c r="T844" s="1"/>
      <c r="X844" s="2"/>
      <c r="AM844" s="2"/>
      <c r="EO844" s="2"/>
      <c r="GT844" s="155"/>
      <c r="HZ844" s="2"/>
      <c r="KD844" s="2"/>
      <c r="KE844" s="2"/>
    </row>
    <row r="845" spans="17:291" ht="15" customHeight="1" x14ac:dyDescent="0.25">
      <c r="Q845" s="1"/>
      <c r="R845" s="1"/>
      <c r="T845" s="1"/>
      <c r="X845" s="2"/>
      <c r="AM845" s="2"/>
      <c r="EO845" s="2"/>
      <c r="GT845" s="155"/>
      <c r="HZ845" s="2"/>
      <c r="KD845" s="2"/>
    </row>
    <row r="846" spans="17:291" ht="15" customHeight="1" x14ac:dyDescent="0.25">
      <c r="Q846" s="1"/>
      <c r="R846" s="1"/>
      <c r="T846" s="1"/>
      <c r="X846" s="2"/>
      <c r="AM846" s="2"/>
      <c r="EO846" s="2"/>
      <c r="GT846" s="155"/>
      <c r="HZ846" s="2"/>
      <c r="KD846" s="2"/>
      <c r="KE846" s="2"/>
    </row>
    <row r="847" spans="17:291" ht="15" customHeight="1" x14ac:dyDescent="0.25">
      <c r="Q847" s="1"/>
      <c r="R847" s="1"/>
      <c r="T847" s="1"/>
      <c r="X847" s="2"/>
      <c r="AM847" s="2"/>
      <c r="EO847" s="2"/>
      <c r="GT847" s="155"/>
      <c r="HZ847" s="2"/>
      <c r="KD847" s="2"/>
      <c r="KE847" s="2"/>
    </row>
    <row r="848" spans="17:291" ht="15" customHeight="1" x14ac:dyDescent="0.25">
      <c r="Q848" s="1"/>
      <c r="R848" s="1"/>
      <c r="T848" s="1"/>
      <c r="X848" s="2"/>
      <c r="AM848" s="2"/>
      <c r="EO848" s="2"/>
      <c r="GT848" s="155"/>
      <c r="HZ848" s="2"/>
      <c r="KD848" s="2"/>
    </row>
    <row r="849" spans="17:295" ht="15" customHeight="1" x14ac:dyDescent="0.25">
      <c r="Q849" s="1"/>
      <c r="R849" s="1"/>
      <c r="T849" s="1"/>
      <c r="X849" s="2"/>
      <c r="AM849" s="2"/>
      <c r="EO849" s="2"/>
      <c r="GT849" s="155"/>
      <c r="HZ849" s="2"/>
      <c r="KD849" s="2"/>
    </row>
    <row r="850" spans="17:295" ht="15" customHeight="1" x14ac:dyDescent="0.25">
      <c r="Q850" s="1"/>
      <c r="R850" s="1"/>
      <c r="T850" s="1"/>
      <c r="X850" s="2"/>
      <c r="AM850" s="2"/>
      <c r="EO850" s="2"/>
      <c r="GT850" s="155"/>
      <c r="HZ850" s="2"/>
      <c r="KD850" s="2"/>
    </row>
    <row r="851" spans="17:295" ht="15" customHeight="1" x14ac:dyDescent="0.25">
      <c r="Q851" s="1"/>
      <c r="R851" s="1"/>
      <c r="T851" s="1"/>
      <c r="X851" s="2"/>
      <c r="AM851" s="2"/>
      <c r="EO851" s="2"/>
      <c r="GT851" s="155"/>
      <c r="HZ851" s="2"/>
      <c r="KD851" s="2"/>
      <c r="KE851" s="2"/>
    </row>
    <row r="852" spans="17:295" ht="15" customHeight="1" x14ac:dyDescent="0.25">
      <c r="Q852" s="1"/>
      <c r="R852" s="1"/>
      <c r="T852" s="1"/>
      <c r="X852" s="2"/>
      <c r="AM852" s="2"/>
      <c r="EO852" s="2"/>
      <c r="GT852" s="155"/>
      <c r="HZ852" s="2"/>
      <c r="KD852" s="2"/>
    </row>
    <row r="853" spans="17:295" ht="15" customHeight="1" x14ac:dyDescent="0.25">
      <c r="Q853" s="1"/>
      <c r="R853" s="1"/>
      <c r="T853" s="1"/>
      <c r="X853" s="2"/>
      <c r="AM853" s="2"/>
      <c r="EO853" s="2"/>
      <c r="GT853" s="155"/>
      <c r="HZ853" s="2"/>
      <c r="KD853" s="2"/>
      <c r="KE853" s="2"/>
    </row>
    <row r="854" spans="17:295" ht="15" customHeight="1" x14ac:dyDescent="0.25">
      <c r="Q854" s="1"/>
      <c r="R854" s="1"/>
      <c r="T854" s="1"/>
      <c r="X854" s="2"/>
      <c r="AM854" s="2"/>
      <c r="EO854" s="2"/>
      <c r="GT854" s="155"/>
      <c r="HZ854" s="2"/>
      <c r="KD854" s="2"/>
    </row>
    <row r="855" spans="17:295" ht="15" customHeight="1" x14ac:dyDescent="0.25">
      <c r="Q855" s="1"/>
      <c r="R855" s="1"/>
      <c r="T855" s="1"/>
      <c r="X855" s="2"/>
      <c r="AM855" s="2"/>
      <c r="EO855" s="2"/>
      <c r="GT855" s="155"/>
      <c r="HZ855" s="2"/>
      <c r="KD855" s="2"/>
    </row>
    <row r="856" spans="17:295" ht="15" customHeight="1" x14ac:dyDescent="0.25">
      <c r="Q856" s="1"/>
      <c r="R856" s="1"/>
      <c r="T856" s="1"/>
      <c r="X856" s="2"/>
      <c r="AM856" s="2"/>
      <c r="EO856" s="2"/>
      <c r="GT856" s="155"/>
      <c r="HZ856" s="2"/>
      <c r="KD856" s="2"/>
    </row>
    <row r="857" spans="17:295" ht="15" customHeight="1" x14ac:dyDescent="0.25">
      <c r="Q857" s="1"/>
      <c r="R857" s="1"/>
      <c r="T857" s="1"/>
      <c r="X857" s="2"/>
      <c r="AM857" s="2"/>
      <c r="EO857" s="2"/>
      <c r="GT857" s="155"/>
      <c r="HZ857" s="2"/>
      <c r="KD857" s="2"/>
    </row>
    <row r="858" spans="17:295" ht="15" customHeight="1" x14ac:dyDescent="0.25">
      <c r="Q858" s="1"/>
      <c r="R858" s="1"/>
      <c r="T858" s="1"/>
      <c r="X858" s="2"/>
      <c r="AM858" s="2"/>
      <c r="EO858" s="2"/>
      <c r="GT858" s="155"/>
      <c r="HZ858" s="2"/>
      <c r="KD858" s="2"/>
      <c r="KE858" s="2"/>
      <c r="KF858" s="2"/>
    </row>
    <row r="859" spans="17:295" ht="15" customHeight="1" x14ac:dyDescent="0.25">
      <c r="Q859" s="1"/>
      <c r="R859" s="1"/>
      <c r="T859" s="1"/>
      <c r="X859" s="2"/>
      <c r="AM859" s="2"/>
      <c r="EO859" s="2"/>
      <c r="GT859" s="155"/>
      <c r="HZ859" s="2"/>
      <c r="KD859" s="2"/>
    </row>
    <row r="860" spans="17:295" ht="15" customHeight="1" x14ac:dyDescent="0.25">
      <c r="Q860" s="1"/>
      <c r="R860" s="1"/>
      <c r="T860" s="1"/>
      <c r="X860" s="2"/>
      <c r="AM860" s="2"/>
      <c r="EO860" s="2"/>
      <c r="GT860" s="155"/>
      <c r="HZ860" s="2"/>
      <c r="KD860" s="2"/>
    </row>
    <row r="861" spans="17:295" ht="15" customHeight="1" x14ac:dyDescent="0.25">
      <c r="Q861" s="1"/>
      <c r="R861" s="1"/>
      <c r="T861" s="1"/>
      <c r="X861" s="2"/>
      <c r="AM861" s="2"/>
      <c r="EO861" s="2"/>
      <c r="GT861" s="155"/>
      <c r="HZ861" s="2"/>
      <c r="KD861" s="2"/>
    </row>
    <row r="862" spans="17:295" ht="15" customHeight="1" x14ac:dyDescent="0.25">
      <c r="Q862" s="1"/>
      <c r="R862" s="1"/>
      <c r="T862" s="1"/>
      <c r="X862" s="2"/>
      <c r="AM862" s="2"/>
      <c r="EO862" s="2"/>
      <c r="GT862" s="155"/>
      <c r="HZ862" s="2"/>
      <c r="KD862" s="2"/>
    </row>
    <row r="863" spans="17:295" ht="15" customHeight="1" x14ac:dyDescent="0.25">
      <c r="Q863" s="1"/>
      <c r="R863" s="1"/>
      <c r="T863" s="1"/>
      <c r="X863" s="2"/>
      <c r="AM863" s="2"/>
      <c r="EO863" s="2"/>
      <c r="GT863" s="155"/>
      <c r="HZ863" s="2"/>
      <c r="KD863" s="2"/>
      <c r="KE863" s="2"/>
      <c r="KF863" s="2"/>
    </row>
    <row r="864" spans="17:295" ht="15" customHeight="1" x14ac:dyDescent="0.25">
      <c r="Q864" s="1"/>
      <c r="X864" s="2"/>
      <c r="AM864" s="2"/>
      <c r="EO864" s="2"/>
      <c r="GT864" s="155"/>
      <c r="HZ864" s="2"/>
      <c r="KD864" s="2"/>
      <c r="KE864" s="2"/>
      <c r="KF864" s="2"/>
      <c r="KG864" s="2"/>
      <c r="KH864" s="2"/>
      <c r="KI864" s="2"/>
    </row>
    <row r="865" spans="17:294" ht="15" customHeight="1" x14ac:dyDescent="0.25">
      <c r="Q865" s="1"/>
      <c r="R865" s="1"/>
      <c r="T865" s="1"/>
      <c r="X865" s="2"/>
      <c r="AM865" s="2"/>
      <c r="EO865" s="2"/>
      <c r="GT865" s="155"/>
      <c r="HZ865" s="2"/>
      <c r="KD865" s="2"/>
      <c r="KE865" s="2"/>
      <c r="KF865" s="2"/>
      <c r="KG865" s="2"/>
    </row>
    <row r="866" spans="17:294" ht="15" customHeight="1" x14ac:dyDescent="0.25">
      <c r="Q866" s="1"/>
      <c r="R866" s="1"/>
      <c r="T866" s="1"/>
      <c r="X866" s="2"/>
      <c r="AM866" s="2"/>
      <c r="EO866" s="2"/>
      <c r="GT866" s="155"/>
      <c r="HZ866" s="2"/>
    </row>
    <row r="867" spans="17:294" ht="15" customHeight="1" x14ac:dyDescent="0.25">
      <c r="Q867" s="1"/>
      <c r="R867" s="1"/>
      <c r="T867" s="1"/>
      <c r="X867" s="2"/>
      <c r="AM867" s="2"/>
      <c r="EO867" s="2"/>
      <c r="GT867" s="155"/>
      <c r="HZ867" s="2"/>
    </row>
    <row r="868" spans="17:294" ht="15" customHeight="1" x14ac:dyDescent="0.25">
      <c r="Q868" s="1"/>
      <c r="R868" s="1"/>
      <c r="T868" s="1"/>
      <c r="X868" s="2"/>
      <c r="AM868" s="2"/>
      <c r="EO868" s="2"/>
      <c r="GT868" s="155"/>
      <c r="HZ868" s="2"/>
      <c r="KD868" s="2"/>
    </row>
    <row r="869" spans="17:294" ht="15" customHeight="1" x14ac:dyDescent="0.25">
      <c r="Q869" s="1"/>
      <c r="R869" s="1"/>
      <c r="T869" s="1"/>
      <c r="X869" s="2"/>
      <c r="AM869" s="2"/>
      <c r="EO869" s="2"/>
      <c r="GT869" s="155"/>
      <c r="HZ869" s="2"/>
      <c r="KD869" s="2"/>
    </row>
    <row r="870" spans="17:294" ht="15" customHeight="1" x14ac:dyDescent="0.25">
      <c r="Q870" s="1"/>
      <c r="R870" s="1"/>
      <c r="T870" s="1"/>
      <c r="X870" s="2"/>
      <c r="AM870" s="2"/>
      <c r="EO870" s="2"/>
      <c r="GT870" s="155"/>
      <c r="HZ870" s="2"/>
      <c r="KD870" s="2"/>
    </row>
    <row r="871" spans="17:294" ht="15" customHeight="1" x14ac:dyDescent="0.25">
      <c r="Q871" s="1"/>
      <c r="R871" s="1"/>
      <c r="T871" s="1"/>
      <c r="X871" s="2"/>
      <c r="AM871" s="2"/>
      <c r="EO871" s="2"/>
      <c r="GT871" s="155"/>
      <c r="HZ871" s="2"/>
      <c r="KD871" s="2"/>
      <c r="KE871" s="2"/>
    </row>
    <row r="872" spans="17:294" ht="15" customHeight="1" x14ac:dyDescent="0.25">
      <c r="Q872" s="1"/>
      <c r="R872" s="1"/>
      <c r="T872" s="1"/>
      <c r="X872" s="2"/>
      <c r="AM872" s="2"/>
      <c r="EO872" s="2"/>
      <c r="GT872" s="155"/>
      <c r="HZ872" s="2"/>
      <c r="KD872" s="2"/>
    </row>
    <row r="873" spans="17:294" ht="15" customHeight="1" x14ac:dyDescent="0.25">
      <c r="Q873" s="1"/>
      <c r="R873" s="1"/>
      <c r="T873" s="1"/>
      <c r="X873" s="2"/>
      <c r="AM873" s="2"/>
      <c r="EO873" s="2"/>
      <c r="GT873" s="155"/>
      <c r="HZ873" s="2"/>
      <c r="KD873" s="2"/>
      <c r="KE873" s="2"/>
    </row>
    <row r="874" spans="17:294" ht="15" customHeight="1" x14ac:dyDescent="0.25">
      <c r="Q874" s="1"/>
      <c r="R874" s="1"/>
      <c r="T874" s="1"/>
      <c r="X874" s="2"/>
      <c r="AM874" s="2"/>
      <c r="EO874" s="2"/>
      <c r="GT874" s="155"/>
      <c r="HZ874" s="2"/>
      <c r="KD874" s="2"/>
    </row>
    <row r="875" spans="17:294" ht="15" customHeight="1" x14ac:dyDescent="0.25">
      <c r="Q875" s="1"/>
      <c r="R875" s="1"/>
      <c r="T875" s="1"/>
      <c r="X875" s="2"/>
      <c r="AM875" s="2"/>
      <c r="EO875" s="2"/>
      <c r="GT875" s="155"/>
      <c r="HZ875" s="2"/>
      <c r="KD875" s="2"/>
      <c r="KE875" s="2"/>
    </row>
    <row r="876" spans="17:294" ht="15" customHeight="1" x14ac:dyDescent="0.25">
      <c r="Q876" s="1"/>
      <c r="X876" s="2"/>
      <c r="AM876" s="2"/>
      <c r="EO876" s="2"/>
      <c r="GT876" s="155"/>
      <c r="HZ876" s="2"/>
      <c r="KD876" s="2"/>
      <c r="KE876" s="2"/>
    </row>
    <row r="877" spans="17:294" ht="15" customHeight="1" x14ac:dyDescent="0.25">
      <c r="Q877" s="1"/>
      <c r="R877" s="1"/>
      <c r="T877" s="1"/>
      <c r="X877" s="2"/>
      <c r="AM877" s="2"/>
      <c r="EO877" s="2"/>
      <c r="GT877" s="155"/>
      <c r="HZ877" s="2"/>
      <c r="KD877" s="2"/>
      <c r="KE877" s="2"/>
      <c r="KF877" s="2"/>
      <c r="KG877" s="2"/>
      <c r="KH877" s="2"/>
    </row>
    <row r="878" spans="17:294" ht="15" customHeight="1" x14ac:dyDescent="0.25">
      <c r="Q878" s="1"/>
      <c r="R878" s="1"/>
      <c r="T878" s="1"/>
      <c r="X878" s="2"/>
      <c r="AM878" s="2"/>
      <c r="EO878" s="2"/>
      <c r="GT878" s="155"/>
      <c r="HZ878" s="2"/>
      <c r="KD878" s="2"/>
    </row>
    <row r="879" spans="17:294" ht="15" customHeight="1" x14ac:dyDescent="0.25">
      <c r="Q879" s="1"/>
      <c r="R879" s="1"/>
      <c r="T879" s="1"/>
      <c r="X879" s="2"/>
      <c r="AM879" s="2"/>
      <c r="EO879" s="2"/>
      <c r="GT879" s="155"/>
      <c r="HZ879" s="2"/>
      <c r="KD879" s="2"/>
    </row>
    <row r="880" spans="17:294" ht="15" customHeight="1" x14ac:dyDescent="0.25">
      <c r="Q880" s="1"/>
      <c r="R880" s="1"/>
      <c r="T880" s="1"/>
      <c r="X880" s="2"/>
      <c r="AM880" s="2"/>
      <c r="EO880" s="2"/>
      <c r="GT880" s="155"/>
      <c r="HZ880" s="2"/>
      <c r="KD880" s="2"/>
      <c r="KE880" s="2"/>
      <c r="KF880" s="2"/>
      <c r="KG880" s="2"/>
      <c r="KH880" s="2"/>
    </row>
    <row r="881" spans="17:291" ht="15" customHeight="1" x14ac:dyDescent="0.25">
      <c r="Q881" s="1"/>
      <c r="R881" s="1"/>
      <c r="T881" s="1"/>
      <c r="X881" s="2"/>
      <c r="AM881" s="2"/>
      <c r="EO881" s="2"/>
      <c r="GT881" s="155"/>
      <c r="HZ881" s="2"/>
      <c r="KD881" s="2"/>
    </row>
    <row r="882" spans="17:291" ht="15" customHeight="1" x14ac:dyDescent="0.25">
      <c r="Q882" s="1"/>
      <c r="R882" s="1"/>
      <c r="T882" s="1"/>
      <c r="X882" s="2"/>
      <c r="AM882" s="2"/>
      <c r="EO882" s="2"/>
      <c r="GT882" s="155"/>
      <c r="HZ882" s="2"/>
      <c r="KD882" s="2"/>
    </row>
    <row r="883" spans="17:291" ht="15" customHeight="1" x14ac:dyDescent="0.25">
      <c r="Q883" s="1"/>
      <c r="R883" s="1"/>
      <c r="T883" s="1"/>
      <c r="X883" s="2"/>
      <c r="AM883" s="2"/>
      <c r="EO883" s="2"/>
      <c r="GT883" s="155"/>
      <c r="HZ883" s="2"/>
      <c r="KD883" s="2"/>
    </row>
    <row r="884" spans="17:291" ht="15" customHeight="1" x14ac:dyDescent="0.25">
      <c r="Q884" s="1"/>
      <c r="R884" s="1"/>
      <c r="T884" s="1"/>
      <c r="X884" s="2"/>
      <c r="AM884" s="2"/>
      <c r="EO884" s="2"/>
      <c r="GT884" s="155"/>
      <c r="HZ884" s="2"/>
      <c r="KD884" s="2"/>
    </row>
    <row r="885" spans="17:291" ht="15" customHeight="1" x14ac:dyDescent="0.25">
      <c r="Q885" s="1"/>
      <c r="R885" s="1"/>
      <c r="T885" s="1"/>
      <c r="X885" s="2"/>
      <c r="AM885" s="2"/>
      <c r="EO885" s="2"/>
      <c r="GT885" s="155"/>
      <c r="HZ885" s="2"/>
    </row>
    <row r="886" spans="17:291" ht="15" customHeight="1" x14ac:dyDescent="0.25">
      <c r="Q886" s="1"/>
      <c r="R886" s="1"/>
      <c r="T886" s="1"/>
      <c r="X886" s="2"/>
      <c r="AM886" s="2"/>
      <c r="EO886" s="2"/>
      <c r="GT886" s="155"/>
      <c r="HZ886" s="2"/>
    </row>
    <row r="887" spans="17:291" ht="15" customHeight="1" x14ac:dyDescent="0.25">
      <c r="Q887" s="1"/>
      <c r="R887" s="1"/>
      <c r="T887" s="1"/>
      <c r="X887" s="2"/>
      <c r="AM887" s="2"/>
      <c r="EO887" s="2"/>
      <c r="GT887" s="155"/>
      <c r="HZ887" s="2"/>
    </row>
    <row r="888" spans="17:291" ht="15" customHeight="1" x14ac:dyDescent="0.25">
      <c r="Q888" s="1"/>
      <c r="R888" s="1"/>
      <c r="X888" s="2"/>
      <c r="AM888" s="2"/>
      <c r="EO888" s="2"/>
      <c r="GT888" s="155"/>
      <c r="HZ888" s="2"/>
    </row>
    <row r="889" spans="17:291" ht="15" customHeight="1" x14ac:dyDescent="0.25">
      <c r="Q889" s="1"/>
      <c r="R889" s="1"/>
      <c r="T889" s="1"/>
      <c r="X889" s="2"/>
      <c r="AM889" s="2"/>
      <c r="EO889" s="2"/>
      <c r="GT889" s="155"/>
      <c r="HZ889" s="2"/>
      <c r="KD889" s="2"/>
    </row>
    <row r="890" spans="17:291" ht="15" customHeight="1" x14ac:dyDescent="0.25">
      <c r="Q890" s="1"/>
      <c r="R890" s="1"/>
      <c r="T890" s="1"/>
      <c r="X890" s="2"/>
      <c r="AM890" s="2"/>
      <c r="EO890" s="2"/>
      <c r="GT890" s="155"/>
      <c r="HZ890" s="2"/>
      <c r="KD890" s="2"/>
    </row>
    <row r="891" spans="17:291" ht="15" customHeight="1" x14ac:dyDescent="0.25">
      <c r="Q891" s="1"/>
      <c r="R891" s="1"/>
      <c r="T891" s="1"/>
      <c r="X891" s="2"/>
      <c r="AM891" s="2"/>
      <c r="EO891" s="2"/>
      <c r="GT891" s="155"/>
      <c r="HZ891" s="2"/>
      <c r="KD891" s="2"/>
    </row>
    <row r="892" spans="17:291" ht="15" customHeight="1" x14ac:dyDescent="0.25">
      <c r="Q892" s="1"/>
      <c r="R892" s="1"/>
      <c r="T892" s="1"/>
      <c r="X892" s="2"/>
      <c r="AM892" s="2"/>
      <c r="EO892" s="2"/>
      <c r="GT892" s="155"/>
      <c r="HZ892" s="2"/>
      <c r="KD892" s="2"/>
      <c r="KE892" s="2"/>
    </row>
    <row r="893" spans="17:291" ht="15" customHeight="1" x14ac:dyDescent="0.25">
      <c r="Q893" s="1"/>
      <c r="R893" s="1"/>
      <c r="T893" s="1"/>
      <c r="X893" s="2"/>
      <c r="AM893" s="2"/>
      <c r="EO893" s="2"/>
      <c r="GT893" s="155"/>
      <c r="HZ893" s="2"/>
      <c r="KD893" s="2"/>
    </row>
    <row r="894" spans="17:291" ht="15" customHeight="1" x14ac:dyDescent="0.25">
      <c r="Q894" s="1"/>
      <c r="R894" s="1"/>
      <c r="T894" s="1"/>
      <c r="X894" s="2"/>
      <c r="AM894" s="2"/>
      <c r="EO894" s="2"/>
      <c r="GT894" s="155"/>
      <c r="HZ894" s="2"/>
      <c r="KD894" s="2"/>
    </row>
    <row r="895" spans="17:291" ht="15" customHeight="1" x14ac:dyDescent="0.25">
      <c r="Q895" s="1"/>
      <c r="R895" s="1"/>
      <c r="T895" s="1"/>
      <c r="X895" s="2"/>
      <c r="AM895" s="2"/>
      <c r="EO895" s="2"/>
      <c r="GT895" s="155"/>
      <c r="HZ895" s="2"/>
      <c r="KD895" s="2"/>
      <c r="KE895" s="2"/>
    </row>
    <row r="896" spans="17:291" ht="15" customHeight="1" x14ac:dyDescent="0.25">
      <c r="Q896" s="1"/>
      <c r="R896" s="1"/>
      <c r="T896" s="1"/>
      <c r="X896" s="2"/>
      <c r="AM896" s="2"/>
      <c r="EO896" s="2"/>
      <c r="GT896" s="155"/>
      <c r="HZ896" s="2"/>
      <c r="KD896" s="2"/>
    </row>
    <row r="897" spans="17:298" ht="15" customHeight="1" x14ac:dyDescent="0.25">
      <c r="Q897" s="1"/>
      <c r="R897" s="1"/>
      <c r="T897" s="1"/>
      <c r="X897" s="2"/>
      <c r="AM897" s="2"/>
      <c r="EO897" s="2"/>
      <c r="GT897" s="155"/>
      <c r="HZ897" s="2"/>
      <c r="KD897" s="2"/>
      <c r="KE897" s="2"/>
    </row>
    <row r="898" spans="17:298" ht="15" customHeight="1" x14ac:dyDescent="0.25">
      <c r="Q898" s="1"/>
      <c r="R898" s="1"/>
      <c r="T898" s="1"/>
      <c r="X898" s="2"/>
      <c r="AM898" s="2"/>
      <c r="EO898" s="2"/>
      <c r="GT898" s="155"/>
      <c r="HZ898" s="2"/>
    </row>
    <row r="899" spans="17:298" ht="15" customHeight="1" x14ac:dyDescent="0.25">
      <c r="Q899" s="1"/>
      <c r="R899" s="1"/>
      <c r="T899" s="1"/>
      <c r="X899" s="2"/>
      <c r="AM899" s="2"/>
      <c r="EO899" s="2"/>
      <c r="GT899" s="155"/>
      <c r="HZ899" s="2"/>
      <c r="KD899" s="2"/>
    </row>
    <row r="900" spans="17:298" ht="15" customHeight="1" x14ac:dyDescent="0.25">
      <c r="Q900" s="1"/>
      <c r="R900" s="1"/>
      <c r="T900" s="1"/>
      <c r="X900" s="2"/>
      <c r="AM900" s="2"/>
      <c r="EO900" s="2"/>
      <c r="GT900" s="155"/>
      <c r="HZ900" s="2"/>
      <c r="KD900" s="2"/>
    </row>
    <row r="901" spans="17:298" ht="15" customHeight="1" x14ac:dyDescent="0.25">
      <c r="Q901" s="1"/>
      <c r="R901" s="1"/>
      <c r="T901" s="1"/>
      <c r="X901" s="2"/>
      <c r="AM901" s="2"/>
      <c r="EO901" s="2"/>
      <c r="GT901" s="155"/>
      <c r="HZ901" s="2"/>
      <c r="KD901" s="2"/>
      <c r="KE901" s="2"/>
    </row>
    <row r="902" spans="17:298" ht="15" customHeight="1" x14ac:dyDescent="0.25">
      <c r="Q902" s="1"/>
      <c r="R902" s="1"/>
      <c r="T902" s="1"/>
      <c r="X902" s="2"/>
      <c r="AM902" s="2"/>
      <c r="EO902" s="2"/>
      <c r="GT902" s="155"/>
      <c r="HZ902" s="2"/>
      <c r="KD902" s="2"/>
      <c r="KE902" s="2"/>
    </row>
    <row r="903" spans="17:298" ht="15" customHeight="1" x14ac:dyDescent="0.25">
      <c r="Q903" s="1"/>
      <c r="R903" s="1"/>
      <c r="T903" s="1"/>
      <c r="X903" s="2"/>
      <c r="AM903" s="2"/>
      <c r="EO903" s="2"/>
      <c r="GT903" s="155"/>
      <c r="HZ903" s="2"/>
      <c r="KD903" s="2"/>
      <c r="KE903" s="2"/>
    </row>
    <row r="904" spans="17:298" ht="15" customHeight="1" x14ac:dyDescent="0.25">
      <c r="Q904" s="1"/>
      <c r="R904" s="1"/>
      <c r="T904" s="1"/>
      <c r="X904" s="2"/>
      <c r="AM904" s="2"/>
      <c r="EO904" s="2"/>
      <c r="GT904" s="155"/>
      <c r="HZ904" s="2"/>
      <c r="KD904" s="2"/>
      <c r="KE904" s="2"/>
    </row>
    <row r="905" spans="17:298" ht="15" customHeight="1" x14ac:dyDescent="0.25">
      <c r="Q905" s="1"/>
      <c r="R905" s="1"/>
      <c r="T905" s="1"/>
      <c r="X905" s="2"/>
      <c r="AM905" s="2"/>
      <c r="EO905" s="2"/>
      <c r="GT905" s="155"/>
      <c r="HZ905" s="2"/>
      <c r="KD905" s="2"/>
      <c r="KE905" s="2"/>
    </row>
    <row r="906" spans="17:298" ht="15" customHeight="1" x14ac:dyDescent="0.25">
      <c r="Q906" s="1"/>
      <c r="R906" s="1"/>
      <c r="T906" s="1"/>
      <c r="X906" s="2"/>
      <c r="AM906" s="2"/>
      <c r="EO906" s="2"/>
      <c r="GT906" s="155"/>
      <c r="HZ906" s="2"/>
      <c r="KD906" s="2"/>
    </row>
    <row r="907" spans="17:298" ht="15" customHeight="1" x14ac:dyDescent="0.25">
      <c r="Q907" s="1"/>
      <c r="R907" s="1"/>
      <c r="T907" s="1"/>
      <c r="X907" s="2"/>
      <c r="AM907" s="2"/>
      <c r="EO907" s="2"/>
      <c r="GT907" s="155"/>
      <c r="HZ907" s="2"/>
      <c r="KD907" s="2"/>
      <c r="KE907" s="2"/>
    </row>
    <row r="908" spans="17:298" ht="15" customHeight="1" x14ac:dyDescent="0.25">
      <c r="Q908" s="1"/>
      <c r="R908" s="1"/>
      <c r="T908" s="1"/>
      <c r="X908" s="2"/>
      <c r="AM908" s="2"/>
      <c r="EO908" s="2"/>
      <c r="GT908" s="155"/>
      <c r="HZ908" s="2"/>
      <c r="KD908" s="2"/>
      <c r="KE908" s="2"/>
      <c r="KF908" s="2"/>
    </row>
    <row r="909" spans="17:298" ht="15" customHeight="1" x14ac:dyDescent="0.25">
      <c r="Q909" s="1"/>
      <c r="R909" s="1"/>
      <c r="T909" s="1"/>
      <c r="X909" s="2"/>
      <c r="AM909" s="2"/>
      <c r="EO909" s="2"/>
      <c r="GT909" s="155"/>
      <c r="HZ909" s="2"/>
      <c r="KD909" s="2"/>
      <c r="KE909" s="2"/>
      <c r="KF909" s="2"/>
    </row>
    <row r="910" spans="17:298" ht="15" customHeight="1" x14ac:dyDescent="0.25">
      <c r="Q910" s="1"/>
      <c r="R910" s="1"/>
      <c r="T910" s="1"/>
      <c r="X910" s="2"/>
      <c r="AM910" s="2"/>
      <c r="EO910" s="2"/>
      <c r="GT910" s="155"/>
      <c r="HZ910" s="2"/>
      <c r="KD910" s="2"/>
      <c r="KE910" s="2"/>
      <c r="KF910" s="2"/>
      <c r="KG910" s="2"/>
      <c r="KH910" s="2"/>
    </row>
    <row r="911" spans="17:298" ht="15" customHeight="1" x14ac:dyDescent="0.25">
      <c r="Q911" s="1"/>
      <c r="R911" s="1"/>
      <c r="T911" s="1"/>
      <c r="X911" s="2"/>
      <c r="AM911" s="2"/>
      <c r="EO911" s="2"/>
      <c r="GT911" s="155"/>
      <c r="HZ911" s="2"/>
      <c r="KD911" s="2"/>
      <c r="KE911" s="2"/>
    </row>
    <row r="912" spans="17:298" ht="15" customHeight="1" x14ac:dyDescent="0.25">
      <c r="Q912" s="1"/>
      <c r="T912" s="1"/>
      <c r="X912" s="2"/>
      <c r="AM912" s="2"/>
      <c r="EO912" s="2"/>
      <c r="GT912" s="155"/>
      <c r="HZ912" s="2"/>
      <c r="KD912" s="2"/>
      <c r="KE912" s="2"/>
      <c r="KF912" s="2"/>
      <c r="KG912" s="2"/>
      <c r="KH912" s="2"/>
      <c r="KI912" s="2"/>
      <c r="KJ912" s="2"/>
      <c r="KK912" s="2"/>
      <c r="KL912" s="2"/>
    </row>
    <row r="913" spans="17:292" ht="15" customHeight="1" x14ac:dyDescent="0.25">
      <c r="Q913" s="1"/>
      <c r="R913" s="1"/>
      <c r="T913" s="1"/>
      <c r="X913" s="2"/>
      <c r="AM913" s="2"/>
      <c r="EO913" s="2"/>
      <c r="GT913" s="155"/>
      <c r="HZ913" s="2"/>
      <c r="KD913" s="2"/>
      <c r="KE913" s="2"/>
    </row>
    <row r="914" spans="17:292" ht="15" customHeight="1" x14ac:dyDescent="0.25">
      <c r="Q914" s="1"/>
      <c r="R914" s="1"/>
      <c r="X914" s="2"/>
      <c r="AM914" s="2"/>
      <c r="EO914" s="2"/>
      <c r="GT914" s="155"/>
      <c r="HZ914" s="2"/>
    </row>
    <row r="915" spans="17:292" ht="15" customHeight="1" x14ac:dyDescent="0.25">
      <c r="Q915" s="1"/>
      <c r="R915" s="1"/>
      <c r="X915" s="2"/>
      <c r="AM915" s="2"/>
      <c r="EO915" s="2"/>
      <c r="GT915" s="155"/>
      <c r="HZ915" s="2"/>
    </row>
    <row r="916" spans="17:292" ht="15" customHeight="1" x14ac:dyDescent="0.25">
      <c r="Q916" s="1"/>
      <c r="R916" s="1"/>
      <c r="T916" s="1"/>
      <c r="X916" s="2"/>
      <c r="AM916" s="2"/>
      <c r="EO916" s="2"/>
      <c r="GT916" s="155"/>
      <c r="HZ916" s="2"/>
      <c r="KD916" s="2"/>
      <c r="KE916" s="2"/>
      <c r="KF916" s="2"/>
    </row>
    <row r="917" spans="17:292" ht="15" customHeight="1" x14ac:dyDescent="0.25">
      <c r="Q917" s="1"/>
      <c r="R917" s="1"/>
      <c r="T917" s="1"/>
      <c r="X917" s="2"/>
      <c r="AM917" s="2"/>
      <c r="EO917" s="2"/>
      <c r="GT917" s="155"/>
      <c r="HZ917" s="2"/>
      <c r="KD917" s="2"/>
      <c r="KE917" s="2"/>
    </row>
    <row r="918" spans="17:292" ht="15" customHeight="1" x14ac:dyDescent="0.25">
      <c r="Q918" s="1"/>
      <c r="R918" s="1"/>
      <c r="T918" s="1"/>
      <c r="X918" s="2"/>
      <c r="AM918" s="2"/>
      <c r="EO918" s="2"/>
      <c r="GT918" s="155"/>
      <c r="HZ918" s="2"/>
      <c r="KD918" s="2"/>
    </row>
    <row r="919" spans="17:292" ht="15" customHeight="1" x14ac:dyDescent="0.25">
      <c r="Q919" s="1"/>
      <c r="R919" s="1"/>
      <c r="T919" s="1"/>
      <c r="X919" s="2"/>
      <c r="AM919" s="2"/>
      <c r="EO919" s="2"/>
      <c r="GT919" s="155"/>
      <c r="HZ919" s="2"/>
      <c r="KD919" s="2"/>
    </row>
    <row r="920" spans="17:292" ht="15" customHeight="1" x14ac:dyDescent="0.25">
      <c r="Q920" s="1"/>
      <c r="R920" s="1"/>
      <c r="T920" s="1"/>
      <c r="X920" s="2"/>
      <c r="AM920" s="2"/>
      <c r="EO920" s="2"/>
      <c r="GT920" s="155"/>
      <c r="HZ920" s="2"/>
      <c r="KD920" s="2"/>
      <c r="KE920" s="2"/>
    </row>
    <row r="921" spans="17:292" ht="15" customHeight="1" x14ac:dyDescent="0.25">
      <c r="Q921" s="1"/>
      <c r="R921" s="1"/>
      <c r="T921" s="1"/>
      <c r="X921" s="2"/>
      <c r="AM921" s="2"/>
      <c r="EO921" s="2"/>
      <c r="GT921" s="155"/>
      <c r="HZ921" s="2"/>
    </row>
    <row r="922" spans="17:292" ht="15" customHeight="1" x14ac:dyDescent="0.25">
      <c r="Q922" s="1"/>
      <c r="R922" s="1"/>
      <c r="T922" s="1"/>
      <c r="X922" s="2"/>
      <c r="AM922" s="2"/>
      <c r="EO922" s="2"/>
      <c r="GT922" s="155"/>
      <c r="HZ922" s="2"/>
    </row>
    <row r="923" spans="17:292" ht="15" customHeight="1" x14ac:dyDescent="0.25">
      <c r="Q923" s="1"/>
      <c r="R923" s="1"/>
      <c r="T923" s="1"/>
      <c r="X923" s="2"/>
      <c r="AM923" s="2"/>
      <c r="EO923" s="2"/>
      <c r="GT923" s="155"/>
      <c r="HZ923" s="2"/>
    </row>
    <row r="924" spans="17:292" ht="15" customHeight="1" x14ac:dyDescent="0.25">
      <c r="Q924" s="1"/>
      <c r="R924" s="1"/>
      <c r="T924" s="1"/>
      <c r="X924" s="2"/>
      <c r="AM924" s="2"/>
      <c r="EO924" s="2"/>
      <c r="GT924" s="155"/>
      <c r="HZ924" s="2"/>
      <c r="KD924" s="2"/>
    </row>
    <row r="925" spans="17:292" ht="15" customHeight="1" x14ac:dyDescent="0.25">
      <c r="Q925" s="1"/>
      <c r="R925" s="1"/>
      <c r="T925" s="1"/>
      <c r="X925" s="2"/>
      <c r="AM925" s="2"/>
      <c r="EO925" s="2"/>
      <c r="GT925" s="155"/>
      <c r="HZ925" s="2"/>
      <c r="KD925" s="2"/>
    </row>
    <row r="926" spans="17:292" ht="15" customHeight="1" x14ac:dyDescent="0.25">
      <c r="Q926" s="1"/>
      <c r="R926" s="1"/>
      <c r="T926" s="1"/>
      <c r="X926" s="2"/>
      <c r="AM926" s="2"/>
      <c r="EO926" s="2"/>
      <c r="GT926" s="155"/>
      <c r="HZ926" s="2"/>
      <c r="KD926" s="2"/>
      <c r="KE926" s="2"/>
    </row>
    <row r="927" spans="17:292" ht="15" customHeight="1" x14ac:dyDescent="0.25">
      <c r="Q927" s="1"/>
      <c r="R927" s="1"/>
      <c r="X927" s="2"/>
      <c r="AM927" s="2"/>
      <c r="EO927" s="2"/>
      <c r="GT927" s="155"/>
      <c r="HZ927" s="2"/>
      <c r="KD927" s="2"/>
      <c r="KE927" s="2"/>
      <c r="KF927" s="2"/>
    </row>
    <row r="928" spans="17:292" ht="15" customHeight="1" x14ac:dyDescent="0.25">
      <c r="Q928" s="1"/>
      <c r="R928" s="1"/>
      <c r="X928" s="2"/>
      <c r="AM928" s="2"/>
      <c r="EO928" s="2"/>
      <c r="GT928" s="155"/>
      <c r="HZ928" s="2"/>
    </row>
    <row r="929" spans="17:304" ht="15" customHeight="1" x14ac:dyDescent="0.25">
      <c r="Q929" s="1"/>
      <c r="R929" s="1"/>
      <c r="T929" s="1"/>
      <c r="X929" s="2"/>
      <c r="AM929" s="2"/>
      <c r="EO929" s="2"/>
      <c r="GT929" s="155"/>
      <c r="HZ929" s="2"/>
    </row>
    <row r="930" spans="17:304" ht="15" customHeight="1" x14ac:dyDescent="0.25">
      <c r="Q930" s="1"/>
      <c r="R930" s="1"/>
      <c r="T930" s="1"/>
      <c r="X930" s="2"/>
      <c r="AM930" s="2"/>
      <c r="EO930" s="2"/>
      <c r="GT930" s="155"/>
      <c r="HZ930" s="2"/>
      <c r="KD930" s="2"/>
      <c r="KE930" s="2"/>
      <c r="KF930" s="2"/>
    </row>
    <row r="931" spans="17:304" ht="15" customHeight="1" x14ac:dyDescent="0.25">
      <c r="Q931" s="1"/>
      <c r="R931" s="1"/>
      <c r="T931" s="1"/>
      <c r="X931" s="2"/>
      <c r="AM931" s="2"/>
      <c r="EO931" s="2"/>
      <c r="GT931" s="155"/>
      <c r="HZ931" s="2"/>
      <c r="KD931" s="2"/>
      <c r="KE931" s="2"/>
    </row>
    <row r="932" spans="17:304" ht="15" customHeight="1" x14ac:dyDescent="0.25">
      <c r="Q932" s="1"/>
      <c r="R932" s="1"/>
      <c r="T932" s="1"/>
      <c r="X932" s="2"/>
      <c r="AM932" s="2"/>
      <c r="EO932" s="2"/>
      <c r="GT932" s="155"/>
      <c r="HZ932" s="2"/>
      <c r="KD932" s="2"/>
      <c r="KE932" s="2"/>
      <c r="KF932" s="2"/>
      <c r="KG932" s="2"/>
    </row>
    <row r="933" spans="17:304" ht="15" customHeight="1" x14ac:dyDescent="0.25">
      <c r="Q933" s="1"/>
      <c r="R933" s="1"/>
      <c r="X933" s="2"/>
      <c r="AM933" s="2"/>
      <c r="EO933" s="2"/>
      <c r="GT933" s="155"/>
      <c r="HZ933" s="2"/>
    </row>
    <row r="934" spans="17:304" ht="15" customHeight="1" x14ac:dyDescent="0.25">
      <c r="Q934" s="1"/>
      <c r="R934" s="1"/>
      <c r="T934" s="1"/>
      <c r="X934" s="2"/>
      <c r="AM934" s="2"/>
      <c r="EO934" s="2"/>
      <c r="GT934" s="155"/>
      <c r="HZ934" s="2"/>
      <c r="KD934" s="2"/>
    </row>
    <row r="935" spans="17:304" ht="15" customHeight="1" x14ac:dyDescent="0.25">
      <c r="Q935" s="1"/>
      <c r="R935" s="1"/>
      <c r="T935" s="1"/>
      <c r="X935" s="2"/>
      <c r="AM935" s="2"/>
      <c r="EO935" s="2"/>
      <c r="GT935" s="155"/>
      <c r="HZ935" s="2"/>
      <c r="KD935" s="2"/>
    </row>
    <row r="936" spans="17:304" ht="15" customHeight="1" x14ac:dyDescent="0.25">
      <c r="Q936" s="1"/>
      <c r="R936" s="1"/>
      <c r="X936" s="2"/>
      <c r="AM936" s="2"/>
      <c r="EO936" s="2"/>
      <c r="GT936" s="155"/>
      <c r="HZ936" s="2"/>
    </row>
    <row r="937" spans="17:304" ht="15" customHeight="1" x14ac:dyDescent="0.25">
      <c r="Q937" s="1"/>
      <c r="R937" s="1"/>
      <c r="T937" s="1"/>
      <c r="X937" s="2"/>
      <c r="AM937" s="2"/>
      <c r="EO937" s="2"/>
      <c r="GT937" s="155"/>
      <c r="HZ937" s="2"/>
      <c r="KD937" s="2"/>
      <c r="KE937" s="2"/>
    </row>
    <row r="938" spans="17:304" ht="15" customHeight="1" x14ac:dyDescent="0.25">
      <c r="Q938" s="1"/>
      <c r="R938" s="1"/>
      <c r="T938" s="1"/>
      <c r="X938" s="2"/>
      <c r="AM938" s="2"/>
      <c r="EO938" s="2"/>
      <c r="GT938" s="155"/>
      <c r="HZ938" s="2"/>
    </row>
    <row r="939" spans="17:304" ht="15" customHeight="1" x14ac:dyDescent="0.25">
      <c r="Q939" s="1"/>
      <c r="R939" s="1"/>
      <c r="T939" s="1"/>
      <c r="X939" s="2"/>
      <c r="AM939" s="2"/>
      <c r="EO939" s="2"/>
      <c r="GT939" s="155"/>
      <c r="HZ939" s="2"/>
    </row>
    <row r="940" spans="17:304" ht="15" customHeight="1" x14ac:dyDescent="0.25">
      <c r="Q940" s="1"/>
      <c r="R940" s="1"/>
      <c r="T940" s="1"/>
      <c r="X940" s="2"/>
      <c r="AM940" s="2"/>
      <c r="EO940" s="2"/>
      <c r="GT940" s="155"/>
      <c r="HZ940" s="2"/>
      <c r="KD940" s="2"/>
    </row>
    <row r="941" spans="17:304" ht="15" customHeight="1" x14ac:dyDescent="0.25">
      <c r="Q941" s="1"/>
      <c r="R941" s="1"/>
      <c r="S941" s="1"/>
      <c r="T941" s="1"/>
      <c r="Y941" s="2"/>
      <c r="AP941" s="2"/>
      <c r="HA941" s="155"/>
      <c r="IM941" s="2"/>
      <c r="KR941" s="2"/>
    </row>
    <row r="942" spans="17:304" ht="15" customHeight="1" x14ac:dyDescent="0.25">
      <c r="Q942" s="1"/>
      <c r="R942" s="1"/>
      <c r="S942" s="1"/>
      <c r="T942" s="1"/>
      <c r="Y942" s="2"/>
      <c r="AP942" s="2"/>
      <c r="HA942" s="155"/>
      <c r="IM942" s="2"/>
      <c r="KR942" s="2"/>
    </row>
    <row r="943" spans="17:304" ht="15" customHeight="1" x14ac:dyDescent="0.25">
      <c r="Q943" s="1"/>
      <c r="R943" s="1"/>
      <c r="S943" s="1"/>
      <c r="T943" s="1"/>
      <c r="Y943" s="2"/>
      <c r="AP943" s="2"/>
      <c r="HA943" s="155"/>
      <c r="IM943" s="2"/>
      <c r="KR943" s="2"/>
    </row>
    <row r="944" spans="17:304" ht="15" customHeight="1" x14ac:dyDescent="0.25">
      <c r="Q944" s="1"/>
      <c r="R944" s="1"/>
      <c r="S944" s="1"/>
      <c r="T944" s="1"/>
      <c r="Y944" s="2"/>
      <c r="AP944" s="2"/>
      <c r="HA944" s="155"/>
      <c r="IM944" s="2"/>
      <c r="KR944" s="2"/>
    </row>
    <row r="945" spans="17:307" ht="15" customHeight="1" x14ac:dyDescent="0.25">
      <c r="Q945" s="1"/>
      <c r="R945" s="1"/>
      <c r="S945" s="1"/>
      <c r="T945" s="1"/>
      <c r="Y945" s="2"/>
      <c r="AP945" s="2"/>
      <c r="HA945" s="155"/>
      <c r="IM945" s="2"/>
      <c r="KR945" s="2"/>
    </row>
    <row r="946" spans="17:307" ht="15" customHeight="1" x14ac:dyDescent="0.25">
      <c r="Q946" s="1"/>
      <c r="R946" s="1"/>
      <c r="S946" s="1"/>
      <c r="T946" s="1"/>
      <c r="Y946" s="2"/>
      <c r="AP946" s="2"/>
      <c r="HA946" s="155"/>
      <c r="IM946" s="2"/>
      <c r="KR946" s="2"/>
    </row>
    <row r="947" spans="17:307" ht="15" customHeight="1" x14ac:dyDescent="0.25">
      <c r="Q947" s="1"/>
      <c r="R947" s="1"/>
      <c r="S947" s="1"/>
      <c r="T947" s="1"/>
      <c r="Y947" s="2"/>
      <c r="AP947" s="2"/>
      <c r="HA947" s="155"/>
      <c r="IM947" s="2"/>
      <c r="KR947" s="2"/>
    </row>
    <row r="948" spans="17:307" ht="15" customHeight="1" x14ac:dyDescent="0.25">
      <c r="Q948" s="1"/>
      <c r="R948" s="1"/>
      <c r="S948" s="1"/>
      <c r="T948" s="1"/>
      <c r="Y948" s="2"/>
      <c r="AP948" s="2"/>
      <c r="HA948" s="155"/>
      <c r="IM948" s="2"/>
      <c r="KR948" s="2"/>
    </row>
    <row r="949" spans="17:307" ht="15" customHeight="1" x14ac:dyDescent="0.25">
      <c r="Q949" s="1"/>
      <c r="R949" s="1"/>
      <c r="S949" s="1"/>
      <c r="T949" s="1"/>
      <c r="Y949" s="2"/>
      <c r="AP949" s="2"/>
      <c r="HA949" s="155"/>
      <c r="IM949" s="2"/>
      <c r="KR949" s="2"/>
      <c r="KS949" s="2"/>
    </row>
    <row r="950" spans="17:307" ht="15" customHeight="1" x14ac:dyDescent="0.25">
      <c r="Q950" s="1"/>
      <c r="R950" s="1"/>
      <c r="S950" s="1"/>
      <c r="T950" s="1"/>
      <c r="Y950" s="2"/>
      <c r="AP950" s="2"/>
      <c r="HA950" s="155"/>
      <c r="IM950" s="2"/>
      <c r="KR950" s="2"/>
      <c r="KS950" s="2"/>
      <c r="KT950" s="2"/>
      <c r="KU950" s="2"/>
    </row>
    <row r="951" spans="17:307" ht="15" customHeight="1" x14ac:dyDescent="0.25">
      <c r="Q951" s="1"/>
      <c r="R951" s="1"/>
      <c r="S951" s="1"/>
      <c r="T951" s="1"/>
      <c r="Y951" s="2"/>
      <c r="AP951" s="2"/>
      <c r="HA951" s="155"/>
      <c r="IM951" s="2"/>
      <c r="KR951" s="2"/>
      <c r="KS951" s="2"/>
      <c r="KT951" s="2"/>
      <c r="KU951" s="2"/>
    </row>
    <row r="952" spans="17:307" ht="15" customHeight="1" x14ac:dyDescent="0.25">
      <c r="Q952" s="1"/>
      <c r="R952" s="1"/>
      <c r="S952" s="1"/>
      <c r="T952" s="1"/>
      <c r="Y952" s="2"/>
      <c r="AP952" s="2"/>
      <c r="HA952" s="155"/>
      <c r="IM952" s="2"/>
      <c r="KR952" s="2"/>
      <c r="KS952" s="2"/>
      <c r="KT952" s="2"/>
    </row>
    <row r="953" spans="17:307" ht="15" customHeight="1" x14ac:dyDescent="0.25">
      <c r="Q953" s="1"/>
      <c r="R953" s="1"/>
      <c r="S953" s="1"/>
      <c r="T953" s="1"/>
      <c r="Y953" s="2"/>
      <c r="AP953" s="2"/>
      <c r="HA953" s="155"/>
      <c r="IM953" s="2"/>
      <c r="KR953" s="2"/>
      <c r="KS953" s="2"/>
      <c r="KT953" s="2"/>
    </row>
    <row r="954" spans="17:307" ht="15" customHeight="1" x14ac:dyDescent="0.25">
      <c r="Q954" s="1"/>
      <c r="R954" s="1"/>
      <c r="S954" s="1"/>
      <c r="T954" s="1"/>
      <c r="Y954" s="2"/>
      <c r="AP954" s="2"/>
      <c r="HA954" s="155"/>
      <c r="IM954" s="2"/>
      <c r="KR954" s="2"/>
    </row>
    <row r="955" spans="17:307" ht="15" customHeight="1" x14ac:dyDescent="0.25">
      <c r="Q955" s="1"/>
      <c r="R955" s="1"/>
      <c r="S955" s="1"/>
      <c r="T955" s="1"/>
      <c r="Y955" s="2"/>
      <c r="AP955" s="2"/>
      <c r="HA955" s="155"/>
      <c r="IM955" s="2"/>
      <c r="KR955" s="2"/>
      <c r="KS955" s="2"/>
    </row>
    <row r="956" spans="17:307" ht="15" customHeight="1" x14ac:dyDescent="0.25">
      <c r="Q956" s="1"/>
      <c r="R956" s="1"/>
      <c r="S956" s="1"/>
      <c r="T956" s="1"/>
      <c r="Y956" s="2"/>
      <c r="AP956" s="2"/>
      <c r="HA956" s="155"/>
      <c r="IM956" s="2"/>
      <c r="KR956" s="2"/>
    </row>
    <row r="957" spans="17:307" ht="15" customHeight="1" x14ac:dyDescent="0.25">
      <c r="Q957" s="1"/>
      <c r="R957" s="1"/>
      <c r="S957" s="1"/>
      <c r="T957" s="1"/>
      <c r="Y957" s="2"/>
      <c r="AP957" s="2"/>
      <c r="HA957" s="155"/>
      <c r="IM957" s="2"/>
      <c r="KR957" s="2"/>
    </row>
    <row r="958" spans="17:307" ht="15" customHeight="1" x14ac:dyDescent="0.25">
      <c r="Q958" s="1"/>
      <c r="R958" s="1"/>
      <c r="S958" s="1"/>
      <c r="T958" s="1"/>
      <c r="Y958" s="2"/>
      <c r="AP958" s="2"/>
      <c r="HA958" s="155"/>
      <c r="IM958" s="2"/>
      <c r="KR958" s="2"/>
    </row>
    <row r="959" spans="17:307" ht="15" customHeight="1" x14ac:dyDescent="0.25">
      <c r="Q959" s="1"/>
      <c r="R959" s="1"/>
      <c r="S959" s="1"/>
      <c r="T959" s="1"/>
      <c r="Y959" s="2"/>
      <c r="AP959" s="2"/>
      <c r="HA959" s="155"/>
      <c r="IM959" s="2"/>
      <c r="KR959" s="2"/>
      <c r="KS959" s="2"/>
      <c r="KT959" s="2"/>
      <c r="KU959" s="2"/>
    </row>
    <row r="960" spans="17:307" ht="15" customHeight="1" x14ac:dyDescent="0.25">
      <c r="Q960" s="1"/>
      <c r="R960" s="1"/>
      <c r="S960" s="1"/>
      <c r="Y960" s="2"/>
      <c r="AP960" s="2"/>
      <c r="HA960" s="155"/>
      <c r="IM960" s="2"/>
    </row>
    <row r="961" spans="17:309" ht="15" customHeight="1" x14ac:dyDescent="0.25">
      <c r="Q961" s="1"/>
      <c r="R961" s="1"/>
      <c r="S961" s="1"/>
      <c r="T961" s="1"/>
      <c r="Y961" s="2"/>
      <c r="AP961" s="2"/>
      <c r="HA961" s="155"/>
      <c r="IM961" s="2"/>
      <c r="KR961" s="2"/>
    </row>
    <row r="962" spans="17:309" ht="15" customHeight="1" x14ac:dyDescent="0.25">
      <c r="Q962" s="1"/>
      <c r="R962" s="1"/>
      <c r="T962" s="1"/>
      <c r="Y962" s="2"/>
      <c r="AP962" s="2"/>
      <c r="HA962" s="155"/>
      <c r="IM962" s="2"/>
      <c r="KR962" s="2"/>
    </row>
    <row r="963" spans="17:309" ht="15" customHeight="1" x14ac:dyDescent="0.25">
      <c r="Q963" s="1"/>
      <c r="R963" s="1"/>
      <c r="S963" s="1"/>
      <c r="T963" s="1"/>
      <c r="Y963" s="2"/>
      <c r="AP963" s="2"/>
      <c r="HA963" s="155"/>
      <c r="IM963" s="2"/>
      <c r="KR963" s="2"/>
      <c r="KS963" s="2"/>
      <c r="KT963" s="2"/>
      <c r="KU963" s="2"/>
      <c r="KV963" s="2"/>
    </row>
    <row r="964" spans="17:309" ht="15" customHeight="1" x14ac:dyDescent="0.25">
      <c r="Q964" s="1"/>
      <c r="R964" s="1"/>
      <c r="S964" s="1"/>
      <c r="T964" s="1"/>
      <c r="Y964" s="2"/>
      <c r="AP964" s="2"/>
      <c r="HA964" s="155"/>
      <c r="IM964" s="2"/>
      <c r="KR964" s="2"/>
      <c r="KS964" s="2"/>
      <c r="KT964" s="2"/>
      <c r="KU964" s="2"/>
      <c r="KV964" s="2"/>
      <c r="KW964" s="2"/>
    </row>
    <row r="965" spans="17:309" ht="15" customHeight="1" x14ac:dyDescent="0.25">
      <c r="Q965" s="1"/>
      <c r="R965" s="1"/>
      <c r="S965" s="1"/>
      <c r="T965" s="1"/>
      <c r="Y965" s="2"/>
      <c r="AP965" s="2"/>
      <c r="HA965" s="155"/>
      <c r="IM965" s="2"/>
      <c r="KR965" s="2"/>
    </row>
    <row r="966" spans="17:309" ht="15" customHeight="1" x14ac:dyDescent="0.25">
      <c r="Q966" s="1"/>
      <c r="R966" s="1"/>
      <c r="S966" s="1"/>
      <c r="Y966" s="2"/>
      <c r="AP966" s="2"/>
      <c r="HA966" s="155"/>
      <c r="IM966" s="2"/>
    </row>
    <row r="967" spans="17:309" ht="15" customHeight="1" x14ac:dyDescent="0.25">
      <c r="Q967" s="1"/>
      <c r="R967" s="1"/>
      <c r="S967" s="1"/>
      <c r="T967" s="1"/>
      <c r="Y967" s="2"/>
      <c r="AP967" s="2"/>
      <c r="HA967" s="155"/>
      <c r="IM967" s="2"/>
      <c r="KR967" s="2"/>
      <c r="KS967" s="2"/>
    </row>
    <row r="968" spans="17:309" ht="15" customHeight="1" x14ac:dyDescent="0.25">
      <c r="Q968" s="1"/>
      <c r="R968" s="1"/>
      <c r="S968" s="1"/>
      <c r="T968" s="1"/>
      <c r="Y968" s="2"/>
      <c r="AP968" s="2"/>
      <c r="HA968" s="155"/>
      <c r="IM968" s="2"/>
      <c r="KR968" s="2"/>
      <c r="KS968" s="2"/>
    </row>
    <row r="969" spans="17:309" ht="15" customHeight="1" x14ac:dyDescent="0.25">
      <c r="Q969" s="1"/>
      <c r="R969" s="1"/>
      <c r="S969" s="1"/>
      <c r="T969" s="1"/>
      <c r="Y969" s="2"/>
      <c r="AP969" s="2"/>
      <c r="HA969" s="155"/>
      <c r="IM969" s="2"/>
      <c r="KR969" s="2"/>
      <c r="KS969" s="2"/>
    </row>
    <row r="970" spans="17:309" ht="15" customHeight="1" x14ac:dyDescent="0.25">
      <c r="Q970" s="1"/>
      <c r="R970" s="1"/>
      <c r="S970" s="1"/>
      <c r="T970" s="1"/>
      <c r="Y970" s="2"/>
      <c r="AP970" s="2"/>
      <c r="HA970" s="155"/>
      <c r="IM970" s="2"/>
      <c r="KR970" s="2"/>
    </row>
    <row r="971" spans="17:309" ht="15" customHeight="1" x14ac:dyDescent="0.25">
      <c r="Q971" s="1"/>
      <c r="R971" s="1"/>
      <c r="S971" s="1"/>
      <c r="T971" s="1"/>
      <c r="Y971" s="2"/>
      <c r="AP971" s="2"/>
      <c r="HA971" s="155"/>
      <c r="IM971" s="2"/>
      <c r="KR971" s="2"/>
    </row>
    <row r="972" spans="17:309" ht="15" customHeight="1" x14ac:dyDescent="0.25">
      <c r="Q972" s="1"/>
      <c r="R972" s="1"/>
      <c r="S972" s="1"/>
      <c r="T972" s="1"/>
      <c r="Y972" s="2"/>
      <c r="AP972" s="2"/>
      <c r="HA972" s="155"/>
      <c r="IM972" s="2"/>
      <c r="KR972" s="2"/>
      <c r="KS972" s="2"/>
    </row>
    <row r="973" spans="17:309" ht="15" customHeight="1" x14ac:dyDescent="0.25">
      <c r="Q973" s="1"/>
      <c r="R973" s="1"/>
      <c r="S973" s="1"/>
      <c r="T973" s="1"/>
      <c r="Y973" s="2"/>
      <c r="AP973" s="2"/>
      <c r="HA973" s="155"/>
      <c r="IM973" s="2"/>
      <c r="KR973" s="2"/>
    </row>
    <row r="974" spans="17:309" ht="15" customHeight="1" x14ac:dyDescent="0.25">
      <c r="Q974" s="1"/>
      <c r="R974" s="1"/>
      <c r="S974" s="1"/>
      <c r="T974" s="1"/>
      <c r="Y974" s="2"/>
      <c r="AP974" s="2"/>
      <c r="HA974" s="155"/>
      <c r="IM974" s="2"/>
      <c r="KR974" s="2"/>
      <c r="KS974" s="2"/>
    </row>
    <row r="975" spans="17:309" ht="15" customHeight="1" x14ac:dyDescent="0.25">
      <c r="Q975" s="1"/>
      <c r="R975" s="1"/>
      <c r="S975" s="1"/>
      <c r="T975" s="1"/>
      <c r="Y975" s="2"/>
      <c r="AP975" s="2"/>
      <c r="HA975" s="155"/>
      <c r="IM975" s="2"/>
      <c r="KR975" s="2"/>
      <c r="KS975" s="2"/>
    </row>
    <row r="976" spans="17:309" ht="15" customHeight="1" x14ac:dyDescent="0.25">
      <c r="Q976" s="1"/>
      <c r="R976" s="1"/>
      <c r="S976" s="1"/>
      <c r="T976" s="1"/>
      <c r="Y976" s="2"/>
      <c r="AP976" s="2"/>
      <c r="HA976" s="155"/>
      <c r="IM976" s="2"/>
      <c r="KR976" s="2"/>
    </row>
    <row r="977" spans="17:306" ht="15" customHeight="1" x14ac:dyDescent="0.25">
      <c r="Q977" s="1"/>
      <c r="R977" s="1"/>
      <c r="S977" s="1"/>
      <c r="T977" s="1"/>
      <c r="Y977" s="2"/>
      <c r="AP977" s="2"/>
      <c r="HA977" s="155"/>
      <c r="IM977" s="2"/>
      <c r="KR977" s="2"/>
    </row>
    <row r="978" spans="17:306" ht="15" customHeight="1" x14ac:dyDescent="0.25">
      <c r="Q978" s="1"/>
      <c r="R978" s="1"/>
      <c r="S978" s="1"/>
      <c r="T978" s="1"/>
      <c r="Y978" s="2"/>
      <c r="AP978" s="2"/>
      <c r="HA978" s="155"/>
      <c r="IM978" s="2"/>
    </row>
    <row r="979" spans="17:306" ht="15" customHeight="1" x14ac:dyDescent="0.25">
      <c r="Q979" s="1"/>
      <c r="R979" s="1"/>
      <c r="S979" s="1"/>
      <c r="T979" s="1"/>
      <c r="Y979" s="2"/>
      <c r="AP979" s="2"/>
      <c r="HA979" s="155"/>
      <c r="IM979" s="2"/>
    </row>
    <row r="980" spans="17:306" ht="15" customHeight="1" x14ac:dyDescent="0.25">
      <c r="Q980" s="1"/>
      <c r="R980" s="1"/>
      <c r="S980" s="1"/>
      <c r="T980" s="1"/>
      <c r="Y980" s="2"/>
      <c r="AP980" s="2"/>
      <c r="HA980" s="155"/>
      <c r="IM980" s="2"/>
      <c r="KR980" s="2"/>
    </row>
    <row r="981" spans="17:306" ht="15" customHeight="1" x14ac:dyDescent="0.25">
      <c r="Q981" s="1"/>
      <c r="R981" s="1"/>
      <c r="S981" s="1"/>
      <c r="T981" s="1"/>
      <c r="Y981" s="2"/>
      <c r="AP981" s="2"/>
      <c r="HA981" s="155"/>
      <c r="IM981" s="2"/>
      <c r="KR981" s="2"/>
    </row>
    <row r="982" spans="17:306" ht="15" customHeight="1" x14ac:dyDescent="0.25">
      <c r="Q982" s="1"/>
      <c r="R982" s="1"/>
      <c r="S982" s="1"/>
      <c r="T982" s="1"/>
      <c r="Y982" s="2"/>
      <c r="AP982" s="2"/>
      <c r="HA982" s="155"/>
      <c r="IM982" s="2"/>
      <c r="KR982" s="2"/>
      <c r="KS982" s="2"/>
    </row>
    <row r="983" spans="17:306" ht="15" customHeight="1" x14ac:dyDescent="0.25">
      <c r="Q983" s="1"/>
      <c r="R983" s="1"/>
      <c r="S983" s="1"/>
      <c r="T983" s="1"/>
      <c r="Y983" s="2"/>
      <c r="AP983" s="2"/>
      <c r="HA983" s="155"/>
      <c r="IM983" s="2"/>
      <c r="KR983" s="2"/>
      <c r="KS983" s="2"/>
    </row>
    <row r="984" spans="17:306" ht="15" customHeight="1" x14ac:dyDescent="0.25">
      <c r="Q984" s="1"/>
      <c r="R984" s="1"/>
      <c r="S984" s="1"/>
      <c r="T984" s="1"/>
      <c r="Y984" s="2"/>
      <c r="AP984" s="2"/>
      <c r="HA984" s="155"/>
      <c r="IM984" s="2"/>
      <c r="KR984" s="2"/>
      <c r="KS984" s="2"/>
    </row>
    <row r="985" spans="17:306" ht="15" customHeight="1" x14ac:dyDescent="0.25">
      <c r="Q985" s="1"/>
      <c r="R985" s="1"/>
      <c r="S985" s="1"/>
      <c r="T985" s="1"/>
      <c r="Y985" s="2"/>
      <c r="AP985" s="2"/>
      <c r="HA985" s="155"/>
      <c r="IM985" s="2"/>
      <c r="KR985" s="2"/>
    </row>
    <row r="986" spans="17:306" ht="15" customHeight="1" x14ac:dyDescent="0.25">
      <c r="Q986" s="1"/>
      <c r="R986" s="1"/>
      <c r="S986" s="1"/>
      <c r="T986" s="1"/>
      <c r="Y986" s="2"/>
      <c r="AP986" s="2"/>
      <c r="HA986" s="155"/>
      <c r="IM986" s="2"/>
    </row>
    <row r="987" spans="17:306" ht="15" customHeight="1" x14ac:dyDescent="0.25">
      <c r="Q987" s="1"/>
      <c r="R987" s="1"/>
      <c r="S987" s="1"/>
      <c r="T987" s="1"/>
      <c r="Y987" s="2"/>
      <c r="AP987" s="2"/>
      <c r="HA987" s="155"/>
      <c r="IM987" s="2"/>
    </row>
    <row r="988" spans="17:306" ht="15" customHeight="1" x14ac:dyDescent="0.25">
      <c r="Q988" s="1"/>
      <c r="R988" s="1"/>
      <c r="S988" s="1"/>
      <c r="T988" s="1"/>
      <c r="Y988" s="2"/>
      <c r="AP988" s="2"/>
      <c r="HA988" s="155"/>
      <c r="IM988" s="2"/>
    </row>
    <row r="989" spans="17:306" ht="15" customHeight="1" x14ac:dyDescent="0.25">
      <c r="Q989" s="1"/>
      <c r="R989" s="1"/>
      <c r="S989" s="1"/>
      <c r="T989" s="1"/>
      <c r="Y989" s="2"/>
      <c r="AP989" s="2"/>
      <c r="HA989" s="155"/>
      <c r="IM989" s="2"/>
      <c r="KR989" s="2"/>
      <c r="KS989" s="2"/>
      <c r="KT989" s="2"/>
    </row>
    <row r="990" spans="17:306" ht="15" customHeight="1" x14ac:dyDescent="0.25">
      <c r="Q990" s="1"/>
      <c r="R990" s="1"/>
      <c r="S990" s="1"/>
      <c r="T990" s="1"/>
      <c r="Y990" s="2"/>
      <c r="AP990" s="2"/>
      <c r="HA990" s="155"/>
      <c r="IM990" s="2"/>
      <c r="KR990" s="2"/>
    </row>
    <row r="991" spans="17:306" ht="15" customHeight="1" x14ac:dyDescent="0.25">
      <c r="Q991" s="1"/>
      <c r="R991" s="1"/>
      <c r="S991" s="1"/>
      <c r="T991" s="1"/>
      <c r="Y991" s="2"/>
      <c r="AP991" s="2"/>
      <c r="HA991" s="155"/>
      <c r="IM991" s="2"/>
      <c r="KR991" s="2"/>
    </row>
    <row r="992" spans="17:306" ht="15" customHeight="1" x14ac:dyDescent="0.25">
      <c r="Q992" s="1"/>
      <c r="R992" s="1"/>
      <c r="S992" s="1"/>
      <c r="T992" s="1"/>
      <c r="Y992" s="2"/>
      <c r="AP992" s="2"/>
      <c r="HA992" s="155"/>
      <c r="IM992" s="2"/>
      <c r="KR992" s="2"/>
    </row>
    <row r="993" spans="17:306" ht="15" customHeight="1" x14ac:dyDescent="0.25">
      <c r="Q993" s="1"/>
      <c r="R993" s="1"/>
      <c r="S993" s="1"/>
      <c r="T993" s="1"/>
      <c r="Y993" s="2"/>
      <c r="AP993" s="2"/>
      <c r="HA993" s="155"/>
      <c r="IM993" s="2"/>
      <c r="KR993" s="2"/>
      <c r="KS993" s="2"/>
    </row>
    <row r="994" spans="17:306" ht="15" customHeight="1" x14ac:dyDescent="0.25">
      <c r="Q994" s="1"/>
      <c r="R994" s="1"/>
      <c r="S994" s="1"/>
      <c r="T994" s="1"/>
      <c r="Y994" s="2"/>
      <c r="AP994" s="2"/>
      <c r="HA994" s="155"/>
      <c r="IM994" s="2"/>
      <c r="KR994" s="2"/>
    </row>
    <row r="995" spans="17:306" ht="15" customHeight="1" x14ac:dyDescent="0.25">
      <c r="Q995" s="1"/>
      <c r="R995" s="1"/>
      <c r="S995" s="1"/>
      <c r="T995" s="1"/>
      <c r="Y995" s="2"/>
      <c r="AP995" s="2"/>
      <c r="HA995" s="155"/>
      <c r="IM995" s="2"/>
      <c r="KR995" s="2"/>
      <c r="KS995" s="2"/>
      <c r="KT995" s="2"/>
    </row>
    <row r="996" spans="17:306" ht="15" customHeight="1" x14ac:dyDescent="0.25">
      <c r="Q996" s="1"/>
      <c r="R996" s="1"/>
      <c r="S996" s="1"/>
      <c r="T996" s="1"/>
      <c r="Y996" s="2"/>
      <c r="AP996" s="2"/>
      <c r="HA996" s="155"/>
      <c r="IM996" s="2"/>
      <c r="KR996" s="2"/>
    </row>
    <row r="997" spans="17:306" ht="15" customHeight="1" x14ac:dyDescent="0.25">
      <c r="Q997" s="1"/>
      <c r="R997" s="1"/>
      <c r="S997" s="1"/>
      <c r="T997" s="1"/>
      <c r="Y997" s="2"/>
      <c r="AP997" s="2"/>
      <c r="HA997" s="155"/>
      <c r="IM997" s="2"/>
      <c r="KR997" s="2"/>
    </row>
    <row r="998" spans="17:306" ht="15" customHeight="1" x14ac:dyDescent="0.25">
      <c r="Q998" s="1"/>
      <c r="R998" s="1"/>
      <c r="S998" s="1"/>
      <c r="T998" s="1"/>
      <c r="Y998" s="2"/>
      <c r="AP998" s="2"/>
      <c r="HA998" s="155"/>
      <c r="IM998" s="2"/>
      <c r="KR998" s="2"/>
    </row>
    <row r="999" spans="17:306" ht="15" customHeight="1" x14ac:dyDescent="0.25">
      <c r="Q999" s="1"/>
      <c r="R999" s="1"/>
      <c r="S999" s="1"/>
      <c r="T999" s="1"/>
      <c r="Y999" s="2"/>
      <c r="AP999" s="2"/>
      <c r="HA999" s="155"/>
      <c r="IM999" s="2"/>
      <c r="KR999" s="2"/>
    </row>
    <row r="1000" spans="17:306" ht="15" customHeight="1" x14ac:dyDescent="0.25">
      <c r="Q1000" s="1"/>
      <c r="R1000" s="1"/>
      <c r="S1000" s="1"/>
      <c r="T1000" s="1"/>
      <c r="Y1000" s="2"/>
      <c r="AP1000" s="2"/>
      <c r="HA1000" s="155"/>
      <c r="IM1000" s="2"/>
    </row>
    <row r="1001" spans="17:306" ht="15" customHeight="1" x14ac:dyDescent="0.25">
      <c r="Q1001" s="1"/>
      <c r="R1001" s="1"/>
      <c r="S1001" s="1"/>
      <c r="T1001" s="1"/>
      <c r="Y1001" s="2"/>
      <c r="AP1001" s="2"/>
      <c r="HA1001" s="155"/>
      <c r="IM1001" s="2"/>
      <c r="KR1001" s="2"/>
    </row>
    <row r="1002" spans="17:306" ht="15" customHeight="1" x14ac:dyDescent="0.25">
      <c r="Q1002" s="1"/>
      <c r="R1002" s="1"/>
      <c r="S1002" s="1"/>
      <c r="T1002" s="1"/>
      <c r="Y1002" s="2"/>
      <c r="AP1002" s="2"/>
      <c r="HA1002" s="155"/>
      <c r="IM1002" s="2"/>
      <c r="KR1002" s="2"/>
      <c r="KS1002" s="2"/>
    </row>
    <row r="1003" spans="17:306" ht="15" customHeight="1" x14ac:dyDescent="0.25">
      <c r="Q1003" s="1"/>
      <c r="R1003" s="1"/>
      <c r="S1003" s="1"/>
      <c r="T1003" s="1"/>
      <c r="Y1003" s="2"/>
      <c r="AP1003" s="2"/>
      <c r="HA1003" s="155"/>
      <c r="IM1003" s="2"/>
      <c r="KR1003" s="2"/>
      <c r="KS1003" s="2"/>
    </row>
    <row r="1004" spans="17:306" ht="15" customHeight="1" x14ac:dyDescent="0.25">
      <c r="Q1004" s="1"/>
      <c r="R1004" s="1"/>
      <c r="S1004" s="1"/>
      <c r="T1004" s="1"/>
      <c r="Y1004" s="2"/>
      <c r="AP1004" s="2"/>
      <c r="HA1004" s="155"/>
      <c r="IM1004" s="2"/>
    </row>
    <row r="1005" spans="17:306" ht="15" customHeight="1" x14ac:dyDescent="0.25">
      <c r="Q1005" s="1"/>
      <c r="R1005" s="1"/>
      <c r="S1005" s="1"/>
      <c r="T1005" s="1"/>
      <c r="Y1005" s="2"/>
      <c r="AP1005" s="2"/>
      <c r="HA1005" s="155"/>
      <c r="IM1005" s="2"/>
    </row>
    <row r="1006" spans="17:306" ht="15" customHeight="1" x14ac:dyDescent="0.25">
      <c r="Q1006" s="1"/>
      <c r="R1006" s="1"/>
      <c r="S1006" s="1"/>
      <c r="T1006" s="1"/>
      <c r="Y1006" s="2"/>
      <c r="AP1006" s="2"/>
      <c r="HA1006" s="155"/>
      <c r="IM1006" s="2"/>
    </row>
    <row r="1007" spans="17:306" ht="15" customHeight="1" x14ac:dyDescent="0.25">
      <c r="Q1007" s="1"/>
      <c r="R1007" s="1"/>
      <c r="S1007" s="1"/>
      <c r="T1007" s="1"/>
      <c r="Y1007" s="2"/>
      <c r="AP1007" s="2"/>
      <c r="HA1007" s="155"/>
      <c r="IM1007" s="2"/>
    </row>
    <row r="1008" spans="17:306" ht="15" customHeight="1" x14ac:dyDescent="0.25">
      <c r="Q1008" s="1"/>
      <c r="R1008" s="1"/>
      <c r="S1008" s="1"/>
      <c r="T1008" s="1"/>
      <c r="Y1008" s="2"/>
      <c r="AP1008" s="2"/>
      <c r="HA1008" s="155"/>
      <c r="IM1008" s="2"/>
      <c r="KR1008" s="2"/>
    </row>
    <row r="1009" spans="17:307" ht="15" customHeight="1" x14ac:dyDescent="0.25">
      <c r="Q1009" s="1"/>
      <c r="R1009" s="1"/>
      <c r="S1009" s="1"/>
      <c r="T1009" s="1"/>
      <c r="Y1009" s="2"/>
      <c r="AP1009" s="2"/>
      <c r="HA1009" s="155"/>
      <c r="IM1009" s="2"/>
      <c r="KR1009" s="2"/>
    </row>
    <row r="1010" spans="17:307" ht="15" customHeight="1" x14ac:dyDescent="0.25">
      <c r="Q1010" s="1"/>
      <c r="R1010" s="1"/>
      <c r="S1010" s="1"/>
      <c r="T1010" s="1"/>
      <c r="Y1010" s="2"/>
      <c r="AP1010" s="2"/>
      <c r="HA1010" s="155"/>
      <c r="IM1010" s="2"/>
    </row>
    <row r="1011" spans="17:307" ht="15" customHeight="1" x14ac:dyDescent="0.25">
      <c r="Q1011" s="1"/>
      <c r="R1011" s="1"/>
      <c r="S1011" s="1"/>
      <c r="T1011" s="1"/>
      <c r="Y1011" s="2"/>
      <c r="AP1011" s="2"/>
      <c r="HA1011" s="155"/>
      <c r="IM1011" s="2"/>
      <c r="KR1011" s="2"/>
      <c r="KS1011" s="2"/>
      <c r="KT1011" s="2"/>
    </row>
    <row r="1012" spans="17:307" ht="15" customHeight="1" x14ac:dyDescent="0.25">
      <c r="Q1012" s="1"/>
      <c r="R1012" s="1"/>
      <c r="S1012" s="1"/>
      <c r="Y1012" s="2"/>
      <c r="AP1012" s="2"/>
      <c r="HA1012" s="155"/>
      <c r="IM1012" s="2"/>
    </row>
    <row r="1013" spans="17:307" ht="15" customHeight="1" x14ac:dyDescent="0.25">
      <c r="Q1013" s="1"/>
      <c r="R1013" s="1"/>
      <c r="S1013" s="1"/>
      <c r="T1013" s="1"/>
      <c r="Y1013" s="2"/>
      <c r="AP1013" s="2"/>
      <c r="HA1013" s="155"/>
      <c r="IM1013" s="2"/>
    </row>
    <row r="1014" spans="17:307" ht="15" customHeight="1" x14ac:dyDescent="0.25">
      <c r="Q1014" s="1"/>
      <c r="R1014" s="1"/>
      <c r="S1014" s="1"/>
      <c r="T1014" s="1"/>
      <c r="Y1014" s="2"/>
      <c r="AP1014" s="2"/>
      <c r="HA1014" s="155"/>
      <c r="IM1014" s="2"/>
    </row>
    <row r="1015" spans="17:307" ht="15" customHeight="1" x14ac:dyDescent="0.25">
      <c r="Q1015" s="1"/>
      <c r="R1015" s="1"/>
      <c r="S1015" s="1"/>
      <c r="T1015" s="1"/>
      <c r="Y1015" s="2"/>
      <c r="AP1015" s="2"/>
      <c r="HA1015" s="155"/>
      <c r="IM1015" s="2"/>
    </row>
    <row r="1016" spans="17:307" ht="15" customHeight="1" x14ac:dyDescent="0.25">
      <c r="Q1016" s="1"/>
      <c r="R1016" s="1"/>
      <c r="S1016" s="1"/>
      <c r="T1016" s="1"/>
      <c r="Y1016" s="2"/>
      <c r="AP1016" s="2"/>
      <c r="HA1016" s="155"/>
      <c r="IM1016" s="2"/>
      <c r="KR1016" s="2"/>
      <c r="KS1016" s="2"/>
    </row>
    <row r="1017" spans="17:307" ht="15" customHeight="1" x14ac:dyDescent="0.25">
      <c r="Q1017" s="1"/>
      <c r="R1017" s="1"/>
      <c r="S1017" s="1"/>
      <c r="T1017" s="1"/>
      <c r="Y1017" s="2"/>
      <c r="AP1017" s="2"/>
      <c r="HA1017" s="155"/>
      <c r="IM1017" s="2"/>
    </row>
    <row r="1018" spans="17:307" ht="15" customHeight="1" x14ac:dyDescent="0.25">
      <c r="Q1018" s="1"/>
      <c r="R1018" s="1"/>
      <c r="S1018" s="1"/>
      <c r="T1018" s="1"/>
      <c r="Y1018" s="2"/>
      <c r="AP1018" s="2"/>
      <c r="HA1018" s="155"/>
      <c r="IM1018" s="2"/>
      <c r="KR1018" s="2"/>
      <c r="KS1018" s="2"/>
      <c r="KT1018" s="2"/>
      <c r="KU1018" s="2"/>
    </row>
    <row r="1019" spans="17:307" ht="15" customHeight="1" x14ac:dyDescent="0.25">
      <c r="Q1019" s="1"/>
      <c r="R1019" s="1"/>
      <c r="S1019" s="1"/>
      <c r="Y1019" s="2"/>
      <c r="AP1019" s="2"/>
      <c r="HA1019" s="155"/>
      <c r="IM1019" s="2"/>
    </row>
    <row r="1020" spans="17:307" ht="15" customHeight="1" x14ac:dyDescent="0.25">
      <c r="Q1020" s="1"/>
      <c r="R1020" s="1"/>
      <c r="S1020" s="1"/>
      <c r="T1020" s="1"/>
      <c r="Y1020" s="2"/>
      <c r="AP1020" s="2"/>
      <c r="HA1020" s="155"/>
      <c r="IM1020" s="2"/>
      <c r="KR1020" s="2"/>
    </row>
    <row r="1021" spans="17:307" ht="15" customHeight="1" x14ac:dyDescent="0.25">
      <c r="Q1021" s="1"/>
      <c r="R1021" s="1"/>
      <c r="S1021" s="1"/>
      <c r="T1021" s="1"/>
      <c r="Y1021" s="2"/>
      <c r="AP1021" s="2"/>
      <c r="HA1021" s="155"/>
      <c r="IM1021" s="2"/>
      <c r="KR1021" s="2"/>
    </row>
    <row r="1022" spans="17:307" ht="15" customHeight="1" x14ac:dyDescent="0.25">
      <c r="Q1022" s="1"/>
      <c r="R1022" s="1"/>
      <c r="S1022" s="1"/>
      <c r="T1022" s="1"/>
      <c r="Y1022" s="2"/>
      <c r="AP1022" s="2"/>
      <c r="HA1022" s="155"/>
      <c r="IM1022" s="2"/>
      <c r="KR1022" s="2"/>
    </row>
    <row r="1023" spans="17:307" ht="15" customHeight="1" x14ac:dyDescent="0.25">
      <c r="Q1023" s="1"/>
      <c r="R1023" s="1"/>
      <c r="S1023" s="1"/>
      <c r="T1023" s="1"/>
      <c r="Y1023" s="2"/>
      <c r="AP1023" s="2"/>
      <c r="HA1023" s="155"/>
      <c r="IM1023" s="2"/>
      <c r="KR1023" s="2"/>
    </row>
    <row r="1024" spans="17:307" ht="15" customHeight="1" x14ac:dyDescent="0.25">
      <c r="Q1024" s="1"/>
      <c r="R1024" s="1"/>
      <c r="S1024" s="1"/>
      <c r="T1024" s="1"/>
      <c r="Y1024" s="2"/>
      <c r="AP1024" s="2"/>
      <c r="HA1024" s="155"/>
      <c r="IM1024" s="2"/>
      <c r="KR1024" s="2"/>
    </row>
    <row r="1025" spans="17:311" ht="15" customHeight="1" x14ac:dyDescent="0.25">
      <c r="Q1025" s="1"/>
      <c r="R1025" s="1"/>
      <c r="S1025" s="1"/>
      <c r="T1025" s="1"/>
      <c r="Y1025" s="2"/>
      <c r="AP1025" s="2"/>
      <c r="HA1025" s="155"/>
      <c r="IM1025" s="2"/>
      <c r="KR1025" s="2"/>
      <c r="KS1025" s="2"/>
      <c r="KT1025" s="2"/>
    </row>
    <row r="1026" spans="17:311" ht="15" customHeight="1" x14ac:dyDescent="0.25">
      <c r="Q1026" s="1"/>
      <c r="R1026" s="1"/>
      <c r="S1026" s="1"/>
      <c r="T1026" s="1"/>
      <c r="Y1026" s="2"/>
      <c r="AP1026" s="2"/>
      <c r="HA1026" s="155"/>
      <c r="IM1026" s="2"/>
      <c r="KR1026" s="2"/>
      <c r="KS1026" s="2"/>
      <c r="KT1026" s="2"/>
    </row>
    <row r="1027" spans="17:311" ht="15" customHeight="1" x14ac:dyDescent="0.25">
      <c r="Q1027" s="1"/>
      <c r="R1027" s="1"/>
      <c r="S1027" s="1"/>
      <c r="T1027" s="1"/>
      <c r="Y1027" s="2"/>
      <c r="AP1027" s="2"/>
      <c r="HA1027" s="155"/>
      <c r="IM1027" s="2"/>
      <c r="KR1027" s="2"/>
      <c r="KS1027" s="2"/>
    </row>
    <row r="1028" spans="17:311" ht="15" customHeight="1" x14ac:dyDescent="0.25">
      <c r="Q1028" s="1"/>
      <c r="R1028" s="1"/>
      <c r="S1028" s="1"/>
      <c r="T1028" s="1"/>
      <c r="Y1028" s="2"/>
      <c r="AP1028" s="2"/>
      <c r="HA1028" s="155"/>
      <c r="IM1028" s="2"/>
      <c r="KR1028" s="2"/>
    </row>
    <row r="1029" spans="17:311" ht="15" customHeight="1" x14ac:dyDescent="0.25">
      <c r="Q1029" s="1"/>
      <c r="R1029" s="1"/>
      <c r="S1029" s="1"/>
      <c r="T1029" s="1"/>
      <c r="Y1029" s="2"/>
      <c r="AP1029" s="2"/>
      <c r="HA1029" s="155"/>
      <c r="IM1029" s="2"/>
      <c r="KR1029" s="2"/>
    </row>
    <row r="1030" spans="17:311" ht="15" customHeight="1" x14ac:dyDescent="0.25">
      <c r="Q1030" s="1"/>
      <c r="R1030" s="1"/>
      <c r="S1030" s="1"/>
      <c r="T1030" s="1"/>
      <c r="Y1030" s="2"/>
      <c r="AP1030" s="2"/>
      <c r="HA1030" s="155"/>
      <c r="IM1030" s="2"/>
      <c r="KR1030" s="2"/>
    </row>
    <row r="1031" spans="17:311" ht="15" customHeight="1" x14ac:dyDescent="0.25">
      <c r="Q1031" s="1"/>
      <c r="R1031" s="1"/>
      <c r="S1031" s="1"/>
      <c r="T1031" s="1"/>
      <c r="Y1031" s="2"/>
      <c r="AP1031" s="2"/>
      <c r="HA1031" s="155"/>
      <c r="IM1031" s="2"/>
      <c r="KR1031" s="2"/>
      <c r="KS1031" s="2"/>
      <c r="KT1031" s="2"/>
      <c r="KU1031" s="2"/>
      <c r="KV1031" s="2"/>
      <c r="KW1031" s="2"/>
      <c r="KX1031" s="2"/>
      <c r="KY1031" s="2"/>
    </row>
    <row r="1032" spans="17:311" ht="15" customHeight="1" x14ac:dyDescent="0.25">
      <c r="Q1032" s="1"/>
      <c r="R1032" s="1"/>
      <c r="S1032" s="1"/>
      <c r="T1032" s="1"/>
      <c r="Y1032" s="2"/>
      <c r="AP1032" s="2"/>
      <c r="HA1032" s="155"/>
      <c r="IM1032" s="2"/>
      <c r="KR1032" s="2"/>
    </row>
    <row r="1033" spans="17:311" ht="15" customHeight="1" x14ac:dyDescent="0.25">
      <c r="Q1033" s="1"/>
      <c r="R1033" s="1"/>
      <c r="S1033" s="1"/>
      <c r="T1033" s="1"/>
      <c r="Y1033" s="2"/>
      <c r="AP1033" s="2"/>
      <c r="HA1033" s="155"/>
      <c r="IM1033" s="2"/>
      <c r="KR1033" s="2"/>
      <c r="KS1033" s="2"/>
      <c r="KT1033" s="2"/>
    </row>
    <row r="1034" spans="17:311" ht="15" customHeight="1" x14ac:dyDescent="0.25">
      <c r="Q1034" s="1"/>
      <c r="R1034" s="1"/>
      <c r="S1034" s="1"/>
      <c r="T1034" s="1"/>
      <c r="Y1034" s="2"/>
      <c r="AP1034" s="2"/>
      <c r="HA1034" s="155"/>
      <c r="IM1034" s="2"/>
      <c r="KR1034" s="2"/>
    </row>
    <row r="1035" spans="17:311" ht="15" customHeight="1" x14ac:dyDescent="0.25">
      <c r="Q1035" s="1"/>
      <c r="R1035" s="1"/>
      <c r="S1035" s="1"/>
      <c r="T1035" s="1"/>
      <c r="Y1035" s="2"/>
      <c r="AP1035" s="2"/>
      <c r="HA1035" s="155"/>
      <c r="IM1035" s="2"/>
      <c r="KR1035" s="2"/>
    </row>
    <row r="1036" spans="17:311" ht="15" customHeight="1" x14ac:dyDescent="0.25">
      <c r="Q1036" s="1"/>
      <c r="R1036" s="1"/>
      <c r="S1036" s="1"/>
      <c r="T1036" s="1"/>
      <c r="Y1036" s="2"/>
      <c r="AP1036" s="2"/>
      <c r="HA1036" s="155"/>
      <c r="IM1036" s="2"/>
      <c r="KR1036" s="2"/>
    </row>
    <row r="1037" spans="17:311" ht="15" customHeight="1" x14ac:dyDescent="0.25">
      <c r="Q1037" s="1"/>
      <c r="R1037" s="1"/>
      <c r="S1037" s="1"/>
      <c r="T1037" s="1"/>
      <c r="Y1037" s="2"/>
      <c r="AP1037" s="2"/>
      <c r="HA1037" s="155"/>
      <c r="IM1037" s="2"/>
    </row>
    <row r="1038" spans="17:311" ht="15" customHeight="1" x14ac:dyDescent="0.25">
      <c r="Q1038" s="1"/>
      <c r="R1038" s="1"/>
      <c r="S1038" s="1"/>
      <c r="T1038" s="1"/>
      <c r="Y1038" s="2"/>
      <c r="AP1038" s="2"/>
      <c r="HA1038" s="155"/>
      <c r="IM1038" s="2"/>
      <c r="KR1038" s="2"/>
      <c r="KS1038" s="2"/>
    </row>
    <row r="1039" spans="17:311" ht="15" customHeight="1" x14ac:dyDescent="0.25">
      <c r="Q1039" s="1"/>
      <c r="R1039" s="1"/>
      <c r="S1039" s="1"/>
      <c r="T1039" s="1"/>
      <c r="Y1039" s="2"/>
      <c r="AP1039" s="2"/>
      <c r="HA1039" s="155"/>
      <c r="IM1039" s="2"/>
      <c r="KR1039" s="2"/>
    </row>
    <row r="1040" spans="17:311" ht="15" customHeight="1" x14ac:dyDescent="0.25">
      <c r="Q1040" s="1"/>
      <c r="R1040" s="1"/>
      <c r="S1040" s="1"/>
      <c r="T1040" s="1"/>
      <c r="Y1040" s="2"/>
      <c r="AP1040" s="2"/>
      <c r="HA1040" s="155"/>
      <c r="IM1040" s="2"/>
      <c r="KR1040" s="2"/>
      <c r="KS1040" s="2"/>
    </row>
    <row r="1041" spans="17:309" ht="15" customHeight="1" x14ac:dyDescent="0.25">
      <c r="Q1041" s="1"/>
      <c r="R1041" s="1"/>
      <c r="S1041" s="1"/>
      <c r="T1041" s="1"/>
      <c r="Y1041" s="2"/>
      <c r="AP1041" s="2"/>
      <c r="HA1041" s="155"/>
      <c r="IM1041" s="2"/>
      <c r="KR1041" s="2"/>
    </row>
    <row r="1042" spans="17:309" ht="15" customHeight="1" x14ac:dyDescent="0.25">
      <c r="Q1042" s="1"/>
      <c r="R1042" s="1"/>
      <c r="S1042" s="1"/>
      <c r="T1042" s="1"/>
      <c r="Y1042" s="2"/>
      <c r="AP1042" s="2"/>
      <c r="HA1042" s="155"/>
      <c r="IM1042" s="2"/>
      <c r="KR1042" s="2"/>
    </row>
    <row r="1043" spans="17:309" ht="15" customHeight="1" x14ac:dyDescent="0.25">
      <c r="Q1043" s="1"/>
      <c r="R1043" s="1"/>
      <c r="S1043" s="1"/>
      <c r="T1043" s="1"/>
      <c r="Y1043" s="2"/>
      <c r="AP1043" s="2"/>
      <c r="HA1043" s="155"/>
      <c r="IM1043" s="2"/>
      <c r="KR1043" s="2"/>
    </row>
    <row r="1044" spans="17:309" ht="15" customHeight="1" x14ac:dyDescent="0.25">
      <c r="Q1044" s="1"/>
      <c r="R1044" s="1"/>
      <c r="S1044" s="1"/>
      <c r="T1044" s="1"/>
      <c r="Y1044" s="2"/>
      <c r="AP1044" s="2"/>
      <c r="HA1044" s="155"/>
      <c r="IM1044" s="2"/>
      <c r="KR1044" s="2"/>
      <c r="KS1044" s="2"/>
      <c r="KT1044" s="2"/>
      <c r="KU1044" s="2"/>
    </row>
    <row r="1045" spans="17:309" ht="15" customHeight="1" x14ac:dyDescent="0.25">
      <c r="Q1045" s="1"/>
      <c r="R1045" s="1"/>
      <c r="S1045" s="1"/>
      <c r="T1045" s="1"/>
      <c r="Y1045" s="2"/>
      <c r="AP1045" s="2"/>
      <c r="HA1045" s="155"/>
      <c r="IM1045" s="2"/>
      <c r="KR1045" s="2"/>
      <c r="KS1045" s="2"/>
      <c r="KT1045" s="2"/>
      <c r="KU1045" s="2"/>
    </row>
    <row r="1046" spans="17:309" ht="15" customHeight="1" x14ac:dyDescent="0.25">
      <c r="Q1046" s="1"/>
      <c r="R1046" s="1"/>
      <c r="S1046" s="1"/>
      <c r="T1046" s="1"/>
      <c r="Y1046" s="2"/>
      <c r="AP1046" s="2"/>
      <c r="HA1046" s="155"/>
      <c r="IM1046" s="2"/>
      <c r="KR1046" s="2"/>
    </row>
    <row r="1047" spans="17:309" ht="15" customHeight="1" x14ac:dyDescent="0.25">
      <c r="Q1047" s="1"/>
      <c r="R1047" s="1"/>
      <c r="S1047" s="1"/>
      <c r="T1047" s="1"/>
      <c r="Y1047" s="2"/>
      <c r="AP1047" s="2"/>
      <c r="HA1047" s="155"/>
      <c r="IM1047" s="2"/>
      <c r="KR1047" s="2"/>
    </row>
    <row r="1048" spans="17:309" ht="15" customHeight="1" x14ac:dyDescent="0.25">
      <c r="Q1048" s="1"/>
      <c r="R1048" s="1"/>
      <c r="S1048" s="1"/>
      <c r="T1048" s="1"/>
      <c r="Y1048" s="2"/>
      <c r="AP1048" s="2"/>
      <c r="HA1048" s="155"/>
      <c r="IM1048" s="2"/>
      <c r="KR1048" s="2"/>
    </row>
    <row r="1049" spans="17:309" ht="15" customHeight="1" x14ac:dyDescent="0.25">
      <c r="Q1049" s="1"/>
      <c r="R1049" s="1"/>
      <c r="S1049" s="1"/>
      <c r="T1049" s="1"/>
      <c r="Y1049" s="2"/>
      <c r="AP1049" s="2"/>
      <c r="HA1049" s="155"/>
      <c r="IM1049" s="2"/>
      <c r="KR1049" s="2"/>
    </row>
    <row r="1050" spans="17:309" ht="15" customHeight="1" x14ac:dyDescent="0.25">
      <c r="Q1050" s="1"/>
      <c r="R1050" s="1"/>
      <c r="S1050" s="1"/>
      <c r="T1050" s="1"/>
      <c r="Y1050" s="2"/>
      <c r="AP1050" s="2"/>
      <c r="HA1050" s="155"/>
      <c r="IM1050" s="2"/>
      <c r="KR1050" s="2"/>
    </row>
    <row r="1051" spans="17:309" ht="15" customHeight="1" x14ac:dyDescent="0.25">
      <c r="Q1051" s="1"/>
      <c r="R1051" s="1"/>
      <c r="S1051" s="1"/>
      <c r="T1051" s="1"/>
      <c r="Y1051" s="2"/>
      <c r="AP1051" s="2"/>
      <c r="HA1051" s="155"/>
      <c r="IM1051" s="2"/>
      <c r="KR1051" s="2"/>
    </row>
    <row r="1052" spans="17:309" ht="15" customHeight="1" x14ac:dyDescent="0.25">
      <c r="Q1052" s="1"/>
      <c r="R1052" s="1"/>
      <c r="S1052" s="1"/>
      <c r="T1052" s="1"/>
      <c r="Y1052" s="2"/>
      <c r="AP1052" s="2"/>
      <c r="HA1052" s="155"/>
      <c r="IM1052" s="2"/>
      <c r="KR1052" s="2"/>
    </row>
    <row r="1053" spans="17:309" ht="15" customHeight="1" x14ac:dyDescent="0.25">
      <c r="Q1053" s="1"/>
      <c r="R1053" s="1"/>
      <c r="S1053" s="1"/>
      <c r="T1053" s="1"/>
      <c r="Y1053" s="2"/>
      <c r="AP1053" s="2"/>
      <c r="HA1053" s="155"/>
      <c r="IM1053" s="2"/>
      <c r="KR1053" s="2"/>
    </row>
    <row r="1054" spans="17:309" ht="15" customHeight="1" x14ac:dyDescent="0.25">
      <c r="Q1054" s="1"/>
      <c r="R1054" s="1"/>
      <c r="S1054" s="1"/>
      <c r="T1054" s="1"/>
      <c r="Y1054" s="2"/>
      <c r="AP1054" s="2"/>
      <c r="HA1054" s="155"/>
      <c r="IM1054" s="2"/>
      <c r="KR1054" s="2"/>
      <c r="KS1054" s="2"/>
      <c r="KT1054" s="2"/>
      <c r="KU1054" s="2"/>
    </row>
    <row r="1055" spans="17:309" ht="15" customHeight="1" x14ac:dyDescent="0.25">
      <c r="Q1055" s="1"/>
      <c r="R1055" s="1"/>
      <c r="S1055" s="1"/>
      <c r="T1055" s="1"/>
      <c r="Y1055" s="2"/>
      <c r="AP1055" s="2"/>
      <c r="HA1055" s="155"/>
      <c r="IM1055" s="2"/>
      <c r="KR1055" s="2"/>
      <c r="KS1055" s="2"/>
      <c r="KT1055" s="2"/>
    </row>
    <row r="1056" spans="17:309" ht="15" customHeight="1" x14ac:dyDescent="0.25">
      <c r="Q1056" s="1"/>
      <c r="R1056" s="1"/>
      <c r="S1056" s="1"/>
      <c r="T1056" s="1"/>
      <c r="Y1056" s="2"/>
      <c r="AP1056" s="2"/>
      <c r="HA1056" s="155"/>
      <c r="IM1056" s="2"/>
      <c r="KR1056" s="2"/>
      <c r="KS1056" s="2"/>
      <c r="KT1056" s="2"/>
      <c r="KU1056" s="2"/>
      <c r="KV1056" s="2"/>
      <c r="KW1056" s="2"/>
    </row>
    <row r="1057" spans="17:306" ht="15" customHeight="1" x14ac:dyDescent="0.25">
      <c r="Q1057" s="1"/>
      <c r="R1057" s="1"/>
      <c r="S1057" s="1"/>
      <c r="T1057" s="1"/>
      <c r="Y1057" s="2"/>
      <c r="AP1057" s="2"/>
      <c r="HA1057" s="155"/>
      <c r="IM1057" s="2"/>
      <c r="KR1057" s="2"/>
      <c r="KS1057" s="2"/>
    </row>
    <row r="1058" spans="17:306" ht="15" customHeight="1" x14ac:dyDescent="0.25">
      <c r="Q1058" s="1"/>
      <c r="R1058" s="1"/>
      <c r="S1058" s="1"/>
      <c r="T1058" s="1"/>
      <c r="Y1058" s="2"/>
      <c r="AP1058" s="2"/>
      <c r="HA1058" s="155"/>
      <c r="IM1058" s="2"/>
    </row>
    <row r="1059" spans="17:306" ht="15" customHeight="1" x14ac:dyDescent="0.25">
      <c r="Q1059" s="1"/>
      <c r="R1059" s="1"/>
      <c r="S1059" s="1"/>
      <c r="T1059" s="1"/>
      <c r="Y1059" s="2"/>
      <c r="AP1059" s="2"/>
      <c r="HA1059" s="155"/>
      <c r="IM1059" s="2"/>
      <c r="KR1059" s="2"/>
      <c r="KS1059" s="2"/>
      <c r="KT1059" s="2"/>
    </row>
    <row r="1060" spans="17:306" ht="15" customHeight="1" x14ac:dyDescent="0.25">
      <c r="Q1060" s="1"/>
      <c r="R1060" s="1"/>
      <c r="S1060" s="1"/>
      <c r="T1060" s="1"/>
      <c r="Y1060" s="2"/>
      <c r="AP1060" s="2"/>
      <c r="HA1060" s="155"/>
      <c r="IM1060" s="2"/>
      <c r="KR1060" s="2"/>
      <c r="KS1060" s="2"/>
      <c r="KT1060" s="2"/>
    </row>
    <row r="1061" spans="17:306" ht="15" customHeight="1" x14ac:dyDescent="0.25">
      <c r="Q1061" s="1"/>
      <c r="R1061" s="1"/>
      <c r="S1061" s="1"/>
      <c r="T1061" s="1"/>
      <c r="Y1061" s="2"/>
      <c r="AP1061" s="2"/>
      <c r="HA1061" s="155"/>
      <c r="IM1061" s="2"/>
      <c r="KR1061" s="2"/>
      <c r="KS1061" s="2"/>
      <c r="KT1061" s="2"/>
    </row>
    <row r="1062" spans="17:306" ht="15" customHeight="1" x14ac:dyDescent="0.25">
      <c r="Q1062" s="1"/>
      <c r="R1062" s="1"/>
      <c r="T1062" s="1"/>
      <c r="Y1062" s="2"/>
      <c r="AP1062" s="2"/>
      <c r="HA1062" s="155"/>
      <c r="IM1062" s="2"/>
      <c r="KR1062" s="2"/>
    </row>
    <row r="1063" spans="17:306" ht="15" customHeight="1" x14ac:dyDescent="0.25">
      <c r="Q1063" s="1"/>
      <c r="R1063" s="1"/>
      <c r="S1063" s="1"/>
      <c r="T1063" s="1"/>
      <c r="Y1063" s="2"/>
      <c r="AP1063" s="2"/>
      <c r="HA1063" s="155"/>
      <c r="IM1063" s="2"/>
    </row>
    <row r="1064" spans="17:306" ht="15" customHeight="1" x14ac:dyDescent="0.25">
      <c r="Q1064" s="1"/>
      <c r="R1064" s="1"/>
      <c r="S1064" s="1"/>
      <c r="T1064" s="1"/>
      <c r="Y1064" s="2"/>
      <c r="AP1064" s="2"/>
      <c r="HA1064" s="155"/>
      <c r="IM1064" s="2"/>
      <c r="KR1064" s="2"/>
      <c r="KS1064" s="2"/>
      <c r="KT1064" s="2"/>
    </row>
    <row r="1065" spans="17:306" ht="15" customHeight="1" x14ac:dyDescent="0.25">
      <c r="Q1065" s="1"/>
      <c r="R1065" s="1"/>
      <c r="S1065" s="1"/>
      <c r="T1065" s="1"/>
      <c r="Y1065" s="2"/>
      <c r="AP1065" s="2"/>
      <c r="HA1065" s="155"/>
      <c r="IM1065" s="2"/>
    </row>
    <row r="1066" spans="17:306" ht="15" customHeight="1" x14ac:dyDescent="0.25">
      <c r="Q1066" s="1"/>
      <c r="R1066" s="1"/>
      <c r="S1066" s="1"/>
      <c r="T1066" s="1"/>
      <c r="Y1066" s="2"/>
      <c r="AP1066" s="2"/>
      <c r="HA1066" s="155"/>
      <c r="IM1066" s="2"/>
      <c r="KR1066" s="2"/>
    </row>
    <row r="1067" spans="17:306" ht="15" customHeight="1" x14ac:dyDescent="0.25">
      <c r="Q1067" s="1"/>
      <c r="R1067" s="1"/>
      <c r="S1067" s="1"/>
      <c r="T1067" s="1"/>
      <c r="Y1067" s="2"/>
      <c r="AP1067" s="2"/>
      <c r="HA1067" s="155"/>
      <c r="IM1067" s="2"/>
      <c r="KR1067" s="2"/>
    </row>
    <row r="1068" spans="17:306" ht="15" customHeight="1" x14ac:dyDescent="0.25">
      <c r="Q1068" s="1"/>
      <c r="R1068" s="1"/>
      <c r="S1068" s="1"/>
      <c r="T1068" s="1"/>
      <c r="Y1068" s="2"/>
      <c r="AP1068" s="2"/>
      <c r="HA1068" s="155"/>
      <c r="IM1068" s="2"/>
      <c r="KR1068" s="2"/>
    </row>
    <row r="1069" spans="17:306" ht="15" customHeight="1" x14ac:dyDescent="0.25">
      <c r="Q1069" s="1"/>
      <c r="R1069" s="1"/>
      <c r="S1069" s="1"/>
      <c r="T1069" s="1"/>
      <c r="Y1069" s="2"/>
      <c r="AP1069" s="2"/>
      <c r="HA1069" s="155"/>
      <c r="IM1069" s="2"/>
      <c r="KR1069" s="2"/>
      <c r="KS1069" s="2"/>
    </row>
    <row r="1070" spans="17:306" ht="15" customHeight="1" x14ac:dyDescent="0.25">
      <c r="Q1070" s="1"/>
      <c r="R1070" s="1"/>
      <c r="S1070" s="1"/>
      <c r="T1070" s="1"/>
      <c r="Y1070" s="2"/>
      <c r="AP1070" s="2"/>
      <c r="HA1070" s="155"/>
      <c r="IM1070" s="2"/>
    </row>
    <row r="1071" spans="17:306" ht="15" customHeight="1" x14ac:dyDescent="0.25">
      <c r="Q1071" s="1"/>
      <c r="R1071" s="1"/>
      <c r="S1071" s="1"/>
      <c r="T1071" s="1"/>
      <c r="Y1071" s="2"/>
      <c r="AP1071" s="2"/>
      <c r="HA1071" s="155"/>
      <c r="IM1071" s="2"/>
      <c r="KR1071" s="2"/>
    </row>
    <row r="1072" spans="17:306" ht="15" customHeight="1" x14ac:dyDescent="0.25">
      <c r="Q1072" s="1"/>
      <c r="R1072" s="1"/>
      <c r="S1072" s="1"/>
      <c r="T1072" s="1"/>
      <c r="Y1072" s="2"/>
      <c r="AP1072" s="2"/>
      <c r="HA1072" s="155"/>
      <c r="IM1072" s="2"/>
      <c r="KR1072" s="2"/>
      <c r="KS1072" s="2"/>
    </row>
    <row r="1073" spans="17:304" ht="15" customHeight="1" x14ac:dyDescent="0.25">
      <c r="Q1073" s="1"/>
      <c r="R1073" s="1"/>
      <c r="S1073" s="1"/>
      <c r="T1073" s="1"/>
      <c r="Y1073" s="2"/>
      <c r="AP1073" s="2"/>
      <c r="HA1073" s="155"/>
      <c r="IM1073" s="2"/>
      <c r="KR1073" s="2"/>
    </row>
    <row r="1074" spans="17:304" ht="15" customHeight="1" x14ac:dyDescent="0.25">
      <c r="Q1074" s="1"/>
      <c r="R1074" s="1"/>
      <c r="S1074" s="1"/>
      <c r="T1074" s="1"/>
      <c r="Y1074" s="2"/>
      <c r="AP1074" s="2"/>
      <c r="HA1074" s="155"/>
      <c r="IM1074" s="2"/>
      <c r="KR1074" s="2"/>
    </row>
    <row r="1075" spans="17:304" ht="15" customHeight="1" x14ac:dyDescent="0.25">
      <c r="Q1075" s="1"/>
      <c r="R1075" s="1"/>
      <c r="S1075" s="1"/>
      <c r="Y1075" s="2"/>
      <c r="AP1075" s="2"/>
      <c r="HA1075" s="155"/>
      <c r="IM1075" s="2"/>
    </row>
    <row r="1076" spans="17:304" ht="15" customHeight="1" x14ac:dyDescent="0.25">
      <c r="Q1076" s="1"/>
      <c r="R1076" s="1"/>
      <c r="S1076" s="1"/>
      <c r="T1076" s="1"/>
      <c r="Y1076" s="2"/>
      <c r="AP1076" s="2"/>
      <c r="HA1076" s="155"/>
      <c r="IM1076" s="2"/>
    </row>
    <row r="1077" spans="17:304" ht="15" customHeight="1" x14ac:dyDescent="0.25">
      <c r="Q1077" s="1"/>
      <c r="R1077" s="1"/>
      <c r="S1077" s="1"/>
      <c r="T1077" s="1"/>
      <c r="Y1077" s="2"/>
      <c r="AP1077" s="2"/>
      <c r="HA1077" s="155"/>
      <c r="IM1077" s="2"/>
      <c r="KR1077" s="2"/>
    </row>
    <row r="1078" spans="17:304" ht="15" customHeight="1" x14ac:dyDescent="0.25">
      <c r="Q1078" s="1"/>
      <c r="R1078" s="1"/>
      <c r="S1078" s="1"/>
      <c r="T1078" s="1"/>
      <c r="Y1078" s="2"/>
      <c r="AP1078" s="2"/>
      <c r="HA1078" s="155"/>
      <c r="IM1078" s="2"/>
    </row>
    <row r="1079" spans="17:304" ht="15" customHeight="1" x14ac:dyDescent="0.25">
      <c r="Q1079" s="1"/>
      <c r="R1079" s="1"/>
      <c r="S1079" s="1"/>
      <c r="T1079" s="1"/>
      <c r="Y1079" s="2"/>
      <c r="AP1079" s="2"/>
      <c r="HA1079" s="155"/>
      <c r="IM1079" s="2"/>
    </row>
    <row r="1080" spans="17:304" ht="15" customHeight="1" x14ac:dyDescent="0.25">
      <c r="Q1080" s="1"/>
      <c r="R1080" s="1"/>
      <c r="S1080" s="1"/>
      <c r="T1080" s="1"/>
      <c r="Y1080" s="2"/>
      <c r="AP1080" s="2"/>
      <c r="HA1080" s="155"/>
      <c r="IM1080" s="2"/>
      <c r="KR1080" s="2"/>
    </row>
    <row r="1081" spans="17:304" ht="15" customHeight="1" x14ac:dyDescent="0.25">
      <c r="Q1081" s="1"/>
      <c r="R1081" s="1"/>
      <c r="S1081" s="1"/>
      <c r="T1081" s="1"/>
      <c r="Y1081" s="2"/>
      <c r="AP1081" s="2"/>
      <c r="HA1081" s="155"/>
      <c r="IM1081" s="2"/>
    </row>
    <row r="1082" spans="17:304" ht="15" customHeight="1" x14ac:dyDescent="0.25">
      <c r="Q1082" s="1"/>
      <c r="R1082" s="1"/>
      <c r="S1082" s="1"/>
      <c r="T1082" s="1"/>
      <c r="Y1082" s="2"/>
      <c r="AP1082" s="2"/>
      <c r="HA1082" s="155"/>
      <c r="IM1082" s="2"/>
    </row>
    <row r="1083" spans="17:304" ht="15" customHeight="1" x14ac:dyDescent="0.25">
      <c r="Q1083" s="1"/>
      <c r="R1083" s="1"/>
      <c r="S1083" s="1"/>
      <c r="T1083" s="1"/>
      <c r="Y1083" s="2"/>
      <c r="AP1083" s="2"/>
      <c r="HA1083" s="155"/>
      <c r="IM1083" s="2"/>
      <c r="KR1083" s="2"/>
    </row>
    <row r="1084" spans="17:304" ht="15" customHeight="1" x14ac:dyDescent="0.25">
      <c r="Q1084" s="1"/>
      <c r="R1084" s="1"/>
      <c r="S1084" s="1"/>
      <c r="T1084" s="1"/>
      <c r="Y1084" s="2"/>
      <c r="AP1084" s="2"/>
      <c r="HA1084" s="155"/>
      <c r="IM1084" s="2"/>
    </row>
    <row r="1085" spans="17:304" ht="15" customHeight="1" x14ac:dyDescent="0.25">
      <c r="Q1085" s="1"/>
      <c r="R1085" s="1"/>
      <c r="S1085" s="1"/>
      <c r="T1085" s="1"/>
      <c r="Y1085" s="2"/>
      <c r="AP1085" s="2"/>
      <c r="HA1085" s="155"/>
      <c r="IM1085" s="2"/>
      <c r="KR1085" s="2"/>
    </row>
    <row r="1086" spans="17:304" ht="15" customHeight="1" x14ac:dyDescent="0.25">
      <c r="Q1086" s="1"/>
      <c r="R1086" s="1"/>
      <c r="S1086" s="1"/>
      <c r="T1086" s="1"/>
      <c r="Y1086" s="2"/>
      <c r="AP1086" s="2"/>
      <c r="HA1086" s="155"/>
      <c r="IM1086" s="2"/>
      <c r="KR1086" s="2"/>
    </row>
    <row r="1087" spans="17:304" ht="15" customHeight="1" x14ac:dyDescent="0.25">
      <c r="Q1087" s="1"/>
      <c r="R1087" s="1"/>
      <c r="S1087" s="1"/>
      <c r="T1087" s="1"/>
      <c r="Y1087" s="2"/>
      <c r="AP1087" s="2"/>
      <c r="HA1087" s="155"/>
      <c r="IM1087" s="2"/>
      <c r="KR1087" s="2"/>
    </row>
    <row r="1088" spans="17:304" ht="15" customHeight="1" x14ac:dyDescent="0.25">
      <c r="Q1088" s="1"/>
      <c r="R1088" s="1"/>
      <c r="S1088" s="1"/>
      <c r="T1088" s="1"/>
      <c r="Y1088" s="2"/>
      <c r="AP1088" s="2"/>
      <c r="HA1088" s="155"/>
      <c r="IM1088" s="2"/>
      <c r="KR1088" s="2"/>
    </row>
    <row r="1089" spans="17:307" ht="15" customHeight="1" x14ac:dyDescent="0.25">
      <c r="Q1089" s="1"/>
      <c r="R1089" s="1"/>
      <c r="S1089" s="1"/>
      <c r="T1089" s="1"/>
      <c r="Y1089" s="2"/>
      <c r="AP1089" s="2"/>
      <c r="HA1089" s="155"/>
      <c r="IM1089" s="2"/>
      <c r="KR1089" s="2"/>
    </row>
    <row r="1090" spans="17:307" ht="15" customHeight="1" x14ac:dyDescent="0.25">
      <c r="Q1090" s="1"/>
      <c r="R1090" s="1"/>
      <c r="S1090" s="1"/>
      <c r="T1090" s="1"/>
      <c r="Y1090" s="2"/>
      <c r="AP1090" s="2"/>
      <c r="HA1090" s="155"/>
      <c r="IM1090" s="2"/>
      <c r="KR1090" s="2"/>
      <c r="KS1090" s="2"/>
    </row>
    <row r="1091" spans="17:307" ht="15" customHeight="1" x14ac:dyDescent="0.25">
      <c r="Q1091" s="1"/>
      <c r="R1091" s="1"/>
      <c r="S1091" s="1"/>
      <c r="T1091" s="1"/>
      <c r="Y1091" s="2"/>
      <c r="AP1091" s="2"/>
      <c r="HA1091" s="155"/>
      <c r="IM1091" s="2"/>
      <c r="KR1091" s="2"/>
    </row>
    <row r="1092" spans="17:307" ht="15" customHeight="1" x14ac:dyDescent="0.25">
      <c r="Q1092" s="1"/>
      <c r="R1092" s="1"/>
      <c r="S1092" s="1"/>
      <c r="T1092" s="1"/>
      <c r="Y1092" s="2"/>
      <c r="AP1092" s="2"/>
      <c r="HA1092" s="155"/>
      <c r="IM1092" s="2"/>
      <c r="KR1092" s="2"/>
    </row>
    <row r="1093" spans="17:307" ht="15" customHeight="1" x14ac:dyDescent="0.25">
      <c r="Q1093" s="1"/>
      <c r="R1093" s="1"/>
      <c r="S1093" s="1"/>
      <c r="T1093" s="1"/>
      <c r="Y1093" s="2"/>
      <c r="AP1093" s="2"/>
      <c r="HA1093" s="155"/>
      <c r="IM1093" s="2"/>
      <c r="KR1093" s="2"/>
      <c r="KS1093" s="2"/>
    </row>
    <row r="1094" spans="17:307" ht="15" customHeight="1" x14ac:dyDescent="0.25">
      <c r="Q1094" s="1"/>
      <c r="R1094" s="1"/>
      <c r="S1094" s="1"/>
      <c r="T1094" s="1"/>
      <c r="Y1094" s="2"/>
      <c r="AP1094" s="2"/>
      <c r="HA1094" s="155"/>
      <c r="IM1094" s="2"/>
      <c r="KR1094" s="2"/>
      <c r="KS1094" s="2"/>
    </row>
    <row r="1095" spans="17:307" ht="15" customHeight="1" x14ac:dyDescent="0.25">
      <c r="Q1095" s="1"/>
      <c r="R1095" s="1"/>
      <c r="S1095" s="1"/>
      <c r="T1095" s="1"/>
      <c r="Y1095" s="2"/>
      <c r="AP1095" s="2"/>
      <c r="HA1095" s="155"/>
      <c r="IM1095" s="2"/>
      <c r="KR1095" s="2"/>
      <c r="KS1095" s="2"/>
      <c r="KT1095" s="2"/>
      <c r="KU1095" s="2"/>
    </row>
    <row r="1096" spans="17:307" ht="15" customHeight="1" x14ac:dyDescent="0.25">
      <c r="Q1096" s="1"/>
      <c r="R1096" s="1"/>
      <c r="S1096" s="1"/>
      <c r="T1096" s="1"/>
      <c r="Y1096" s="2"/>
      <c r="AP1096" s="2"/>
      <c r="HA1096" s="155"/>
      <c r="IM1096" s="2"/>
      <c r="KR1096" s="2"/>
    </row>
    <row r="1097" spans="17:307" ht="15" customHeight="1" x14ac:dyDescent="0.25">
      <c r="Q1097" s="1"/>
      <c r="R1097" s="1"/>
      <c r="S1097" s="1"/>
      <c r="T1097" s="1"/>
      <c r="Y1097" s="2"/>
      <c r="AP1097" s="2"/>
      <c r="HA1097" s="155"/>
      <c r="IM1097" s="2"/>
      <c r="KR1097" s="2"/>
    </row>
    <row r="1098" spans="17:307" ht="15" customHeight="1" x14ac:dyDescent="0.25">
      <c r="Q1098" s="1"/>
      <c r="R1098" s="1"/>
      <c r="S1098" s="1"/>
      <c r="T1098" s="1"/>
      <c r="Y1098" s="2"/>
      <c r="AP1098" s="2"/>
      <c r="HA1098" s="155"/>
      <c r="IM1098" s="2"/>
      <c r="KR1098" s="2"/>
    </row>
    <row r="1099" spans="17:307" ht="15" customHeight="1" x14ac:dyDescent="0.25">
      <c r="Q1099" s="1"/>
      <c r="R1099" s="1"/>
      <c r="S1099" s="1"/>
      <c r="T1099" s="1"/>
      <c r="Y1099" s="2"/>
      <c r="AP1099" s="2"/>
      <c r="HA1099" s="155"/>
      <c r="IM1099" s="2"/>
      <c r="KR1099" s="2"/>
    </row>
    <row r="1100" spans="17:307" ht="15" customHeight="1" x14ac:dyDescent="0.25">
      <c r="Q1100" s="1"/>
      <c r="R1100" s="1"/>
      <c r="S1100" s="1"/>
      <c r="T1100" s="1"/>
      <c r="Y1100" s="2"/>
      <c r="AP1100" s="2"/>
      <c r="HA1100" s="155"/>
      <c r="IM1100" s="2"/>
      <c r="KR1100" s="2"/>
      <c r="KS1100" s="2"/>
    </row>
    <row r="1101" spans="17:307" ht="15" customHeight="1" x14ac:dyDescent="0.25">
      <c r="Q1101" s="1"/>
      <c r="R1101" s="1"/>
      <c r="S1101" s="1"/>
      <c r="Y1101" s="2"/>
      <c r="AP1101" s="2"/>
      <c r="HA1101" s="155"/>
      <c r="IM1101" s="2"/>
    </row>
    <row r="1102" spans="17:307" ht="15" customHeight="1" x14ac:dyDescent="0.25">
      <c r="Q1102" s="1"/>
      <c r="R1102" s="1"/>
      <c r="S1102" s="1"/>
      <c r="Y1102" s="2"/>
      <c r="AP1102" s="2"/>
      <c r="HA1102" s="155"/>
      <c r="IM1102" s="2"/>
    </row>
    <row r="1103" spans="17:307" ht="15" customHeight="1" x14ac:dyDescent="0.25">
      <c r="Q1103" s="1"/>
      <c r="R1103" s="1"/>
      <c r="S1103" s="1"/>
      <c r="Y1103" s="2"/>
      <c r="AP1103" s="2"/>
      <c r="HA1103" s="155"/>
      <c r="IM1103" s="2"/>
    </row>
    <row r="1104" spans="17:307" ht="15" customHeight="1" x14ac:dyDescent="0.25">
      <c r="Q1104" s="1"/>
      <c r="R1104" s="1"/>
      <c r="S1104" s="1"/>
      <c r="T1104" s="1"/>
      <c r="Y1104" s="2"/>
      <c r="AP1104" s="2"/>
      <c r="HA1104" s="155"/>
      <c r="IM1104" s="2"/>
    </row>
    <row r="1105" spans="17:313" ht="15" customHeight="1" x14ac:dyDescent="0.25">
      <c r="Q1105" s="1"/>
      <c r="R1105" s="1"/>
      <c r="S1105" s="1"/>
      <c r="Y1105" s="2"/>
      <c r="AP1105" s="2"/>
      <c r="HA1105" s="155"/>
      <c r="IM1105" s="2"/>
    </row>
    <row r="1106" spans="17:313" ht="15" customHeight="1" x14ac:dyDescent="0.25">
      <c r="Q1106" s="1"/>
      <c r="R1106" s="1"/>
      <c r="S1106" s="1"/>
      <c r="T1106" s="1"/>
      <c r="Y1106" s="2"/>
      <c r="AP1106" s="2"/>
      <c r="HA1106" s="155"/>
      <c r="IM1106" s="2"/>
      <c r="KR1106" s="2"/>
      <c r="KS1106" s="2"/>
      <c r="KT1106" s="2"/>
      <c r="KU1106" s="2"/>
      <c r="KV1106" s="2"/>
    </row>
    <row r="1107" spans="17:313" ht="15" customHeight="1" x14ac:dyDescent="0.25">
      <c r="Q1107" s="1"/>
      <c r="R1107" s="1"/>
      <c r="S1107" s="1"/>
      <c r="T1107" s="1"/>
      <c r="Y1107" s="2"/>
      <c r="AP1107" s="2"/>
      <c r="HA1107" s="155"/>
      <c r="IM1107" s="2"/>
      <c r="KR1107" s="2"/>
    </row>
    <row r="1108" spans="17:313" ht="15" customHeight="1" x14ac:dyDescent="0.25">
      <c r="Q1108" s="1"/>
      <c r="R1108" s="1"/>
      <c r="S1108" s="1"/>
      <c r="T1108" s="1"/>
      <c r="Y1108" s="2"/>
      <c r="AP1108" s="2"/>
      <c r="HA1108" s="155"/>
      <c r="IM1108" s="2"/>
      <c r="KR1108" s="2"/>
      <c r="KS1108" s="2"/>
      <c r="KT1108" s="2"/>
    </row>
    <row r="1109" spans="17:313" ht="15" customHeight="1" x14ac:dyDescent="0.25">
      <c r="Q1109" s="1"/>
      <c r="R1109" s="1"/>
      <c r="S1109" s="1"/>
      <c r="T1109" s="1"/>
      <c r="Y1109" s="2"/>
      <c r="AP1109" s="2"/>
      <c r="HA1109" s="155"/>
      <c r="IM1109" s="2"/>
      <c r="KR1109" s="2"/>
      <c r="KS1109" s="2"/>
      <c r="KT1109" s="2"/>
      <c r="KU1109" s="2"/>
      <c r="KV1109" s="2"/>
      <c r="KW1109" s="2"/>
      <c r="KX1109" s="2"/>
      <c r="KY1109" s="2"/>
      <c r="KZ1109" s="2"/>
      <c r="LA1109" s="2"/>
    </row>
    <row r="1110" spans="17:313" ht="15" customHeight="1" x14ac:dyDescent="0.25">
      <c r="Q1110" s="1"/>
      <c r="R1110" s="1"/>
      <c r="S1110" s="1"/>
      <c r="T1110" s="1"/>
      <c r="Y1110" s="2"/>
      <c r="AP1110" s="2"/>
      <c r="HA1110" s="155"/>
      <c r="IM1110" s="2"/>
      <c r="KR1110" s="2"/>
      <c r="KS1110" s="2"/>
    </row>
    <row r="1111" spans="17:313" ht="15" customHeight="1" x14ac:dyDescent="0.25">
      <c r="Q1111" s="1"/>
      <c r="R1111" s="1"/>
      <c r="S1111" s="1"/>
      <c r="T1111" s="1"/>
      <c r="Y1111" s="2"/>
      <c r="AP1111" s="2"/>
      <c r="HA1111" s="155"/>
      <c r="IM1111" s="2"/>
      <c r="KR1111" s="2"/>
      <c r="KS1111" s="2"/>
    </row>
    <row r="1112" spans="17:313" ht="15" customHeight="1" x14ac:dyDescent="0.25">
      <c r="Q1112" s="1"/>
      <c r="R1112" s="1"/>
      <c r="S1112" s="1"/>
      <c r="T1112" s="1"/>
      <c r="Y1112" s="2"/>
      <c r="AP1112" s="2"/>
      <c r="HA1112" s="155"/>
      <c r="IM1112" s="2"/>
    </row>
    <row r="1113" spans="17:313" ht="15" customHeight="1" x14ac:dyDescent="0.25">
      <c r="Q1113" s="1"/>
      <c r="R1113" s="1"/>
      <c r="S1113" s="1"/>
      <c r="T1113" s="1"/>
      <c r="Y1113" s="2"/>
      <c r="AP1113" s="2"/>
      <c r="HA1113" s="155"/>
      <c r="IM1113" s="2"/>
      <c r="KR1113" s="2"/>
      <c r="KS1113" s="2"/>
      <c r="KT1113" s="2"/>
      <c r="KU1113" s="2"/>
    </row>
    <row r="1114" spans="17:313" ht="15" customHeight="1" x14ac:dyDescent="0.25">
      <c r="Q1114" s="1"/>
      <c r="R1114" s="1"/>
      <c r="S1114" s="1"/>
      <c r="T1114" s="1"/>
      <c r="Y1114" s="2"/>
      <c r="AP1114" s="2"/>
      <c r="HA1114" s="155"/>
      <c r="IM1114" s="2"/>
      <c r="KR1114" s="2"/>
      <c r="KS1114" s="2"/>
    </row>
    <row r="1115" spans="17:313" ht="15" customHeight="1" x14ac:dyDescent="0.25">
      <c r="Q1115" s="1"/>
      <c r="R1115" s="1"/>
      <c r="S1115" s="1"/>
      <c r="T1115" s="1"/>
      <c r="Y1115" s="2"/>
      <c r="AP1115" s="2"/>
      <c r="HA1115" s="155"/>
      <c r="IM1115" s="2"/>
      <c r="KR1115" s="2"/>
      <c r="KS1115" s="2"/>
      <c r="KT1115" s="2"/>
    </row>
    <row r="1116" spans="17:313" ht="15" customHeight="1" x14ac:dyDescent="0.25">
      <c r="Q1116" s="1"/>
      <c r="R1116" s="1"/>
      <c r="S1116" s="1"/>
      <c r="T1116" s="1"/>
      <c r="Y1116" s="2"/>
      <c r="AP1116" s="2"/>
      <c r="HA1116" s="155"/>
      <c r="IM1116" s="2"/>
      <c r="KR1116" s="2"/>
    </row>
    <row r="1117" spans="17:313" ht="15" customHeight="1" x14ac:dyDescent="0.25">
      <c r="Q1117" s="1"/>
      <c r="R1117" s="1"/>
      <c r="S1117" s="1"/>
      <c r="T1117" s="1"/>
      <c r="Y1117" s="2"/>
      <c r="AP1117" s="2"/>
      <c r="HA1117" s="155"/>
      <c r="IM1117" s="2"/>
      <c r="KR1117" s="2"/>
      <c r="KS1117" s="2"/>
      <c r="KT1117" s="2"/>
    </row>
    <row r="1118" spans="17:313" ht="15" customHeight="1" x14ac:dyDescent="0.25">
      <c r="Q1118" s="1"/>
      <c r="R1118" s="1"/>
      <c r="S1118" s="1"/>
      <c r="T1118" s="1"/>
      <c r="Y1118" s="2"/>
      <c r="AP1118" s="2"/>
      <c r="HA1118" s="155"/>
      <c r="IM1118" s="2"/>
      <c r="KR1118" s="2"/>
      <c r="KS1118" s="2"/>
      <c r="KT1118" s="2"/>
    </row>
    <row r="1119" spans="17:313" ht="15" customHeight="1" x14ac:dyDescent="0.25">
      <c r="Q1119" s="1"/>
      <c r="R1119" s="1"/>
      <c r="S1119" s="1"/>
      <c r="T1119" s="1"/>
      <c r="Y1119" s="2"/>
      <c r="AP1119" s="2"/>
      <c r="HA1119" s="155"/>
      <c r="IM1119" s="2"/>
      <c r="KR1119" s="2"/>
    </row>
    <row r="1120" spans="17:313" ht="15" customHeight="1" x14ac:dyDescent="0.25">
      <c r="Q1120" s="1"/>
      <c r="R1120" s="1"/>
      <c r="S1120" s="1"/>
      <c r="T1120" s="1"/>
      <c r="Y1120" s="2"/>
      <c r="AP1120" s="2"/>
      <c r="HA1120" s="155"/>
      <c r="IM1120" s="2"/>
      <c r="KR1120" s="2"/>
    </row>
    <row r="1121" spans="17:307" ht="15" customHeight="1" x14ac:dyDescent="0.25">
      <c r="Q1121" s="1"/>
      <c r="S1121" s="1"/>
      <c r="Y1121" s="2"/>
      <c r="AP1121" s="2"/>
      <c r="HA1121" s="155"/>
      <c r="IM1121" s="2"/>
      <c r="KR1121" s="2"/>
    </row>
    <row r="1122" spans="17:307" ht="15" customHeight="1" x14ac:dyDescent="0.25">
      <c r="Q1122" s="1"/>
      <c r="S1122" s="1"/>
      <c r="Y1122" s="2"/>
      <c r="AP1122" s="2"/>
      <c r="HA1122" s="155"/>
      <c r="IM1122" s="2"/>
      <c r="KR1122" s="2"/>
      <c r="KS1122" s="2"/>
      <c r="KT1122" s="2"/>
    </row>
    <row r="1123" spans="17:307" ht="15" customHeight="1" x14ac:dyDescent="0.25">
      <c r="Q1123" s="1"/>
      <c r="R1123" s="1"/>
      <c r="S1123" s="1"/>
      <c r="Y1123" s="2"/>
      <c r="AP1123" s="2"/>
      <c r="HA1123" s="155"/>
      <c r="IM1123" s="2"/>
      <c r="KR1123" s="2"/>
      <c r="KS1123" s="2"/>
    </row>
    <row r="1124" spans="17:307" ht="15" customHeight="1" x14ac:dyDescent="0.25">
      <c r="S1124" s="1"/>
      <c r="Y1124" s="2"/>
      <c r="AP1124" s="2"/>
      <c r="HA1124" s="155"/>
      <c r="IM1124" s="2"/>
      <c r="KR1124" s="2"/>
      <c r="KS1124" s="2"/>
    </row>
    <row r="1125" spans="17:307" ht="15" customHeight="1" x14ac:dyDescent="0.25">
      <c r="S1125" s="1"/>
      <c r="Y1125" s="2"/>
      <c r="AP1125" s="2"/>
      <c r="HA1125" s="155"/>
      <c r="IM1125" s="2"/>
      <c r="KR1125" s="2"/>
    </row>
    <row r="1126" spans="17:307" ht="15" customHeight="1" x14ac:dyDescent="0.25">
      <c r="S1126" s="1"/>
      <c r="Y1126" s="2"/>
      <c r="AP1126" s="2"/>
      <c r="HA1126" s="155"/>
      <c r="IM1126" s="2"/>
      <c r="KR1126" s="2"/>
    </row>
    <row r="1127" spans="17:307" ht="15" customHeight="1" x14ac:dyDescent="0.25">
      <c r="S1127" s="1"/>
      <c r="Y1127" s="2"/>
      <c r="AP1127" s="2"/>
      <c r="HA1127" s="155"/>
      <c r="IM1127" s="2"/>
    </row>
    <row r="1128" spans="17:307" ht="15" customHeight="1" x14ac:dyDescent="0.25">
      <c r="S1128" s="1"/>
      <c r="Y1128" s="2"/>
      <c r="AP1128" s="2"/>
      <c r="HA1128" s="155"/>
      <c r="IM1128" s="2"/>
      <c r="KR1128" s="2"/>
      <c r="KS1128" s="2"/>
    </row>
    <row r="1129" spans="17:307" ht="15" customHeight="1" x14ac:dyDescent="0.25">
      <c r="S1129" s="1"/>
      <c r="Y1129" s="2"/>
      <c r="AP1129" s="2"/>
      <c r="HA1129" s="155"/>
      <c r="IM1129" s="2"/>
      <c r="KR1129" s="2"/>
      <c r="KS1129" s="2"/>
      <c r="KT1129" s="2"/>
      <c r="KU1129" s="2"/>
    </row>
    <row r="1130" spans="17:307" ht="15" customHeight="1" x14ac:dyDescent="0.25">
      <c r="S1130" s="1"/>
      <c r="Y1130" s="2"/>
      <c r="AP1130" s="2"/>
      <c r="HA1130" s="155"/>
      <c r="IM1130" s="2"/>
      <c r="KR1130" s="2"/>
      <c r="KS1130" s="2"/>
    </row>
    <row r="1131" spans="17:307" ht="15" customHeight="1" x14ac:dyDescent="0.25">
      <c r="S1131" s="1"/>
      <c r="Y1131" s="2"/>
      <c r="AP1131" s="2"/>
      <c r="HA1131" s="155"/>
      <c r="IM1131" s="2"/>
      <c r="KR1131" s="2"/>
      <c r="KS1131" s="2"/>
    </row>
    <row r="1132" spans="17:307" ht="15" customHeight="1" x14ac:dyDescent="0.25">
      <c r="S1132" s="1"/>
      <c r="Y1132" s="2"/>
      <c r="AP1132" s="2"/>
      <c r="HA1132" s="155"/>
      <c r="IM1132" s="2"/>
      <c r="KR1132" s="2"/>
      <c r="KS1132" s="2"/>
    </row>
    <row r="1133" spans="17:307" ht="15" customHeight="1" x14ac:dyDescent="0.25">
      <c r="S1133" s="1"/>
      <c r="Y1133" s="2"/>
      <c r="AP1133" s="2"/>
      <c r="HA1133" s="155"/>
      <c r="IM1133" s="2"/>
    </row>
    <row r="1134" spans="17:307" ht="15" customHeight="1" x14ac:dyDescent="0.25">
      <c r="S1134" s="1"/>
      <c r="Y1134" s="2"/>
      <c r="AP1134" s="2"/>
      <c r="HA1134" s="155"/>
      <c r="IM1134" s="2"/>
    </row>
    <row r="1135" spans="17:307" ht="15" customHeight="1" x14ac:dyDescent="0.25">
      <c r="S1135" s="1"/>
      <c r="Y1135" s="2"/>
      <c r="AP1135" s="2"/>
      <c r="HA1135" s="155"/>
      <c r="IM1135" s="2"/>
      <c r="KR1135" s="2"/>
    </row>
    <row r="1136" spans="17:307" ht="15" customHeight="1" x14ac:dyDescent="0.25">
      <c r="S1136" s="1"/>
      <c r="Y1136" s="2"/>
      <c r="AP1136" s="2"/>
      <c r="HA1136" s="155"/>
      <c r="IM1136" s="2"/>
      <c r="KR1136" s="2"/>
    </row>
    <row r="1137" spans="19:307" ht="15" customHeight="1" x14ac:dyDescent="0.25">
      <c r="S1137" s="1"/>
      <c r="Y1137" s="2"/>
      <c r="AP1137" s="2"/>
      <c r="HA1137" s="155"/>
      <c r="IM1137" s="2"/>
      <c r="KR1137" s="2"/>
    </row>
    <row r="1138" spans="19:307" ht="15" customHeight="1" x14ac:dyDescent="0.25">
      <c r="S1138" s="1"/>
      <c r="Y1138" s="2"/>
      <c r="AP1138" s="2"/>
      <c r="HA1138" s="155"/>
      <c r="IM1138" s="2"/>
      <c r="KR1138" s="2"/>
    </row>
    <row r="1139" spans="19:307" ht="15" customHeight="1" x14ac:dyDescent="0.25">
      <c r="S1139" s="1"/>
      <c r="Y1139" s="2"/>
      <c r="AP1139" s="2"/>
      <c r="HA1139" s="155"/>
      <c r="IM1139" s="2"/>
      <c r="KR1139" s="2"/>
    </row>
    <row r="1140" spans="19:307" ht="15" customHeight="1" x14ac:dyDescent="0.25">
      <c r="S1140" s="1"/>
      <c r="Y1140" s="2"/>
      <c r="AP1140" s="2"/>
      <c r="HA1140" s="155"/>
      <c r="IM1140" s="2"/>
      <c r="KR1140" s="2"/>
      <c r="KS1140" s="2"/>
      <c r="KT1140" s="2"/>
      <c r="KU1140" s="2"/>
    </row>
    <row r="1141" spans="19:307" ht="15" customHeight="1" x14ac:dyDescent="0.25">
      <c r="S1141" s="1"/>
      <c r="Y1141" s="2"/>
      <c r="AP1141" s="2"/>
      <c r="HA1141" s="155"/>
      <c r="IM1141" s="2"/>
      <c r="KR1141" s="2"/>
    </row>
    <row r="1142" spans="19:307" ht="15" customHeight="1" x14ac:dyDescent="0.25">
      <c r="S1142" s="1"/>
      <c r="Y1142" s="2"/>
      <c r="AP1142" s="2"/>
      <c r="HA1142" s="155"/>
      <c r="IM1142" s="2"/>
    </row>
    <row r="1143" spans="19:307" ht="15" customHeight="1" x14ac:dyDescent="0.25">
      <c r="S1143" s="1"/>
      <c r="Y1143" s="2"/>
      <c r="AP1143" s="2"/>
      <c r="HA1143" s="155"/>
      <c r="IM1143" s="2"/>
      <c r="KR1143" s="2"/>
    </row>
    <row r="1144" spans="19:307" ht="15" customHeight="1" x14ac:dyDescent="0.25">
      <c r="S1144" s="1"/>
      <c r="Y1144" s="2"/>
      <c r="AP1144" s="2"/>
      <c r="HA1144" s="155"/>
      <c r="IM1144" s="2"/>
      <c r="KR1144" s="2"/>
      <c r="KS1144" s="2"/>
      <c r="KT1144" s="2"/>
    </row>
    <row r="1145" spans="19:307" ht="15" customHeight="1" x14ac:dyDescent="0.25">
      <c r="S1145" s="1"/>
      <c r="Y1145" s="2"/>
      <c r="AP1145" s="2"/>
      <c r="HA1145" s="155"/>
      <c r="IM1145" s="2"/>
      <c r="KR1145" s="2"/>
    </row>
    <row r="1146" spans="19:307" ht="15" customHeight="1" x14ac:dyDescent="0.25">
      <c r="S1146" s="1"/>
      <c r="Y1146" s="2"/>
      <c r="AP1146" s="2"/>
      <c r="HA1146" s="155"/>
      <c r="IM1146" s="2"/>
      <c r="KR1146" s="2"/>
    </row>
    <row r="1147" spans="19:307" ht="15" customHeight="1" x14ac:dyDescent="0.25">
      <c r="S1147" s="1"/>
      <c r="Y1147" s="2"/>
      <c r="AP1147" s="2"/>
      <c r="HA1147" s="155"/>
      <c r="IM1147" s="2"/>
      <c r="KR1147" s="2"/>
    </row>
    <row r="1148" spans="19:307" ht="15" customHeight="1" x14ac:dyDescent="0.25">
      <c r="S1148" s="1"/>
      <c r="Y1148" s="2"/>
      <c r="AP1148" s="2"/>
      <c r="HA1148" s="155"/>
      <c r="IM1148" s="2"/>
      <c r="KR1148" s="2"/>
    </row>
    <row r="1149" spans="19:307" ht="15" customHeight="1" x14ac:dyDescent="0.25">
      <c r="S1149" s="1"/>
      <c r="Y1149" s="2"/>
      <c r="AP1149" s="2"/>
      <c r="HA1149" s="155"/>
      <c r="IM1149" s="2"/>
      <c r="KR1149" s="2"/>
    </row>
    <row r="1150" spans="19:307" ht="15" customHeight="1" x14ac:dyDescent="0.25">
      <c r="S1150" s="1"/>
      <c r="Y1150" s="2"/>
      <c r="AP1150" s="2"/>
      <c r="HA1150" s="155"/>
      <c r="IM1150" s="2"/>
    </row>
    <row r="1151" spans="19:307" ht="15" customHeight="1" x14ac:dyDescent="0.25">
      <c r="S1151" s="1"/>
      <c r="Y1151" s="2"/>
      <c r="AP1151" s="2"/>
      <c r="HA1151" s="155"/>
      <c r="IM1151" s="2"/>
      <c r="KR1151" s="2"/>
    </row>
    <row r="1152" spans="19:307" ht="15" customHeight="1" x14ac:dyDescent="0.25">
      <c r="S1152" s="1"/>
      <c r="Y1152" s="2"/>
      <c r="AP1152" s="2"/>
      <c r="HA1152" s="155"/>
      <c r="IM1152" s="2"/>
      <c r="KR1152" s="2"/>
    </row>
    <row r="1153" spans="19:307" ht="15" customHeight="1" x14ac:dyDescent="0.25">
      <c r="S1153" s="1"/>
      <c r="Y1153" s="2"/>
      <c r="AP1153" s="2"/>
      <c r="HA1153" s="155"/>
      <c r="IM1153" s="2"/>
      <c r="KR1153" s="2"/>
    </row>
    <row r="1154" spans="19:307" ht="15" customHeight="1" x14ac:dyDescent="0.25">
      <c r="S1154" s="1"/>
      <c r="Y1154" s="2"/>
      <c r="AP1154" s="2"/>
      <c r="HA1154" s="155"/>
      <c r="IM1154" s="2"/>
      <c r="KR1154" s="2"/>
    </row>
    <row r="1155" spans="19:307" ht="15" customHeight="1" x14ac:dyDescent="0.25">
      <c r="S1155" s="1"/>
      <c r="Y1155" s="2"/>
      <c r="AP1155" s="2"/>
      <c r="HA1155" s="155"/>
      <c r="IM1155" s="2"/>
    </row>
    <row r="1156" spans="19:307" ht="15" customHeight="1" x14ac:dyDescent="0.25">
      <c r="S1156" s="1"/>
      <c r="Y1156" s="2"/>
      <c r="AP1156" s="2"/>
      <c r="HA1156" s="155"/>
      <c r="IM1156" s="2"/>
      <c r="KR1156" s="2"/>
    </row>
    <row r="1157" spans="19:307" ht="15" customHeight="1" x14ac:dyDescent="0.25">
      <c r="S1157" s="1"/>
      <c r="Y1157" s="2"/>
      <c r="AP1157" s="2"/>
      <c r="HA1157" s="155"/>
      <c r="IM1157" s="2"/>
      <c r="KR1157" s="2"/>
    </row>
    <row r="1158" spans="19:307" ht="15" customHeight="1" x14ac:dyDescent="0.25">
      <c r="S1158" s="1"/>
      <c r="Y1158" s="2"/>
      <c r="AP1158" s="2"/>
      <c r="HA1158" s="155"/>
      <c r="IM1158" s="2"/>
      <c r="KR1158" s="2"/>
      <c r="KS1158" s="2"/>
    </row>
    <row r="1159" spans="19:307" ht="15" customHeight="1" x14ac:dyDescent="0.25">
      <c r="S1159" s="1"/>
      <c r="Y1159" s="2"/>
      <c r="AP1159" s="2"/>
      <c r="HA1159" s="155"/>
      <c r="IM1159" s="2"/>
      <c r="KR1159" s="2"/>
      <c r="KS1159" s="2"/>
      <c r="KT1159" s="2"/>
      <c r="KU1159" s="2"/>
    </row>
    <row r="1160" spans="19:307" ht="15" customHeight="1" x14ac:dyDescent="0.25">
      <c r="S1160" s="1"/>
      <c r="Y1160" s="2"/>
      <c r="AP1160" s="2"/>
      <c r="HA1160" s="155"/>
      <c r="IM1160" s="2"/>
      <c r="KR1160" s="2"/>
      <c r="KS1160" s="2"/>
    </row>
    <row r="1161" spans="19:307" ht="15" customHeight="1" x14ac:dyDescent="0.25">
      <c r="S1161" s="1"/>
      <c r="Y1161" s="2"/>
      <c r="AP1161" s="2"/>
      <c r="HA1161" s="155"/>
      <c r="IM1161" s="2"/>
      <c r="KR1161" s="2"/>
    </row>
    <row r="1162" spans="19:307" ht="15" customHeight="1" x14ac:dyDescent="0.25">
      <c r="S1162" s="1"/>
      <c r="Y1162" s="2"/>
      <c r="AP1162" s="2"/>
      <c r="HA1162" s="155"/>
      <c r="IM1162" s="2"/>
      <c r="KR1162" s="2"/>
    </row>
    <row r="1163" spans="19:307" ht="15" customHeight="1" x14ac:dyDescent="0.25">
      <c r="S1163" s="1"/>
      <c r="Y1163" s="2"/>
      <c r="AP1163" s="2"/>
      <c r="HA1163" s="155"/>
      <c r="IM1163" s="2"/>
      <c r="KR1163" s="2"/>
      <c r="KS1163" s="2"/>
    </row>
    <row r="1164" spans="19:307" ht="15" customHeight="1" x14ac:dyDescent="0.25">
      <c r="S1164" s="1"/>
      <c r="Y1164" s="2"/>
      <c r="AP1164" s="2"/>
      <c r="HA1164" s="155"/>
      <c r="IM1164" s="2"/>
      <c r="KR1164" s="2"/>
    </row>
    <row r="1165" spans="19:307" ht="15" customHeight="1" x14ac:dyDescent="0.25">
      <c r="S1165" s="1"/>
      <c r="Y1165" s="2"/>
      <c r="AP1165" s="2"/>
      <c r="HA1165" s="155"/>
      <c r="IM1165" s="2"/>
      <c r="KR1165" s="2"/>
      <c r="KS1165" s="2"/>
    </row>
    <row r="1166" spans="19:307" ht="15" customHeight="1" x14ac:dyDescent="0.25">
      <c r="S1166" s="1"/>
      <c r="Y1166" s="2"/>
      <c r="AP1166" s="2"/>
      <c r="HA1166" s="155"/>
      <c r="IM1166" s="2"/>
      <c r="KR1166" s="2"/>
    </row>
    <row r="1167" spans="19:307" ht="15" customHeight="1" x14ac:dyDescent="0.25">
      <c r="S1167" s="1"/>
      <c r="Y1167" s="2"/>
      <c r="AP1167" s="2"/>
      <c r="HA1167" s="155"/>
      <c r="IM1167" s="2"/>
      <c r="KR1167" s="2"/>
    </row>
    <row r="1168" spans="19:307" ht="15" customHeight="1" x14ac:dyDescent="0.25">
      <c r="S1168" s="1"/>
      <c r="Y1168" s="2"/>
      <c r="AP1168" s="2"/>
      <c r="HA1168" s="155"/>
      <c r="IM1168" s="2"/>
      <c r="KR1168" s="2"/>
    </row>
    <row r="1169" spans="19:306" ht="15" customHeight="1" x14ac:dyDescent="0.25">
      <c r="S1169" s="1"/>
      <c r="Y1169" s="2"/>
      <c r="AP1169" s="2"/>
      <c r="HA1169" s="155"/>
      <c r="IM1169" s="2"/>
      <c r="KR1169" s="2"/>
    </row>
    <row r="1170" spans="19:306" ht="15" customHeight="1" x14ac:dyDescent="0.25">
      <c r="S1170" s="1"/>
      <c r="Y1170" s="2"/>
      <c r="AP1170" s="2"/>
      <c r="HA1170" s="155"/>
      <c r="IM1170" s="2"/>
      <c r="KR1170" s="2"/>
    </row>
    <row r="1171" spans="19:306" ht="15" customHeight="1" x14ac:dyDescent="0.25">
      <c r="S1171" s="1"/>
      <c r="Y1171" s="2"/>
      <c r="AP1171" s="2"/>
      <c r="HA1171" s="155"/>
      <c r="IM1171" s="2"/>
      <c r="KR1171" s="2"/>
      <c r="KS1171" s="2"/>
      <c r="KT1171" s="2"/>
    </row>
    <row r="1172" spans="19:306" ht="15" customHeight="1" x14ac:dyDescent="0.25">
      <c r="S1172" s="1"/>
      <c r="Y1172" s="2"/>
      <c r="AP1172" s="2"/>
      <c r="HA1172" s="155"/>
      <c r="IM1172" s="2"/>
      <c r="KR1172" s="2"/>
      <c r="KS1172" s="2"/>
    </row>
    <row r="1173" spans="19:306" ht="15" customHeight="1" x14ac:dyDescent="0.25">
      <c r="S1173" s="1"/>
      <c r="Y1173" s="2"/>
      <c r="AP1173" s="2"/>
      <c r="HA1173" s="155"/>
      <c r="IM1173" s="2"/>
      <c r="KR1173" s="2"/>
      <c r="KS1173" s="2"/>
      <c r="KT1173" s="2"/>
    </row>
    <row r="1174" spans="19:306" ht="15" customHeight="1" x14ac:dyDescent="0.25">
      <c r="S1174" s="1"/>
      <c r="Y1174" s="2"/>
      <c r="AP1174" s="2"/>
      <c r="HA1174" s="155"/>
      <c r="IM1174" s="2"/>
      <c r="KR1174" s="2"/>
      <c r="KS1174" s="2"/>
    </row>
    <row r="1175" spans="19:306" ht="15" customHeight="1" x14ac:dyDescent="0.25">
      <c r="S1175" s="1"/>
      <c r="Y1175" s="2"/>
      <c r="AP1175" s="2"/>
      <c r="HA1175" s="155"/>
      <c r="IM1175" s="2"/>
      <c r="KR1175" s="2"/>
    </row>
    <row r="1176" spans="19:306" ht="15" customHeight="1" x14ac:dyDescent="0.25">
      <c r="S1176" s="1"/>
      <c r="Y1176" s="2"/>
      <c r="AP1176" s="2"/>
      <c r="HA1176" s="155"/>
      <c r="IM1176" s="2"/>
      <c r="KR1176" s="2"/>
    </row>
    <row r="1177" spans="19:306" ht="15" customHeight="1" x14ac:dyDescent="0.25">
      <c r="S1177" s="1"/>
      <c r="Y1177" s="2"/>
      <c r="AP1177" s="2"/>
      <c r="HA1177" s="155"/>
      <c r="IM1177" s="2"/>
      <c r="KR1177" s="2"/>
      <c r="KS1177" s="2"/>
      <c r="KT1177" s="2"/>
    </row>
    <row r="1178" spans="19:306" ht="15" customHeight="1" x14ac:dyDescent="0.25">
      <c r="S1178" s="1"/>
      <c r="Y1178" s="2"/>
      <c r="AP1178" s="2"/>
      <c r="HA1178" s="155"/>
      <c r="IM1178" s="2"/>
      <c r="KR1178" s="2"/>
    </row>
    <row r="1179" spans="19:306" ht="15" customHeight="1" x14ac:dyDescent="0.25">
      <c r="S1179" s="1"/>
      <c r="Y1179" s="2"/>
      <c r="AP1179" s="2"/>
      <c r="HA1179" s="155"/>
      <c r="IM1179" s="2"/>
    </row>
    <row r="1180" spans="19:306" ht="15" customHeight="1" x14ac:dyDescent="0.25">
      <c r="S1180" s="1"/>
      <c r="Y1180" s="2"/>
      <c r="AP1180" s="2"/>
      <c r="HA1180" s="155"/>
      <c r="IM1180" s="2"/>
      <c r="KR1180" s="2"/>
      <c r="KS1180" s="2"/>
    </row>
    <row r="1181" spans="19:306" ht="15" customHeight="1" x14ac:dyDescent="0.25">
      <c r="S1181" s="1"/>
      <c r="Y1181" s="2"/>
      <c r="AP1181" s="2"/>
      <c r="HA1181" s="155"/>
      <c r="IM1181" s="2"/>
      <c r="KR1181" s="2"/>
    </row>
    <row r="1182" spans="19:306" ht="15" customHeight="1" x14ac:dyDescent="0.25">
      <c r="S1182" s="1"/>
      <c r="Y1182" s="2"/>
      <c r="AP1182" s="2"/>
      <c r="HA1182" s="155"/>
      <c r="IM1182" s="2"/>
      <c r="KR1182" s="2"/>
    </row>
    <row r="1183" spans="19:306" ht="15" customHeight="1" x14ac:dyDescent="0.25">
      <c r="S1183" s="1"/>
      <c r="Y1183" s="2"/>
      <c r="AP1183" s="2"/>
      <c r="HA1183" s="155"/>
      <c r="IM1183" s="2"/>
      <c r="KR1183" s="2"/>
      <c r="KS1183" s="2"/>
    </row>
    <row r="1184" spans="19:306" ht="15" customHeight="1" x14ac:dyDescent="0.25">
      <c r="S1184" s="1"/>
      <c r="Y1184" s="2"/>
      <c r="AP1184" s="2"/>
      <c r="HA1184" s="155"/>
      <c r="IM1184" s="2"/>
      <c r="KR1184" s="2"/>
    </row>
    <row r="1185" spans="19:307" ht="15" customHeight="1" x14ac:dyDescent="0.25">
      <c r="S1185" s="1"/>
      <c r="Y1185" s="2"/>
      <c r="AP1185" s="2"/>
      <c r="HA1185" s="155"/>
      <c r="IM1185" s="2"/>
      <c r="KR1185" s="2"/>
    </row>
    <row r="1186" spans="19:307" ht="15" customHeight="1" x14ac:dyDescent="0.25">
      <c r="S1186" s="1"/>
      <c r="Y1186" s="2"/>
      <c r="AP1186" s="2"/>
      <c r="HA1186" s="155"/>
      <c r="IM1186" s="2"/>
      <c r="KR1186" s="2"/>
    </row>
    <row r="1187" spans="19:307" ht="15" customHeight="1" x14ac:dyDescent="0.25">
      <c r="S1187" s="1"/>
      <c r="Y1187" s="2"/>
      <c r="AP1187" s="2"/>
      <c r="HA1187" s="155"/>
      <c r="IM1187" s="2"/>
      <c r="KR1187" s="2"/>
      <c r="KS1187" s="2"/>
    </row>
    <row r="1188" spans="19:307" ht="15" customHeight="1" x14ac:dyDescent="0.25">
      <c r="S1188" s="1"/>
      <c r="Y1188" s="2"/>
      <c r="AP1188" s="2"/>
      <c r="HA1188" s="155"/>
      <c r="IM1188" s="2"/>
      <c r="KR1188" s="2"/>
    </row>
    <row r="1189" spans="19:307" ht="15" customHeight="1" x14ac:dyDescent="0.25">
      <c r="S1189" s="1"/>
      <c r="Y1189" s="2"/>
      <c r="AP1189" s="2"/>
      <c r="HA1189" s="155"/>
      <c r="IM1189" s="2"/>
      <c r="KR1189" s="2"/>
    </row>
    <row r="1190" spans="19:307" ht="15" customHeight="1" x14ac:dyDescent="0.25">
      <c r="S1190" s="1"/>
      <c r="Y1190" s="2"/>
      <c r="AP1190" s="2"/>
      <c r="HA1190" s="155"/>
      <c r="IM1190" s="2"/>
      <c r="KR1190" s="2"/>
      <c r="KS1190" s="2"/>
    </row>
    <row r="1191" spans="19:307" ht="15" customHeight="1" x14ac:dyDescent="0.25">
      <c r="S1191" s="1"/>
      <c r="Y1191" s="2"/>
      <c r="AP1191" s="2"/>
      <c r="HA1191" s="155"/>
      <c r="IM1191" s="2"/>
      <c r="KR1191" s="2"/>
      <c r="KS1191" s="2"/>
    </row>
    <row r="1192" spans="19:307" ht="15" customHeight="1" x14ac:dyDescent="0.25">
      <c r="S1192" s="1"/>
      <c r="Y1192" s="2"/>
      <c r="AP1192" s="2"/>
      <c r="HA1192" s="155"/>
      <c r="IM1192" s="2"/>
      <c r="KR1192" s="2"/>
      <c r="KS1192" s="2"/>
      <c r="KT1192" s="2"/>
      <c r="KU1192" s="2"/>
    </row>
    <row r="1193" spans="19:307" ht="15" customHeight="1" x14ac:dyDescent="0.25">
      <c r="S1193" s="1"/>
      <c r="Y1193" s="2"/>
      <c r="AP1193" s="2"/>
      <c r="HA1193" s="155"/>
      <c r="IM1193" s="2"/>
      <c r="KR1193" s="2"/>
      <c r="KS1193" s="2"/>
    </row>
    <row r="1194" spans="19:307" ht="15" customHeight="1" x14ac:dyDescent="0.25">
      <c r="S1194" s="1"/>
      <c r="Y1194" s="2"/>
      <c r="AP1194" s="2"/>
      <c r="HA1194" s="155"/>
      <c r="IM1194" s="2"/>
      <c r="KR1194" s="2"/>
      <c r="KS1194" s="2"/>
      <c r="KT1194" s="2"/>
    </row>
    <row r="1195" spans="19:307" ht="15" customHeight="1" x14ac:dyDescent="0.25">
      <c r="S1195" s="1"/>
      <c r="Y1195" s="2"/>
      <c r="AP1195" s="2"/>
      <c r="HA1195" s="155"/>
      <c r="IM1195" s="2"/>
      <c r="KR1195" s="2"/>
    </row>
    <row r="1196" spans="19:307" ht="15" customHeight="1" x14ac:dyDescent="0.25">
      <c r="S1196" s="1"/>
      <c r="Y1196" s="2"/>
      <c r="AP1196" s="2"/>
      <c r="HA1196" s="155"/>
      <c r="IM1196" s="2"/>
      <c r="KR1196" s="2"/>
    </row>
    <row r="1197" spans="19:307" ht="15" customHeight="1" x14ac:dyDescent="0.25">
      <c r="S1197" s="1"/>
      <c r="Y1197" s="2"/>
      <c r="AP1197" s="2"/>
      <c r="HA1197" s="155"/>
      <c r="IM1197" s="2"/>
      <c r="KR1197" s="2"/>
    </row>
    <row r="1198" spans="19:307" ht="15" customHeight="1" x14ac:dyDescent="0.25">
      <c r="S1198" s="1"/>
      <c r="Y1198" s="2"/>
      <c r="AP1198" s="2"/>
      <c r="HA1198" s="155"/>
      <c r="IM1198" s="2"/>
      <c r="KR1198" s="2"/>
      <c r="KS1198" s="2"/>
    </row>
    <row r="1199" spans="19:307" ht="15" customHeight="1" x14ac:dyDescent="0.25">
      <c r="S1199" s="1"/>
      <c r="Y1199" s="2"/>
      <c r="AP1199" s="2"/>
      <c r="HA1199" s="155"/>
      <c r="IM1199" s="2"/>
      <c r="KR1199" s="2"/>
    </row>
    <row r="1200" spans="19:307" ht="15" customHeight="1" x14ac:dyDescent="0.25">
      <c r="S1200" s="1"/>
      <c r="Y1200" s="2"/>
      <c r="AP1200" s="2"/>
      <c r="HA1200" s="155"/>
      <c r="IM1200" s="2"/>
      <c r="KR1200" s="2"/>
    </row>
    <row r="1201" spans="19:307" ht="15" customHeight="1" x14ac:dyDescent="0.25">
      <c r="S1201" s="1"/>
      <c r="Y1201" s="2"/>
      <c r="AP1201" s="2"/>
      <c r="HA1201" s="155"/>
      <c r="IM1201" s="2"/>
      <c r="KR1201" s="2"/>
      <c r="KS1201" s="2"/>
    </row>
    <row r="1202" spans="19:307" ht="15" customHeight="1" x14ac:dyDescent="0.25">
      <c r="S1202" s="1"/>
      <c r="Y1202" s="2"/>
      <c r="AP1202" s="2"/>
      <c r="HA1202" s="155"/>
      <c r="IM1202" s="2"/>
      <c r="KR1202" s="2"/>
      <c r="KS1202" s="2"/>
    </row>
    <row r="1203" spans="19:307" ht="15" customHeight="1" x14ac:dyDescent="0.25">
      <c r="S1203" s="1"/>
      <c r="Y1203" s="2"/>
      <c r="AP1203" s="2"/>
      <c r="HA1203" s="155"/>
      <c r="IM1203" s="2"/>
      <c r="KR1203" s="2"/>
      <c r="KS1203" s="2"/>
    </row>
    <row r="1204" spans="19:307" ht="15" customHeight="1" x14ac:dyDescent="0.25">
      <c r="S1204" s="1"/>
      <c r="Y1204" s="2"/>
      <c r="AP1204" s="2"/>
      <c r="HA1204" s="155"/>
      <c r="IM1204" s="2"/>
      <c r="KR1204" s="2"/>
    </row>
    <row r="1205" spans="19:307" ht="15" customHeight="1" x14ac:dyDescent="0.25">
      <c r="S1205" s="1"/>
      <c r="Y1205" s="2"/>
      <c r="AP1205" s="2"/>
      <c r="HA1205" s="155"/>
      <c r="IM1205" s="2"/>
      <c r="KR1205" s="2"/>
      <c r="KS1205" s="2"/>
    </row>
    <row r="1206" spans="19:307" ht="15" customHeight="1" x14ac:dyDescent="0.25">
      <c r="S1206" s="1"/>
      <c r="Y1206" s="2"/>
      <c r="AP1206" s="2"/>
      <c r="HA1206" s="155"/>
      <c r="IM1206" s="2"/>
      <c r="KR1206" s="2"/>
      <c r="KS1206" s="2"/>
    </row>
    <row r="1207" spans="19:307" ht="15" customHeight="1" x14ac:dyDescent="0.25">
      <c r="S1207" s="1"/>
      <c r="Y1207" s="2"/>
      <c r="AP1207" s="2"/>
      <c r="HA1207" s="155"/>
      <c r="IM1207" s="2"/>
      <c r="KR1207" s="2"/>
      <c r="KS1207" s="2"/>
    </row>
    <row r="1208" spans="19:307" ht="15" customHeight="1" x14ac:dyDescent="0.25">
      <c r="S1208" s="1"/>
      <c r="Y1208" s="2"/>
      <c r="AP1208" s="2"/>
      <c r="HA1208" s="155"/>
      <c r="IM1208" s="2"/>
      <c r="KR1208" s="2"/>
    </row>
    <row r="1209" spans="19:307" ht="15" customHeight="1" x14ac:dyDescent="0.25">
      <c r="S1209" s="1"/>
      <c r="Y1209" s="2"/>
      <c r="AP1209" s="2"/>
      <c r="HA1209" s="155"/>
      <c r="IM1209" s="2"/>
      <c r="KR1209" s="2"/>
    </row>
    <row r="1210" spans="19:307" ht="15" customHeight="1" x14ac:dyDescent="0.25">
      <c r="S1210" s="1"/>
      <c r="Y1210" s="2"/>
      <c r="AP1210" s="2"/>
      <c r="HA1210" s="155"/>
      <c r="IM1210" s="2"/>
      <c r="KR1210" s="2"/>
      <c r="KS1210" s="2"/>
    </row>
    <row r="1211" spans="19:307" ht="15" customHeight="1" x14ac:dyDescent="0.25">
      <c r="S1211" s="1"/>
      <c r="Y1211" s="2"/>
      <c r="AP1211" s="2"/>
      <c r="HA1211" s="155"/>
      <c r="IM1211" s="2"/>
      <c r="KR1211" s="2"/>
    </row>
    <row r="1212" spans="19:307" ht="15" customHeight="1" x14ac:dyDescent="0.25">
      <c r="S1212" s="1"/>
      <c r="Y1212" s="2"/>
      <c r="AP1212" s="2"/>
      <c r="HA1212" s="155"/>
      <c r="IM1212" s="2"/>
      <c r="KR1212" s="2"/>
    </row>
    <row r="1213" spans="19:307" ht="15" customHeight="1" x14ac:dyDescent="0.25">
      <c r="S1213" s="1"/>
      <c r="Y1213" s="2"/>
      <c r="AP1213" s="2"/>
      <c r="HA1213" s="155"/>
      <c r="IM1213" s="2"/>
      <c r="KR1213" s="2"/>
      <c r="KS1213" s="2"/>
      <c r="KT1213" s="2"/>
    </row>
    <row r="1214" spans="19:307" ht="15" customHeight="1" x14ac:dyDescent="0.25">
      <c r="S1214" s="1"/>
      <c r="Y1214" s="2"/>
      <c r="AP1214" s="2"/>
      <c r="HA1214" s="155"/>
      <c r="IM1214" s="2"/>
      <c r="KR1214" s="2"/>
      <c r="KS1214" s="2"/>
      <c r="KT1214" s="2"/>
    </row>
    <row r="1215" spans="19:307" ht="15" customHeight="1" x14ac:dyDescent="0.25">
      <c r="S1215" s="1"/>
      <c r="Y1215" s="2"/>
      <c r="AP1215" s="2"/>
      <c r="HA1215" s="155"/>
      <c r="IM1215" s="2"/>
      <c r="KR1215" s="2"/>
      <c r="KS1215" s="2"/>
    </row>
    <row r="1216" spans="19:307" ht="15" customHeight="1" x14ac:dyDescent="0.25">
      <c r="S1216" s="1"/>
      <c r="Y1216" s="2"/>
      <c r="AP1216" s="2"/>
      <c r="HA1216" s="155"/>
      <c r="IM1216" s="2"/>
      <c r="KR1216" s="2"/>
      <c r="KS1216" s="2"/>
      <c r="KT1216" s="2"/>
      <c r="KU1216" s="2"/>
    </row>
    <row r="1217" spans="19:306" ht="15" customHeight="1" x14ac:dyDescent="0.25">
      <c r="S1217" s="1"/>
      <c r="Y1217" s="2"/>
      <c r="AP1217" s="2"/>
      <c r="HA1217" s="155"/>
      <c r="IM1217" s="2"/>
      <c r="KR1217" s="2"/>
    </row>
    <row r="1218" spans="19:306" ht="15" customHeight="1" x14ac:dyDescent="0.25">
      <c r="S1218" s="1"/>
      <c r="Y1218" s="2"/>
      <c r="AP1218" s="2"/>
      <c r="HA1218" s="155"/>
      <c r="IM1218" s="2"/>
      <c r="KR1218" s="2"/>
    </row>
    <row r="1219" spans="19:306" ht="15" customHeight="1" x14ac:dyDescent="0.25">
      <c r="S1219" s="1"/>
      <c r="Y1219" s="2"/>
      <c r="AP1219" s="2"/>
      <c r="HA1219" s="155"/>
      <c r="IM1219" s="2"/>
      <c r="KR1219" s="2"/>
    </row>
    <row r="1220" spans="19:306" ht="15" customHeight="1" x14ac:dyDescent="0.25">
      <c r="S1220" s="1"/>
      <c r="Y1220" s="2"/>
      <c r="AP1220" s="2"/>
      <c r="HA1220" s="155"/>
      <c r="IM1220" s="2"/>
      <c r="KR1220" s="2"/>
      <c r="KS1220" s="2"/>
    </row>
    <row r="1221" spans="19:306" ht="15" customHeight="1" x14ac:dyDescent="0.25">
      <c r="S1221" s="1"/>
      <c r="Y1221" s="2"/>
      <c r="AP1221" s="2"/>
      <c r="HA1221" s="155"/>
      <c r="IM1221" s="2"/>
      <c r="KR1221" s="2"/>
      <c r="KS1221" s="2"/>
    </row>
    <row r="1222" spans="19:306" ht="15" customHeight="1" x14ac:dyDescent="0.25">
      <c r="S1222" s="1"/>
      <c r="Y1222" s="2"/>
      <c r="AP1222" s="2"/>
      <c r="HA1222" s="155"/>
      <c r="IM1222" s="2"/>
      <c r="KR1222" s="2"/>
      <c r="KS1222" s="2"/>
    </row>
    <row r="1223" spans="19:306" ht="15" customHeight="1" x14ac:dyDescent="0.25">
      <c r="S1223" s="1"/>
      <c r="Y1223" s="2"/>
      <c r="AP1223" s="2"/>
      <c r="HA1223" s="155"/>
      <c r="IM1223" s="2"/>
      <c r="KR1223" s="2"/>
    </row>
    <row r="1224" spans="19:306" ht="15" customHeight="1" x14ac:dyDescent="0.25">
      <c r="S1224" s="1"/>
      <c r="Y1224" s="2"/>
      <c r="AP1224" s="2"/>
      <c r="HA1224" s="155"/>
      <c r="IM1224" s="2"/>
      <c r="KR1224" s="2"/>
      <c r="KS1224" s="2"/>
      <c r="KT1224" s="2"/>
    </row>
    <row r="1225" spans="19:306" ht="15" customHeight="1" x14ac:dyDescent="0.25">
      <c r="S1225" s="1"/>
      <c r="Y1225" s="2"/>
      <c r="AP1225" s="2"/>
      <c r="HA1225" s="155"/>
      <c r="IM1225" s="2"/>
      <c r="KR1225" s="2"/>
    </row>
    <row r="1226" spans="19:306" ht="15" customHeight="1" x14ac:dyDescent="0.25">
      <c r="S1226" s="1"/>
      <c r="Y1226" s="2"/>
      <c r="AP1226" s="2"/>
      <c r="HA1226" s="155"/>
      <c r="IM1226" s="2"/>
    </row>
    <row r="1227" spans="19:306" ht="15" customHeight="1" x14ac:dyDescent="0.25">
      <c r="S1227" s="1"/>
      <c r="Y1227" s="2"/>
      <c r="AP1227" s="2"/>
      <c r="HA1227" s="155"/>
      <c r="IM1227" s="2"/>
    </row>
    <row r="1228" spans="19:306" ht="15" customHeight="1" x14ac:dyDescent="0.25">
      <c r="S1228" s="1"/>
      <c r="Y1228" s="2"/>
      <c r="AP1228" s="2"/>
      <c r="HA1228" s="155"/>
      <c r="IM1228" s="2"/>
    </row>
    <row r="1229" spans="19:306" ht="15" customHeight="1" x14ac:dyDescent="0.25">
      <c r="S1229" s="1"/>
      <c r="Y1229" s="2"/>
      <c r="AP1229" s="2"/>
      <c r="HA1229" s="155"/>
      <c r="IM1229" s="2"/>
      <c r="KR1229" s="2"/>
    </row>
    <row r="1230" spans="19:306" ht="15" customHeight="1" x14ac:dyDescent="0.25">
      <c r="S1230" s="1"/>
      <c r="Y1230" s="2"/>
      <c r="AP1230" s="2"/>
      <c r="HA1230" s="155"/>
      <c r="IM1230" s="2"/>
      <c r="KR1230" s="2"/>
      <c r="KS1230" s="2"/>
    </row>
    <row r="1231" spans="19:306" ht="15" customHeight="1" x14ac:dyDescent="0.25">
      <c r="S1231" s="1"/>
      <c r="Y1231" s="2"/>
      <c r="AP1231" s="2"/>
      <c r="HA1231" s="155"/>
      <c r="IM1231" s="2"/>
      <c r="KR1231" s="2"/>
    </row>
    <row r="1232" spans="19:306" ht="15" customHeight="1" x14ac:dyDescent="0.25">
      <c r="S1232" s="1"/>
      <c r="Y1232" s="2"/>
      <c r="AP1232" s="2"/>
      <c r="HA1232" s="155"/>
      <c r="IM1232" s="2"/>
      <c r="KR1232" s="2"/>
      <c r="KS1232" s="2"/>
    </row>
    <row r="1233" spans="19:316" ht="15" customHeight="1" x14ac:dyDescent="0.25">
      <c r="S1233" s="1"/>
      <c r="Y1233" s="2"/>
      <c r="AP1233" s="2"/>
      <c r="HA1233" s="155"/>
      <c r="IM1233" s="2"/>
      <c r="KR1233" s="2"/>
    </row>
    <row r="1234" spans="19:316" ht="15" customHeight="1" x14ac:dyDescent="0.25">
      <c r="S1234" s="1"/>
      <c r="Y1234" s="2"/>
      <c r="AP1234" s="2"/>
      <c r="HA1234" s="155"/>
      <c r="IM1234" s="2"/>
    </row>
    <row r="1235" spans="19:316" ht="15" customHeight="1" x14ac:dyDescent="0.25">
      <c r="S1235" s="1"/>
      <c r="Y1235" s="2"/>
      <c r="AP1235" s="2"/>
      <c r="HA1235" s="155"/>
      <c r="IM1235" s="2"/>
      <c r="KR1235" s="2"/>
    </row>
    <row r="1236" spans="19:316" ht="15" customHeight="1" x14ac:dyDescent="0.25">
      <c r="S1236" s="1"/>
      <c r="Y1236" s="2"/>
      <c r="AP1236" s="2"/>
      <c r="HA1236" s="155"/>
      <c r="IM1236" s="2"/>
      <c r="KR1236" s="2"/>
    </row>
    <row r="1237" spans="19:316" ht="15" customHeight="1" x14ac:dyDescent="0.25">
      <c r="S1237" s="1"/>
      <c r="Y1237" s="2"/>
      <c r="AP1237" s="2"/>
      <c r="HA1237" s="155"/>
      <c r="IM1237" s="2"/>
    </row>
    <row r="1238" spans="19:316" ht="15" customHeight="1" x14ac:dyDescent="0.25">
      <c r="S1238" s="1"/>
      <c r="Y1238" s="2"/>
      <c r="AP1238" s="2"/>
      <c r="HA1238" s="155"/>
      <c r="IM1238" s="2"/>
      <c r="KR1238" s="2"/>
      <c r="KS1238" s="2"/>
      <c r="KT1238" s="2"/>
      <c r="KU1238" s="2"/>
      <c r="KV1238" s="2"/>
      <c r="KW1238" s="2"/>
      <c r="KX1238" s="2"/>
      <c r="KY1238" s="2"/>
      <c r="KZ1238" s="2"/>
      <c r="LA1238" s="2"/>
      <c r="LB1238" s="2"/>
      <c r="LC1238" s="2"/>
      <c r="LD1238" s="2"/>
    </row>
    <row r="1239" spans="19:316" ht="15" customHeight="1" x14ac:dyDescent="0.25">
      <c r="S1239" s="1"/>
      <c r="Y1239" s="2"/>
      <c r="AP1239" s="2"/>
      <c r="HA1239" s="155"/>
      <c r="IM1239" s="2"/>
      <c r="KR1239" s="2"/>
      <c r="KS1239" s="2"/>
    </row>
    <row r="1240" spans="19:316" ht="15" customHeight="1" x14ac:dyDescent="0.25">
      <c r="S1240" s="1"/>
      <c r="Y1240" s="2"/>
      <c r="AP1240" s="2"/>
      <c r="HA1240" s="155"/>
      <c r="IM1240" s="2"/>
      <c r="KR1240" s="2"/>
    </row>
    <row r="1241" spans="19:316" ht="15" customHeight="1" x14ac:dyDescent="0.25">
      <c r="S1241" s="1"/>
      <c r="Y1241" s="2"/>
      <c r="AP1241" s="2"/>
      <c r="HA1241" s="155"/>
      <c r="IM1241" s="2"/>
      <c r="KR1241" s="2"/>
      <c r="KS1241" s="2"/>
      <c r="KT1241" s="2"/>
      <c r="KU1241" s="2"/>
    </row>
    <row r="1242" spans="19:316" ht="15" customHeight="1" x14ac:dyDescent="0.25">
      <c r="S1242" s="1"/>
      <c r="Y1242" s="2"/>
      <c r="AP1242" s="2"/>
      <c r="HA1242" s="155"/>
      <c r="IM1242" s="2"/>
      <c r="KR1242" s="2"/>
      <c r="KS1242" s="2"/>
    </row>
    <row r="1243" spans="19:316" ht="15" customHeight="1" x14ac:dyDescent="0.25">
      <c r="S1243" s="1"/>
      <c r="Y1243" s="2"/>
      <c r="AP1243" s="2"/>
      <c r="HA1243" s="155"/>
      <c r="IM1243" s="2"/>
      <c r="KR1243" s="2"/>
    </row>
    <row r="1244" spans="19:316" ht="15" customHeight="1" x14ac:dyDescent="0.25">
      <c r="S1244" s="1"/>
      <c r="Y1244" s="2"/>
      <c r="AP1244" s="2"/>
      <c r="HA1244" s="155"/>
      <c r="IM1244" s="2"/>
      <c r="KR1244" s="2"/>
    </row>
    <row r="1245" spans="19:316" ht="15" customHeight="1" x14ac:dyDescent="0.25">
      <c r="S1245" s="1"/>
      <c r="Y1245" s="2"/>
      <c r="AP1245" s="2"/>
      <c r="HA1245" s="155"/>
      <c r="IM1245" s="2"/>
      <c r="KR1245" s="2"/>
    </row>
    <row r="1246" spans="19:316" ht="15" customHeight="1" x14ac:dyDescent="0.25">
      <c r="S1246" s="1"/>
      <c r="Y1246" s="2"/>
      <c r="AP1246" s="2"/>
      <c r="HA1246" s="155"/>
      <c r="IM1246" s="2"/>
    </row>
    <row r="1247" spans="19:316" ht="15" customHeight="1" x14ac:dyDescent="0.25">
      <c r="S1247" s="1"/>
      <c r="Y1247" s="2"/>
      <c r="AP1247" s="2"/>
      <c r="HA1247" s="155"/>
      <c r="IM1247" s="2"/>
      <c r="KR1247" s="2"/>
    </row>
    <row r="1248" spans="19:316" ht="15" customHeight="1" x14ac:dyDescent="0.25">
      <c r="S1248" s="1"/>
      <c r="Y1248" s="2"/>
      <c r="AP1248" s="2"/>
      <c r="HA1248" s="155"/>
      <c r="IM1248" s="2"/>
      <c r="KR1248" s="2"/>
      <c r="KS1248" s="2"/>
    </row>
    <row r="1249" spans="19:307" ht="15" customHeight="1" x14ac:dyDescent="0.25">
      <c r="S1249" s="1"/>
      <c r="Y1249" s="2"/>
      <c r="AP1249" s="2"/>
      <c r="HA1249" s="155"/>
      <c r="IM1249" s="2"/>
      <c r="KR1249" s="2"/>
    </row>
    <row r="1250" spans="19:307" ht="15" customHeight="1" x14ac:dyDescent="0.25">
      <c r="S1250" s="1"/>
      <c r="Y1250" s="2"/>
      <c r="AP1250" s="2"/>
      <c r="HA1250" s="155"/>
      <c r="IM1250" s="2"/>
      <c r="KR1250" s="2"/>
      <c r="KS1250" s="2"/>
    </row>
    <row r="1251" spans="19:307" ht="15" customHeight="1" x14ac:dyDescent="0.25">
      <c r="S1251" s="1"/>
      <c r="Y1251" s="2"/>
      <c r="AP1251" s="2"/>
      <c r="HA1251" s="155"/>
      <c r="IM1251" s="2"/>
    </row>
    <row r="1252" spans="19:307" ht="15" customHeight="1" x14ac:dyDescent="0.25">
      <c r="S1252" s="1"/>
      <c r="Y1252" s="2"/>
      <c r="AP1252" s="2"/>
      <c r="HA1252" s="155"/>
      <c r="IM1252" s="2"/>
    </row>
    <row r="1253" spans="19:307" ht="15" customHeight="1" x14ac:dyDescent="0.25">
      <c r="S1253" s="1"/>
      <c r="Y1253" s="2"/>
      <c r="AP1253" s="2"/>
      <c r="HA1253" s="155"/>
      <c r="IM1253" s="2"/>
      <c r="KR1253" s="2"/>
    </row>
    <row r="1254" spans="19:307" ht="15" customHeight="1" x14ac:dyDescent="0.25">
      <c r="S1254" s="1"/>
      <c r="Y1254" s="2"/>
      <c r="AP1254" s="2"/>
      <c r="HA1254" s="155"/>
      <c r="IM1254" s="2"/>
      <c r="KR1254" s="2"/>
    </row>
    <row r="1255" spans="19:307" ht="15" customHeight="1" x14ac:dyDescent="0.25">
      <c r="S1255" s="1"/>
      <c r="Y1255" s="2"/>
      <c r="AP1255" s="2"/>
      <c r="HA1255" s="155"/>
      <c r="IM1255" s="2"/>
    </row>
    <row r="1256" spans="19:307" ht="15" customHeight="1" x14ac:dyDescent="0.25">
      <c r="S1256" s="1"/>
      <c r="Y1256" s="2"/>
      <c r="AP1256" s="2"/>
      <c r="HA1256" s="155"/>
      <c r="IM1256" s="2"/>
    </row>
    <row r="1257" spans="19:307" ht="15" customHeight="1" x14ac:dyDescent="0.25">
      <c r="S1257" s="1"/>
      <c r="Y1257" s="2"/>
      <c r="AP1257" s="2"/>
      <c r="HA1257" s="155"/>
      <c r="IM1257" s="2"/>
    </row>
    <row r="1258" spans="19:307" ht="15" customHeight="1" x14ac:dyDescent="0.25">
      <c r="S1258" s="1"/>
      <c r="Y1258" s="2"/>
      <c r="AP1258" s="2"/>
      <c r="HA1258" s="155"/>
      <c r="IM1258" s="2"/>
      <c r="KR1258" s="2"/>
      <c r="KS1258" s="2"/>
      <c r="KT1258" s="2"/>
      <c r="KU1258" s="2"/>
    </row>
    <row r="1259" spans="19:307" ht="15" customHeight="1" x14ac:dyDescent="0.25">
      <c r="S1259" s="1"/>
      <c r="Y1259" s="2"/>
      <c r="AP1259" s="2"/>
      <c r="HA1259" s="155"/>
      <c r="IM1259" s="2"/>
      <c r="KR1259" s="2"/>
    </row>
    <row r="1260" spans="19:307" ht="15" customHeight="1" x14ac:dyDescent="0.25">
      <c r="S1260" s="1"/>
      <c r="Y1260" s="2"/>
      <c r="AP1260" s="2"/>
      <c r="HA1260" s="155"/>
      <c r="IM1260" s="2"/>
      <c r="KR1260" s="2"/>
    </row>
    <row r="1261" spans="19:307" ht="15" customHeight="1" x14ac:dyDescent="0.25">
      <c r="S1261" s="1"/>
      <c r="Y1261" s="2"/>
      <c r="AP1261" s="2"/>
      <c r="HA1261" s="155"/>
      <c r="IM1261" s="2"/>
      <c r="KR1261" s="2"/>
    </row>
    <row r="1262" spans="19:307" ht="15" customHeight="1" x14ac:dyDescent="0.25">
      <c r="Y1262" s="2"/>
      <c r="AP1262" s="2"/>
      <c r="HA1262" s="155"/>
      <c r="IM1262" s="2"/>
      <c r="KR1262" s="2"/>
      <c r="KS1262" s="2"/>
      <c r="KT1262" s="2"/>
    </row>
    <row r="1263" spans="19:307" ht="15" customHeight="1" x14ac:dyDescent="0.25">
      <c r="S1263" s="1"/>
      <c r="Y1263" s="2"/>
      <c r="AP1263" s="2"/>
      <c r="HA1263" s="155"/>
      <c r="IM1263" s="2"/>
      <c r="KR1263" s="2"/>
    </row>
    <row r="1264" spans="19:307" ht="15" customHeight="1" x14ac:dyDescent="0.25">
      <c r="S1264" s="1"/>
      <c r="Y1264" s="2"/>
      <c r="AP1264" s="2"/>
      <c r="HA1264" s="155"/>
      <c r="IM1264" s="2"/>
      <c r="KR1264" s="2"/>
    </row>
    <row r="1265" spans="19:308" ht="15" customHeight="1" x14ac:dyDescent="0.25">
      <c r="S1265" s="1"/>
      <c r="Y1265" s="2"/>
      <c r="AP1265" s="2"/>
      <c r="HA1265" s="155"/>
      <c r="IM1265" s="2"/>
      <c r="KR1265" s="2"/>
    </row>
    <row r="1266" spans="19:308" ht="15" customHeight="1" x14ac:dyDescent="0.25">
      <c r="S1266" s="1"/>
      <c r="Y1266" s="2"/>
      <c r="AP1266" s="2"/>
      <c r="HA1266" s="155"/>
      <c r="IM1266" s="2"/>
      <c r="KR1266" s="2"/>
    </row>
    <row r="1267" spans="19:308" ht="15" customHeight="1" x14ac:dyDescent="0.25">
      <c r="S1267" s="1"/>
      <c r="Y1267" s="2"/>
      <c r="AP1267" s="2"/>
      <c r="HA1267" s="155"/>
      <c r="IM1267" s="2"/>
      <c r="KR1267" s="2"/>
    </row>
    <row r="1268" spans="19:308" ht="15" customHeight="1" x14ac:dyDescent="0.25">
      <c r="S1268" s="1"/>
      <c r="Y1268" s="2"/>
      <c r="AP1268" s="2"/>
      <c r="HA1268" s="155"/>
      <c r="IM1268" s="2"/>
      <c r="KR1268" s="2"/>
      <c r="KS1268" s="2"/>
    </row>
    <row r="1269" spans="19:308" ht="15" customHeight="1" x14ac:dyDescent="0.25">
      <c r="S1269" s="1"/>
      <c r="Y1269" s="2"/>
      <c r="AP1269" s="2"/>
      <c r="HA1269" s="155"/>
      <c r="IM1269" s="2"/>
      <c r="KR1269" s="2"/>
    </row>
    <row r="1270" spans="19:308" ht="15" customHeight="1" x14ac:dyDescent="0.25">
      <c r="S1270" s="1"/>
      <c r="Y1270" s="2"/>
      <c r="AP1270" s="2"/>
      <c r="HA1270" s="155"/>
      <c r="IM1270" s="2"/>
      <c r="KR1270" s="2"/>
    </row>
    <row r="1271" spans="19:308" ht="15" customHeight="1" x14ac:dyDescent="0.25">
      <c r="S1271" s="1"/>
      <c r="Y1271" s="2"/>
      <c r="AP1271" s="2"/>
      <c r="HA1271" s="155"/>
      <c r="IM1271" s="2"/>
      <c r="KR1271" s="2"/>
    </row>
    <row r="1272" spans="19:308" ht="15" customHeight="1" x14ac:dyDescent="0.25">
      <c r="S1272" s="1"/>
      <c r="Y1272" s="2"/>
      <c r="AP1272" s="2"/>
      <c r="HA1272" s="155"/>
      <c r="IM1272" s="2"/>
    </row>
    <row r="1273" spans="19:308" ht="15" customHeight="1" x14ac:dyDescent="0.25">
      <c r="S1273" s="1"/>
      <c r="Y1273" s="2"/>
      <c r="AP1273" s="2"/>
      <c r="HA1273" s="155"/>
      <c r="IM1273" s="2"/>
      <c r="KR1273" s="2"/>
      <c r="KS1273" s="2"/>
      <c r="KT1273" s="2"/>
      <c r="KU1273" s="2"/>
      <c r="KV1273" s="2"/>
    </row>
    <row r="1274" spans="19:308" ht="15" customHeight="1" x14ac:dyDescent="0.25">
      <c r="S1274" s="1"/>
      <c r="Y1274" s="2"/>
      <c r="AP1274" s="2"/>
      <c r="HA1274" s="155"/>
      <c r="IM1274" s="2"/>
      <c r="KR1274" s="2"/>
      <c r="KS1274" s="2"/>
      <c r="KT1274" s="2"/>
    </row>
    <row r="1275" spans="19:308" ht="15" customHeight="1" x14ac:dyDescent="0.25">
      <c r="S1275" s="1"/>
      <c r="Y1275" s="2"/>
      <c r="AP1275" s="2"/>
      <c r="HA1275" s="155"/>
      <c r="IM1275" s="2"/>
      <c r="KR1275" s="2"/>
      <c r="KS1275" s="2"/>
    </row>
    <row r="1276" spans="19:308" ht="15" customHeight="1" x14ac:dyDescent="0.25">
      <c r="S1276" s="1"/>
      <c r="Y1276" s="2"/>
      <c r="AP1276" s="2"/>
      <c r="HA1276" s="155"/>
      <c r="IM1276" s="2"/>
    </row>
    <row r="1277" spans="19:308" ht="15" customHeight="1" x14ac:dyDescent="0.25">
      <c r="S1277" s="1"/>
      <c r="Y1277" s="2"/>
      <c r="AP1277" s="2"/>
      <c r="HA1277" s="155"/>
      <c r="IM1277" s="2"/>
    </row>
    <row r="1278" spans="19:308" ht="15" customHeight="1" x14ac:dyDescent="0.25">
      <c r="S1278" s="1"/>
      <c r="Y1278" s="2"/>
      <c r="AP1278" s="2"/>
      <c r="HA1278" s="155"/>
      <c r="IM1278" s="2"/>
      <c r="KR1278" s="2"/>
      <c r="KS1278" s="2"/>
      <c r="KT1278" s="2"/>
      <c r="KU1278" s="2"/>
    </row>
    <row r="1279" spans="19:308" ht="15" customHeight="1" x14ac:dyDescent="0.25">
      <c r="S1279" s="1"/>
      <c r="Y1279" s="2"/>
      <c r="AP1279" s="2"/>
      <c r="HA1279" s="155"/>
      <c r="IM1279" s="2"/>
    </row>
    <row r="1280" spans="19:308" ht="15" customHeight="1" x14ac:dyDescent="0.25">
      <c r="S1280" s="1"/>
      <c r="Y1280" s="2"/>
      <c r="AP1280" s="2"/>
      <c r="HA1280" s="155"/>
      <c r="IM1280" s="2"/>
      <c r="KR1280" s="2"/>
    </row>
    <row r="1281" spans="19:309" ht="15" customHeight="1" x14ac:dyDescent="0.25">
      <c r="S1281" s="1"/>
      <c r="Y1281" s="2"/>
      <c r="AP1281" s="2"/>
      <c r="HA1281" s="155"/>
      <c r="IM1281" s="2"/>
      <c r="KR1281" s="2"/>
      <c r="KS1281" s="2"/>
    </row>
    <row r="1282" spans="19:309" ht="15" customHeight="1" x14ac:dyDescent="0.25">
      <c r="S1282" s="1"/>
      <c r="Y1282" s="2"/>
      <c r="AP1282" s="2"/>
      <c r="HA1282" s="155"/>
      <c r="IM1282" s="2"/>
      <c r="KR1282" s="2"/>
    </row>
    <row r="1283" spans="19:309" ht="15" customHeight="1" x14ac:dyDescent="0.25">
      <c r="S1283" s="1"/>
      <c r="Y1283" s="2"/>
      <c r="AP1283" s="2"/>
      <c r="HA1283" s="155"/>
      <c r="IM1283" s="2"/>
      <c r="KR1283" s="2"/>
    </row>
    <row r="1284" spans="19:309" ht="15" customHeight="1" x14ac:dyDescent="0.25">
      <c r="S1284" s="1"/>
      <c r="Y1284" s="2"/>
      <c r="AP1284" s="2"/>
      <c r="HA1284" s="155"/>
      <c r="IM1284" s="2"/>
      <c r="KR1284" s="2"/>
      <c r="KS1284" s="2"/>
      <c r="KT1284" s="2"/>
      <c r="KU1284" s="2"/>
    </row>
    <row r="1285" spans="19:309" ht="15" customHeight="1" x14ac:dyDescent="0.25">
      <c r="S1285" s="1"/>
      <c r="Y1285" s="2"/>
      <c r="AP1285" s="2"/>
      <c r="HA1285" s="155"/>
      <c r="IM1285" s="2"/>
      <c r="KR1285" s="2"/>
    </row>
    <row r="1286" spans="19:309" ht="15" customHeight="1" x14ac:dyDescent="0.25">
      <c r="S1286" s="1"/>
      <c r="Y1286" s="2"/>
      <c r="AP1286" s="2"/>
      <c r="HA1286" s="155"/>
      <c r="IM1286" s="2"/>
      <c r="KR1286" s="2"/>
    </row>
    <row r="1287" spans="19:309" ht="15" customHeight="1" x14ac:dyDescent="0.25">
      <c r="S1287" s="1"/>
      <c r="Y1287" s="2"/>
      <c r="AP1287" s="2"/>
      <c r="HA1287" s="155"/>
      <c r="IM1287" s="2"/>
      <c r="KR1287" s="2"/>
      <c r="KS1287" s="2"/>
    </row>
    <row r="1288" spans="19:309" ht="15" customHeight="1" x14ac:dyDescent="0.25">
      <c r="S1288" s="1"/>
      <c r="Y1288" s="2"/>
      <c r="AP1288" s="2"/>
      <c r="HA1288" s="155"/>
      <c r="IM1288" s="2"/>
      <c r="KR1288" s="2"/>
      <c r="KS1288" s="2"/>
    </row>
    <row r="1289" spans="19:309" ht="15" customHeight="1" x14ac:dyDescent="0.25">
      <c r="S1289" s="1"/>
      <c r="Y1289" s="2"/>
      <c r="AP1289" s="2"/>
      <c r="HA1289" s="155"/>
      <c r="IM1289" s="2"/>
      <c r="KR1289" s="2"/>
      <c r="KS1289" s="2"/>
      <c r="KT1289" s="2"/>
      <c r="KU1289" s="2"/>
      <c r="KV1289" s="2"/>
      <c r="KW1289" s="2"/>
    </row>
    <row r="1290" spans="19:309" ht="15" customHeight="1" x14ac:dyDescent="0.25">
      <c r="S1290" s="1"/>
      <c r="Y1290" s="2"/>
      <c r="AP1290" s="2"/>
      <c r="HA1290" s="155"/>
      <c r="IM1290" s="2"/>
      <c r="KR1290" s="2"/>
    </row>
    <row r="1291" spans="19:309" ht="15" customHeight="1" x14ac:dyDescent="0.25">
      <c r="S1291" s="1"/>
      <c r="Y1291" s="2"/>
      <c r="AP1291" s="2"/>
      <c r="HA1291" s="155"/>
      <c r="IM1291" s="2"/>
      <c r="KR1291" s="2"/>
      <c r="KS1291" s="2"/>
    </row>
    <row r="1292" spans="19:309" ht="15" customHeight="1" x14ac:dyDescent="0.25">
      <c r="S1292" s="1"/>
      <c r="Y1292" s="2"/>
      <c r="AP1292" s="2"/>
      <c r="HA1292" s="155"/>
      <c r="IM1292" s="2"/>
      <c r="KR1292" s="2"/>
      <c r="KS1292" s="2"/>
    </row>
    <row r="1293" spans="19:309" ht="15" customHeight="1" x14ac:dyDescent="0.25">
      <c r="S1293" s="1"/>
      <c r="Y1293" s="2"/>
      <c r="AP1293" s="2"/>
      <c r="HA1293" s="155"/>
      <c r="IM1293" s="2"/>
      <c r="KR1293" s="2"/>
      <c r="KS1293" s="2"/>
    </row>
    <row r="1294" spans="19:309" ht="15" customHeight="1" x14ac:dyDescent="0.25">
      <c r="S1294" s="1"/>
      <c r="Y1294" s="2"/>
      <c r="AP1294" s="2"/>
      <c r="HA1294" s="155"/>
      <c r="IM1294" s="2"/>
      <c r="KR1294" s="2"/>
    </row>
    <row r="1295" spans="19:309" ht="15" customHeight="1" x14ac:dyDescent="0.25">
      <c r="S1295" s="1"/>
      <c r="Y1295" s="2"/>
      <c r="AP1295" s="2"/>
      <c r="HA1295" s="155"/>
      <c r="IM1295" s="2"/>
      <c r="KR1295" s="2"/>
    </row>
    <row r="1296" spans="19:309" ht="15" customHeight="1" x14ac:dyDescent="0.25">
      <c r="S1296" s="1"/>
      <c r="Y1296" s="2"/>
      <c r="AP1296" s="2"/>
      <c r="HA1296" s="155"/>
      <c r="IM1296" s="2"/>
    </row>
    <row r="1297" spans="19:308" ht="15" customHeight="1" x14ac:dyDescent="0.25">
      <c r="S1297" s="1"/>
      <c r="Y1297" s="2"/>
      <c r="AP1297" s="2"/>
      <c r="HA1297" s="155"/>
      <c r="IM1297" s="2"/>
      <c r="KR1297" s="2"/>
    </row>
    <row r="1298" spans="19:308" ht="15" customHeight="1" x14ac:dyDescent="0.25">
      <c r="S1298" s="1"/>
      <c r="Y1298" s="2"/>
      <c r="AP1298" s="2"/>
      <c r="HA1298" s="155"/>
      <c r="IM1298" s="2"/>
      <c r="KR1298" s="2"/>
    </row>
    <row r="1299" spans="19:308" ht="15" customHeight="1" x14ac:dyDescent="0.25">
      <c r="S1299" s="1"/>
      <c r="Y1299" s="2"/>
      <c r="AP1299" s="2"/>
      <c r="HA1299" s="155"/>
      <c r="IM1299" s="2"/>
    </row>
    <row r="1300" spans="19:308" ht="15" customHeight="1" x14ac:dyDescent="0.25">
      <c r="S1300" s="1"/>
      <c r="Y1300" s="2"/>
      <c r="AP1300" s="2"/>
      <c r="HA1300" s="155"/>
      <c r="IM1300" s="2"/>
      <c r="KR1300" s="2"/>
    </row>
    <row r="1301" spans="19:308" ht="15" customHeight="1" x14ac:dyDescent="0.25">
      <c r="S1301" s="1"/>
      <c r="Y1301" s="2"/>
      <c r="AP1301" s="2"/>
      <c r="HA1301" s="155"/>
      <c r="IM1301" s="2"/>
      <c r="KR1301" s="2"/>
    </row>
    <row r="1302" spans="19:308" ht="15" customHeight="1" x14ac:dyDescent="0.25">
      <c r="S1302" s="1"/>
      <c r="Y1302" s="2"/>
      <c r="AP1302" s="2"/>
      <c r="HA1302" s="155"/>
      <c r="IM1302" s="2"/>
      <c r="KR1302" s="2"/>
    </row>
    <row r="1303" spans="19:308" ht="15" customHeight="1" x14ac:dyDescent="0.25">
      <c r="S1303" s="1"/>
      <c r="Y1303" s="2"/>
      <c r="AP1303" s="2"/>
      <c r="HA1303" s="155"/>
      <c r="IM1303" s="2"/>
      <c r="KR1303" s="2"/>
      <c r="KS1303" s="2"/>
    </row>
    <row r="1304" spans="19:308" ht="15" customHeight="1" x14ac:dyDescent="0.25">
      <c r="S1304" s="1"/>
      <c r="Y1304" s="2"/>
      <c r="AP1304" s="2"/>
      <c r="HA1304" s="155"/>
      <c r="IM1304" s="2"/>
      <c r="KR1304" s="2"/>
      <c r="KS1304" s="2"/>
      <c r="KT1304" s="2"/>
      <c r="KU1304" s="2"/>
      <c r="KV1304" s="2"/>
    </row>
    <row r="1305" spans="19:308" ht="15" customHeight="1" x14ac:dyDescent="0.25">
      <c r="S1305" s="1"/>
      <c r="Y1305" s="2"/>
      <c r="AP1305" s="2"/>
      <c r="HA1305" s="155"/>
      <c r="IM1305" s="2"/>
      <c r="KR1305" s="2"/>
    </row>
    <row r="1306" spans="19:308" ht="15" customHeight="1" x14ac:dyDescent="0.25">
      <c r="S1306" s="1"/>
      <c r="Y1306" s="2"/>
      <c r="AP1306" s="2"/>
      <c r="HA1306" s="155"/>
      <c r="IM1306" s="2"/>
      <c r="KR1306" s="2"/>
      <c r="KS1306" s="2"/>
    </row>
    <row r="1307" spans="19:308" ht="15" customHeight="1" x14ac:dyDescent="0.25">
      <c r="S1307" s="1"/>
      <c r="Y1307" s="2"/>
      <c r="AP1307" s="2"/>
      <c r="HA1307" s="155"/>
      <c r="IM1307" s="2"/>
      <c r="KR1307" s="2"/>
    </row>
    <row r="1308" spans="19:308" ht="15" customHeight="1" x14ac:dyDescent="0.25">
      <c r="S1308" s="1"/>
      <c r="Y1308" s="2"/>
      <c r="AP1308" s="2"/>
      <c r="HA1308" s="155"/>
      <c r="IM1308" s="2"/>
      <c r="KR1308" s="2"/>
      <c r="KS1308" s="2"/>
    </row>
    <row r="1309" spans="19:308" ht="15" customHeight="1" x14ac:dyDescent="0.25">
      <c r="S1309" s="1"/>
      <c r="Y1309" s="2"/>
      <c r="AP1309" s="2"/>
      <c r="HA1309" s="155"/>
      <c r="IM1309" s="2"/>
      <c r="KR1309" s="2"/>
      <c r="KS1309" s="2"/>
    </row>
    <row r="1310" spans="19:308" ht="15" customHeight="1" x14ac:dyDescent="0.25">
      <c r="S1310" s="1"/>
      <c r="Y1310" s="2"/>
      <c r="AP1310" s="2"/>
      <c r="HA1310" s="155"/>
      <c r="IM1310" s="2"/>
      <c r="KR1310" s="2"/>
      <c r="KS1310" s="2"/>
    </row>
    <row r="1311" spans="19:308" ht="15" customHeight="1" x14ac:dyDescent="0.25">
      <c r="S1311" s="1"/>
      <c r="Y1311" s="2"/>
      <c r="AP1311" s="2"/>
      <c r="HA1311" s="155"/>
      <c r="IM1311" s="2"/>
      <c r="KR1311" s="2"/>
      <c r="KS1311" s="2"/>
    </row>
    <row r="1312" spans="19:308" ht="15" customHeight="1" x14ac:dyDescent="0.25">
      <c r="S1312" s="1"/>
      <c r="Y1312" s="2"/>
      <c r="AP1312" s="2"/>
      <c r="HA1312" s="155"/>
      <c r="IM1312" s="2"/>
      <c r="KR1312" s="2"/>
      <c r="KS1312" s="2"/>
      <c r="KT1312" s="2"/>
    </row>
    <row r="1313" spans="19:311" ht="15" customHeight="1" x14ac:dyDescent="0.25">
      <c r="S1313" s="1"/>
      <c r="Y1313" s="2"/>
      <c r="AP1313" s="2"/>
      <c r="HA1313" s="155"/>
      <c r="IM1313" s="2"/>
      <c r="KR1313" s="2"/>
    </row>
    <row r="1314" spans="19:311" ht="15" customHeight="1" x14ac:dyDescent="0.25">
      <c r="S1314" s="1"/>
      <c r="Y1314" s="2"/>
      <c r="AP1314" s="2"/>
      <c r="HA1314" s="155"/>
      <c r="IM1314" s="2"/>
      <c r="KR1314" s="2"/>
    </row>
    <row r="1315" spans="19:311" ht="15" customHeight="1" x14ac:dyDescent="0.25">
      <c r="S1315" s="1"/>
      <c r="Y1315" s="2"/>
      <c r="AP1315" s="2"/>
      <c r="HA1315" s="155"/>
      <c r="IM1315" s="2"/>
      <c r="KR1315" s="2"/>
    </row>
    <row r="1316" spans="19:311" ht="15" customHeight="1" x14ac:dyDescent="0.25">
      <c r="S1316" s="1"/>
      <c r="Y1316" s="2"/>
      <c r="AP1316" s="2"/>
      <c r="HA1316" s="155"/>
      <c r="IM1316" s="2"/>
      <c r="KR1316" s="2"/>
    </row>
    <row r="1317" spans="19:311" ht="15" customHeight="1" x14ac:dyDescent="0.25">
      <c r="S1317" s="1"/>
      <c r="Y1317" s="2"/>
      <c r="AP1317" s="2"/>
      <c r="HA1317" s="155"/>
      <c r="IM1317" s="2"/>
      <c r="KR1317" s="2"/>
    </row>
    <row r="1318" spans="19:311" ht="15" customHeight="1" x14ac:dyDescent="0.25">
      <c r="S1318" s="1"/>
      <c r="Y1318" s="2"/>
      <c r="AP1318" s="2"/>
      <c r="HA1318" s="155"/>
      <c r="IM1318" s="2"/>
      <c r="KR1318" s="2"/>
    </row>
    <row r="1319" spans="19:311" ht="15" customHeight="1" x14ac:dyDescent="0.25">
      <c r="S1319" s="1"/>
      <c r="Y1319" s="2"/>
      <c r="AP1319" s="2"/>
      <c r="HA1319" s="155"/>
      <c r="IM1319" s="2"/>
    </row>
    <row r="1320" spans="19:311" ht="15" customHeight="1" x14ac:dyDescent="0.25">
      <c r="S1320" s="1"/>
      <c r="Y1320" s="2"/>
      <c r="AP1320" s="2"/>
      <c r="HA1320" s="155"/>
      <c r="IM1320" s="2"/>
    </row>
    <row r="1321" spans="19:311" ht="15" customHeight="1" x14ac:dyDescent="0.25">
      <c r="S1321" s="1"/>
      <c r="Y1321" s="2"/>
      <c r="AP1321" s="2"/>
      <c r="HA1321" s="155"/>
      <c r="IM1321" s="2"/>
      <c r="KR1321" s="2"/>
    </row>
    <row r="1322" spans="19:311" ht="15" customHeight="1" x14ac:dyDescent="0.25">
      <c r="S1322" s="1"/>
      <c r="Y1322" s="2"/>
      <c r="AP1322" s="2"/>
      <c r="HA1322" s="155"/>
      <c r="IM1322" s="2"/>
      <c r="KR1322" s="2"/>
      <c r="KS1322" s="2"/>
      <c r="KT1322" s="2"/>
    </row>
    <row r="1323" spans="19:311" ht="15" customHeight="1" x14ac:dyDescent="0.25">
      <c r="S1323" s="1"/>
      <c r="Y1323" s="2"/>
      <c r="AP1323" s="2"/>
      <c r="HA1323" s="155"/>
      <c r="IM1323" s="2"/>
      <c r="KR1323" s="2"/>
    </row>
    <row r="1324" spans="19:311" ht="15" customHeight="1" x14ac:dyDescent="0.25">
      <c r="S1324" s="1"/>
      <c r="Y1324" s="2"/>
      <c r="AP1324" s="2"/>
      <c r="HA1324" s="155"/>
      <c r="IM1324" s="2"/>
    </row>
    <row r="1325" spans="19:311" ht="15" customHeight="1" x14ac:dyDescent="0.25">
      <c r="S1325" s="1"/>
      <c r="Y1325" s="2"/>
      <c r="AP1325" s="2"/>
      <c r="HA1325" s="155"/>
      <c r="IM1325" s="2"/>
    </row>
    <row r="1326" spans="19:311" ht="15" customHeight="1" x14ac:dyDescent="0.25">
      <c r="S1326" s="1"/>
      <c r="Y1326" s="2"/>
      <c r="AP1326" s="2"/>
      <c r="HA1326" s="155"/>
      <c r="IM1326" s="2"/>
      <c r="KR1326" s="2"/>
      <c r="KS1326" s="2"/>
      <c r="KT1326" s="2"/>
      <c r="KU1326" s="2"/>
      <c r="KV1326" s="2"/>
      <c r="KW1326" s="2"/>
      <c r="KX1326" s="2"/>
      <c r="KY1326" s="2"/>
    </row>
    <row r="1327" spans="19:311" ht="15" customHeight="1" x14ac:dyDescent="0.25">
      <c r="S1327" s="1"/>
      <c r="Y1327" s="2"/>
      <c r="AP1327" s="2"/>
      <c r="HA1327" s="155"/>
      <c r="IM1327" s="2"/>
    </row>
    <row r="1328" spans="19:311" ht="15" customHeight="1" x14ac:dyDescent="0.25">
      <c r="S1328" s="1"/>
      <c r="Y1328" s="2"/>
      <c r="AP1328" s="2"/>
      <c r="HA1328" s="155"/>
      <c r="IM1328" s="2"/>
      <c r="KR1328" s="2"/>
      <c r="KS1328" s="2"/>
    </row>
    <row r="1329" spans="19:307" ht="15" customHeight="1" x14ac:dyDescent="0.25">
      <c r="S1329" s="1"/>
      <c r="Y1329" s="2"/>
      <c r="AP1329" s="2"/>
      <c r="HA1329" s="155"/>
      <c r="IM1329" s="2"/>
      <c r="KR1329" s="2"/>
    </row>
    <row r="1330" spans="19:307" ht="15" customHeight="1" x14ac:dyDescent="0.25">
      <c r="S1330" s="1"/>
      <c r="Y1330" s="2"/>
      <c r="AP1330" s="2"/>
      <c r="HA1330" s="155"/>
      <c r="IM1330" s="2"/>
      <c r="KR1330" s="2"/>
      <c r="KS1330" s="2"/>
    </row>
    <row r="1331" spans="19:307" ht="15" customHeight="1" x14ac:dyDescent="0.25">
      <c r="S1331" s="1"/>
      <c r="Y1331" s="2"/>
      <c r="AP1331" s="2"/>
      <c r="HA1331" s="155"/>
      <c r="IM1331" s="2"/>
      <c r="KR1331" s="2"/>
    </row>
    <row r="1332" spans="19:307" ht="15" customHeight="1" x14ac:dyDescent="0.25">
      <c r="S1332" s="1"/>
      <c r="Y1332" s="2"/>
      <c r="AP1332" s="2"/>
      <c r="HA1332" s="155"/>
      <c r="IM1332" s="2"/>
      <c r="KR1332" s="2"/>
    </row>
    <row r="1333" spans="19:307" ht="15" customHeight="1" x14ac:dyDescent="0.25">
      <c r="S1333" s="1"/>
      <c r="Y1333" s="2"/>
      <c r="AP1333" s="2"/>
      <c r="HA1333" s="155"/>
      <c r="IM1333" s="2"/>
    </row>
    <row r="1334" spans="19:307" ht="15" customHeight="1" x14ac:dyDescent="0.25">
      <c r="S1334" s="1"/>
      <c r="Y1334" s="2"/>
      <c r="AP1334" s="2"/>
      <c r="HA1334" s="155"/>
      <c r="IM1334" s="2"/>
    </row>
    <row r="1335" spans="19:307" ht="15" customHeight="1" x14ac:dyDescent="0.25">
      <c r="S1335" s="1"/>
      <c r="Y1335" s="2"/>
      <c r="AP1335" s="2"/>
      <c r="HA1335" s="155"/>
      <c r="IM1335" s="2"/>
    </row>
    <row r="1336" spans="19:307" ht="15" customHeight="1" x14ac:dyDescent="0.25">
      <c r="S1336" s="1"/>
      <c r="Y1336" s="2"/>
      <c r="AP1336" s="2"/>
      <c r="HA1336" s="155"/>
      <c r="IM1336" s="2"/>
    </row>
    <row r="1337" spans="19:307" ht="15" customHeight="1" x14ac:dyDescent="0.25">
      <c r="S1337" s="1"/>
      <c r="Y1337" s="2"/>
      <c r="AP1337" s="2"/>
      <c r="HA1337" s="155"/>
      <c r="IM1337" s="2"/>
    </row>
    <row r="1338" spans="19:307" ht="15" customHeight="1" x14ac:dyDescent="0.25">
      <c r="S1338" s="1"/>
      <c r="Y1338" s="2"/>
      <c r="AP1338" s="2"/>
      <c r="HA1338" s="155"/>
      <c r="IM1338" s="2"/>
      <c r="KR1338" s="2"/>
      <c r="KS1338" s="2"/>
    </row>
    <row r="1339" spans="19:307" ht="15" customHeight="1" x14ac:dyDescent="0.25">
      <c r="S1339" s="1"/>
      <c r="Y1339" s="2"/>
      <c r="AP1339" s="2"/>
      <c r="HA1339" s="155"/>
      <c r="IM1339" s="2"/>
      <c r="KR1339" s="2"/>
    </row>
    <row r="1340" spans="19:307" ht="15" customHeight="1" x14ac:dyDescent="0.25">
      <c r="S1340" s="1"/>
      <c r="Y1340" s="2"/>
      <c r="AP1340" s="2"/>
      <c r="HA1340" s="155"/>
      <c r="IM1340" s="2"/>
      <c r="KR1340" s="2"/>
    </row>
    <row r="1341" spans="19:307" ht="15" customHeight="1" x14ac:dyDescent="0.25">
      <c r="S1341" s="1"/>
      <c r="Y1341" s="2"/>
      <c r="AP1341" s="2"/>
      <c r="HA1341" s="155"/>
      <c r="IM1341" s="2"/>
      <c r="KR1341" s="2"/>
    </row>
    <row r="1342" spans="19:307" ht="15" customHeight="1" x14ac:dyDescent="0.25">
      <c r="S1342" s="1"/>
      <c r="Y1342" s="2"/>
      <c r="AP1342" s="2"/>
      <c r="HA1342" s="155"/>
      <c r="IM1342" s="2"/>
      <c r="KR1342" s="2"/>
    </row>
    <row r="1343" spans="19:307" ht="15" customHeight="1" x14ac:dyDescent="0.25">
      <c r="S1343" s="1"/>
      <c r="Y1343" s="2"/>
      <c r="AP1343" s="2"/>
      <c r="HA1343" s="155"/>
      <c r="IM1343" s="2"/>
      <c r="KR1343" s="2"/>
    </row>
    <row r="1344" spans="19:307" ht="15" customHeight="1" x14ac:dyDescent="0.25">
      <c r="S1344" s="1"/>
      <c r="Y1344" s="2"/>
      <c r="AP1344" s="2"/>
      <c r="HA1344" s="155"/>
      <c r="IM1344" s="2"/>
      <c r="KR1344" s="2"/>
      <c r="KS1344" s="2"/>
      <c r="KT1344" s="2"/>
      <c r="KU1344" s="2"/>
    </row>
    <row r="1345" spans="18:306" ht="15" customHeight="1" x14ac:dyDescent="0.25">
      <c r="S1345" s="1"/>
      <c r="Y1345" s="2"/>
      <c r="AP1345" s="2"/>
      <c r="HA1345" s="155"/>
      <c r="IM1345" s="2"/>
      <c r="KR1345" s="2"/>
    </row>
    <row r="1346" spans="18:306" ht="15" customHeight="1" x14ac:dyDescent="0.25">
      <c r="S1346" s="1"/>
      <c r="Y1346" s="2"/>
      <c r="AP1346" s="2"/>
      <c r="HA1346" s="155"/>
      <c r="IM1346" s="2"/>
      <c r="KR1346" s="2"/>
      <c r="KS1346" s="2"/>
    </row>
    <row r="1347" spans="18:306" ht="15" customHeight="1" x14ac:dyDescent="0.25">
      <c r="S1347" s="1"/>
      <c r="Y1347" s="2"/>
      <c r="AP1347" s="2"/>
      <c r="HA1347" s="155"/>
      <c r="IM1347" s="2"/>
      <c r="KR1347" s="2"/>
      <c r="KS1347" s="2"/>
    </row>
    <row r="1348" spans="18:306" ht="15" customHeight="1" x14ac:dyDescent="0.25">
      <c r="S1348" s="1"/>
      <c r="Y1348" s="2"/>
      <c r="AP1348" s="2"/>
      <c r="HA1348" s="155"/>
      <c r="IM1348" s="2"/>
    </row>
    <row r="1349" spans="18:306" ht="15" customHeight="1" x14ac:dyDescent="0.25">
      <c r="S1349" s="1"/>
      <c r="Y1349" s="2"/>
      <c r="AP1349" s="2"/>
      <c r="HA1349" s="155"/>
      <c r="IM1349" s="2"/>
    </row>
    <row r="1350" spans="18:306" ht="15" customHeight="1" x14ac:dyDescent="0.25">
      <c r="S1350" s="1"/>
      <c r="Y1350" s="2"/>
      <c r="AP1350" s="2"/>
      <c r="HA1350" s="155"/>
      <c r="IM1350" s="2"/>
      <c r="KR1350" s="2"/>
    </row>
    <row r="1351" spans="18:306" ht="15" customHeight="1" x14ac:dyDescent="0.25">
      <c r="S1351" s="1"/>
      <c r="Y1351" s="2"/>
      <c r="AP1351" s="2"/>
      <c r="HA1351" s="155"/>
      <c r="IM1351" s="2"/>
      <c r="KR1351" s="2"/>
      <c r="KS1351" s="2"/>
    </row>
    <row r="1352" spans="18:306" ht="15" customHeight="1" x14ac:dyDescent="0.25">
      <c r="S1352" s="1"/>
      <c r="Y1352" s="2"/>
      <c r="AP1352" s="2"/>
      <c r="HA1352" s="155"/>
      <c r="IM1352" s="2"/>
      <c r="KR1352" s="2"/>
      <c r="KS1352" s="2"/>
    </row>
    <row r="1353" spans="18:306" ht="15" customHeight="1" x14ac:dyDescent="0.25">
      <c r="S1353" s="1"/>
      <c r="Y1353" s="2"/>
      <c r="AP1353" s="2"/>
      <c r="HA1353" s="155"/>
      <c r="IM1353" s="2"/>
      <c r="KR1353" s="2"/>
    </row>
    <row r="1354" spans="18:306" ht="15" customHeight="1" x14ac:dyDescent="0.25">
      <c r="S1354" s="1"/>
      <c r="Y1354" s="2"/>
      <c r="AP1354" s="2"/>
      <c r="HA1354" s="155"/>
      <c r="IM1354" s="2"/>
      <c r="KR1354" s="2"/>
      <c r="KS1354" s="2"/>
      <c r="KT1354" s="2"/>
    </row>
    <row r="1355" spans="18:306" ht="15" customHeight="1" x14ac:dyDescent="0.25">
      <c r="S1355" s="1"/>
      <c r="Y1355" s="2"/>
      <c r="AP1355" s="2"/>
      <c r="HA1355" s="155"/>
      <c r="IM1355" s="2"/>
    </row>
    <row r="1356" spans="18:306" ht="15" customHeight="1" x14ac:dyDescent="0.25">
      <c r="R1356" s="1"/>
      <c r="S1356" s="1"/>
      <c r="T1356" s="1"/>
      <c r="Y1356" s="2"/>
      <c r="AP1356" s="2"/>
      <c r="HA1356" s="155"/>
      <c r="IM1356" s="2"/>
      <c r="KR1356" s="2"/>
    </row>
    <row r="1357" spans="18:306" ht="15" customHeight="1" x14ac:dyDescent="0.25">
      <c r="S1357" s="1"/>
      <c r="Y1357" s="2"/>
      <c r="AP1357" s="2"/>
      <c r="HA1357" s="155"/>
      <c r="IM1357" s="2"/>
      <c r="KR1357" s="2"/>
    </row>
    <row r="1358" spans="18:306" ht="15" customHeight="1" x14ac:dyDescent="0.25">
      <c r="S1358" s="1"/>
      <c r="Y1358" s="2"/>
      <c r="AP1358" s="2"/>
      <c r="HA1358" s="155"/>
      <c r="IM1358" s="2"/>
      <c r="KR1358" s="2"/>
    </row>
    <row r="1359" spans="18:306" ht="15" customHeight="1" x14ac:dyDescent="0.25">
      <c r="S1359" s="1"/>
      <c r="Y1359" s="2"/>
      <c r="AP1359" s="2"/>
      <c r="HA1359" s="155"/>
      <c r="IM1359" s="2"/>
      <c r="KR1359" s="2"/>
      <c r="KS1359" s="2"/>
    </row>
    <row r="1360" spans="18:306" ht="15" customHeight="1" x14ac:dyDescent="0.25">
      <c r="S1360" s="1"/>
      <c r="Y1360" s="2"/>
      <c r="AP1360" s="2"/>
      <c r="HA1360" s="155"/>
      <c r="IM1360" s="2"/>
      <c r="KR1360" s="2"/>
    </row>
    <row r="1361" spans="19:306" ht="15" customHeight="1" x14ac:dyDescent="0.25">
      <c r="S1361" s="1"/>
      <c r="Y1361" s="2"/>
      <c r="AP1361" s="2"/>
      <c r="HA1361" s="155"/>
      <c r="IM1361" s="2"/>
      <c r="KR1361" s="2"/>
    </row>
    <row r="1362" spans="19:306" ht="15" customHeight="1" x14ac:dyDescent="0.25">
      <c r="S1362" s="1"/>
      <c r="Y1362" s="2"/>
      <c r="AP1362" s="2"/>
      <c r="HA1362" s="155"/>
      <c r="IM1362" s="2"/>
      <c r="KR1362" s="2"/>
    </row>
    <row r="1363" spans="19:306" ht="15" customHeight="1" x14ac:dyDescent="0.25">
      <c r="S1363" s="1"/>
      <c r="Y1363" s="2"/>
      <c r="AP1363" s="2"/>
      <c r="HA1363" s="155"/>
      <c r="IM1363" s="2"/>
    </row>
    <row r="1364" spans="19:306" ht="15" customHeight="1" x14ac:dyDescent="0.25">
      <c r="S1364" s="1"/>
      <c r="Y1364" s="2"/>
      <c r="AP1364" s="2"/>
      <c r="HA1364" s="155"/>
      <c r="IM1364" s="2"/>
      <c r="KR1364" s="2"/>
    </row>
    <row r="1365" spans="19:306" ht="15" customHeight="1" x14ac:dyDescent="0.25">
      <c r="S1365" s="1"/>
      <c r="Y1365" s="2"/>
      <c r="AP1365" s="2"/>
      <c r="HA1365" s="155"/>
      <c r="IM1365" s="2"/>
      <c r="KR1365" s="2"/>
      <c r="KS1365" s="2"/>
    </row>
    <row r="1366" spans="19:306" ht="15" customHeight="1" x14ac:dyDescent="0.25">
      <c r="S1366" s="1"/>
      <c r="Y1366" s="2"/>
      <c r="AP1366" s="2"/>
      <c r="HA1366" s="155"/>
      <c r="IM1366" s="2"/>
      <c r="KR1366" s="2"/>
      <c r="KS1366" s="2"/>
      <c r="KT1366" s="2"/>
    </row>
    <row r="1367" spans="19:306" ht="15" customHeight="1" x14ac:dyDescent="0.25">
      <c r="S1367" s="1"/>
      <c r="Y1367" s="2"/>
      <c r="AP1367" s="2"/>
      <c r="HA1367" s="155"/>
      <c r="IM1367" s="2"/>
    </row>
    <row r="1368" spans="19:306" ht="15" customHeight="1" x14ac:dyDescent="0.25">
      <c r="S1368" s="1"/>
      <c r="Y1368" s="2"/>
      <c r="AP1368" s="2"/>
      <c r="HA1368" s="155"/>
      <c r="IM1368" s="2"/>
    </row>
    <row r="1369" spans="19:306" ht="15" customHeight="1" x14ac:dyDescent="0.25">
      <c r="S1369" s="1"/>
      <c r="Y1369" s="2"/>
      <c r="AP1369" s="2"/>
      <c r="HA1369" s="155"/>
      <c r="IM1369" s="2"/>
    </row>
    <row r="1370" spans="19:306" ht="15" customHeight="1" x14ac:dyDescent="0.25">
      <c r="S1370" s="1"/>
      <c r="Y1370" s="2"/>
      <c r="AP1370" s="2"/>
      <c r="HA1370" s="155"/>
      <c r="IM1370" s="2"/>
    </row>
    <row r="1371" spans="19:306" ht="15" customHeight="1" x14ac:dyDescent="0.25">
      <c r="S1371" s="1"/>
      <c r="Y1371" s="2"/>
      <c r="AP1371" s="2"/>
      <c r="HA1371" s="155"/>
      <c r="IM1371" s="2"/>
      <c r="KR1371" s="2"/>
    </row>
    <row r="1372" spans="19:306" ht="15" customHeight="1" x14ac:dyDescent="0.25">
      <c r="S1372" s="1"/>
      <c r="Y1372" s="2"/>
      <c r="AP1372" s="2"/>
      <c r="HA1372" s="155"/>
      <c r="IM1372" s="2"/>
      <c r="KR1372" s="2"/>
      <c r="KS1372" s="2"/>
    </row>
    <row r="1373" spans="19:306" ht="15" customHeight="1" x14ac:dyDescent="0.25">
      <c r="S1373" s="1"/>
      <c r="Y1373" s="2"/>
      <c r="AP1373" s="2"/>
      <c r="HA1373" s="155"/>
      <c r="IM1373" s="2"/>
      <c r="KR1373" s="2"/>
      <c r="KS1373" s="2"/>
      <c r="KT1373" s="2"/>
    </row>
    <row r="1374" spans="19:306" ht="15" customHeight="1" x14ac:dyDescent="0.25">
      <c r="S1374" s="1"/>
      <c r="Y1374" s="2"/>
      <c r="AP1374" s="2"/>
      <c r="HA1374" s="155"/>
      <c r="IM1374" s="2"/>
      <c r="KR1374" s="2"/>
      <c r="KS1374" s="2"/>
      <c r="KT1374" s="2"/>
    </row>
    <row r="1375" spans="19:306" ht="15" customHeight="1" x14ac:dyDescent="0.25">
      <c r="S1375" s="1"/>
      <c r="Y1375" s="2"/>
      <c r="AP1375" s="2"/>
      <c r="HA1375" s="155"/>
      <c r="IM1375" s="2"/>
    </row>
    <row r="1376" spans="19:306" ht="15" customHeight="1" x14ac:dyDescent="0.25">
      <c r="S1376" s="1"/>
      <c r="Y1376" s="2"/>
      <c r="AP1376" s="2"/>
      <c r="HA1376" s="155"/>
      <c r="IM1376" s="2"/>
      <c r="KR1376" s="2"/>
    </row>
    <row r="1377" spans="17:312" ht="15" customHeight="1" x14ac:dyDescent="0.25">
      <c r="S1377" s="1"/>
      <c r="Y1377" s="2"/>
      <c r="AP1377" s="2"/>
      <c r="HA1377" s="155"/>
      <c r="IM1377" s="2"/>
      <c r="KR1377" s="2"/>
    </row>
    <row r="1378" spans="17:312" ht="15" customHeight="1" x14ac:dyDescent="0.25">
      <c r="S1378" s="1"/>
      <c r="Y1378" s="2"/>
      <c r="AP1378" s="2"/>
      <c r="HA1378" s="155"/>
      <c r="IM1378" s="2"/>
      <c r="KR1378" s="2"/>
    </row>
    <row r="1379" spans="17:312" ht="15" customHeight="1" x14ac:dyDescent="0.25">
      <c r="S1379" s="1"/>
      <c r="Y1379" s="2"/>
      <c r="AP1379" s="2"/>
      <c r="HA1379" s="155"/>
      <c r="IM1379" s="2"/>
      <c r="KR1379" s="2"/>
    </row>
    <row r="1380" spans="17:312" ht="15" customHeight="1" x14ac:dyDescent="0.25">
      <c r="S1380" s="1"/>
      <c r="Y1380" s="2"/>
      <c r="AP1380" s="2"/>
      <c r="HA1380" s="155"/>
      <c r="IM1380" s="2"/>
      <c r="KR1380" s="2"/>
    </row>
    <row r="1381" spans="17:312" ht="15" customHeight="1" x14ac:dyDescent="0.25">
      <c r="S1381" s="1"/>
      <c r="Y1381" s="2"/>
      <c r="AP1381" s="2"/>
      <c r="HA1381" s="155"/>
      <c r="IM1381" s="2"/>
    </row>
    <row r="1382" spans="17:312" ht="15" customHeight="1" x14ac:dyDescent="0.25">
      <c r="S1382" s="1"/>
      <c r="Y1382" s="2"/>
      <c r="AP1382" s="2"/>
      <c r="HA1382" s="155"/>
      <c r="IM1382" s="2"/>
    </row>
    <row r="1383" spans="17:312" ht="15" customHeight="1" x14ac:dyDescent="0.25">
      <c r="S1383" s="1"/>
      <c r="Y1383" s="2"/>
      <c r="AP1383" s="2"/>
      <c r="HA1383" s="155"/>
      <c r="IM1383" s="2"/>
      <c r="KR1383" s="2"/>
    </row>
    <row r="1384" spans="17:312" ht="15" customHeight="1" x14ac:dyDescent="0.25">
      <c r="S1384" s="1"/>
      <c r="Y1384" s="2"/>
      <c r="AP1384" s="2"/>
      <c r="HA1384" s="155"/>
      <c r="IM1384" s="2"/>
      <c r="KR1384" s="2"/>
      <c r="KS1384" s="2"/>
    </row>
    <row r="1385" spans="17:312" ht="15" customHeight="1" x14ac:dyDescent="0.25">
      <c r="S1385" s="1"/>
      <c r="Y1385" s="2"/>
      <c r="AP1385" s="2"/>
      <c r="HA1385" s="155"/>
      <c r="IM1385" s="2"/>
    </row>
    <row r="1386" spans="17:312" ht="15" customHeight="1" x14ac:dyDescent="0.25">
      <c r="S1386" s="1"/>
      <c r="Y1386" s="2"/>
      <c r="AP1386" s="2"/>
      <c r="HA1386" s="155"/>
      <c r="IM1386" s="2"/>
      <c r="KR1386" s="2"/>
    </row>
    <row r="1387" spans="17:312" ht="15" customHeight="1" x14ac:dyDescent="0.25">
      <c r="S1387" s="1"/>
      <c r="Y1387" s="2"/>
      <c r="AP1387" s="2"/>
      <c r="HA1387" s="155"/>
      <c r="IM1387" s="2"/>
      <c r="KR1387" s="2"/>
    </row>
    <row r="1388" spans="17:312" ht="15" customHeight="1" x14ac:dyDescent="0.25">
      <c r="S1388" s="1"/>
      <c r="Y1388" s="2"/>
      <c r="AP1388" s="2"/>
      <c r="HA1388" s="155"/>
      <c r="IM1388" s="2"/>
      <c r="KR1388" s="2"/>
      <c r="KS1388" s="2"/>
      <c r="KT1388" s="2"/>
      <c r="KU1388" s="2"/>
      <c r="KV1388" s="2"/>
      <c r="KW1388" s="2"/>
      <c r="KX1388" s="2"/>
      <c r="KY1388" s="2"/>
      <c r="KZ1388" s="2"/>
    </row>
    <row r="1389" spans="17:312" ht="15" customHeight="1" x14ac:dyDescent="0.25">
      <c r="S1389" s="1"/>
      <c r="Y1389" s="2"/>
      <c r="AP1389" s="2"/>
      <c r="HA1389" s="155"/>
      <c r="IM1389" s="2"/>
      <c r="KR1389" s="2"/>
      <c r="KS1389" s="2"/>
      <c r="KT1389" s="2"/>
    </row>
    <row r="1390" spans="17:312" ht="15" customHeight="1" x14ac:dyDescent="0.25">
      <c r="S1390" s="1"/>
      <c r="Y1390" s="2"/>
      <c r="AP1390" s="2"/>
      <c r="HA1390" s="155"/>
      <c r="IM1390" s="2"/>
    </row>
    <row r="1391" spans="17:312" ht="15" customHeight="1" x14ac:dyDescent="0.25">
      <c r="S1391" s="1"/>
      <c r="Y1391" s="2"/>
      <c r="AP1391" s="2"/>
      <c r="HA1391" s="155"/>
      <c r="IM1391" s="2"/>
      <c r="KR1391" s="2"/>
      <c r="KS1391" s="2"/>
    </row>
    <row r="1392" spans="17:312" ht="15" customHeight="1" x14ac:dyDescent="0.25">
      <c r="Q1392" s="1"/>
      <c r="R1392" s="1"/>
      <c r="T1392" s="1"/>
      <c r="Y1392" s="2"/>
      <c r="AP1392" s="2"/>
      <c r="GX1392" s="155"/>
      <c r="IJ1392" s="2"/>
      <c r="KN1392" s="2"/>
      <c r="KO1392" s="2"/>
    </row>
    <row r="1393" spans="17:301" ht="15" customHeight="1" x14ac:dyDescent="0.25">
      <c r="Q1393" s="1"/>
      <c r="R1393" s="1"/>
      <c r="T1393" s="1"/>
      <c r="Y1393" s="2"/>
      <c r="AP1393" s="2"/>
      <c r="GX1393" s="155"/>
      <c r="IJ1393" s="2"/>
      <c r="KN1393" s="2"/>
    </row>
    <row r="1394" spans="17:301" ht="15" customHeight="1" x14ac:dyDescent="0.25">
      <c r="Q1394" s="1"/>
      <c r="R1394" s="1"/>
      <c r="T1394" s="1"/>
      <c r="Y1394" s="2"/>
      <c r="AP1394" s="2"/>
      <c r="GX1394" s="155"/>
      <c r="IJ1394" s="2"/>
      <c r="KN1394" s="2"/>
      <c r="KO1394" s="2"/>
    </row>
    <row r="1395" spans="17:301" ht="15" customHeight="1" x14ac:dyDescent="0.25">
      <c r="Q1395" s="1"/>
      <c r="R1395" s="1"/>
      <c r="Y1395" s="2"/>
      <c r="AP1395" s="2"/>
      <c r="GX1395" s="155"/>
      <c r="IJ1395" s="2"/>
    </row>
    <row r="1396" spans="17:301" ht="15" customHeight="1" x14ac:dyDescent="0.25">
      <c r="Q1396" s="1"/>
      <c r="R1396" s="1"/>
      <c r="Y1396" s="2"/>
      <c r="AP1396" s="2"/>
      <c r="GX1396" s="155"/>
      <c r="IJ1396" s="2"/>
      <c r="KN1396" s="2"/>
    </row>
    <row r="1397" spans="17:301" ht="15" customHeight="1" x14ac:dyDescent="0.25">
      <c r="Q1397" s="1"/>
      <c r="R1397" s="1"/>
      <c r="T1397" s="1"/>
      <c r="Y1397" s="2"/>
      <c r="AP1397" s="2"/>
      <c r="GX1397" s="155"/>
      <c r="IJ1397" s="2"/>
      <c r="KN1397" s="2"/>
    </row>
    <row r="1398" spans="17:301" ht="15" customHeight="1" x14ac:dyDescent="0.25">
      <c r="Q1398" s="1"/>
      <c r="R1398" s="1"/>
      <c r="T1398" s="1"/>
      <c r="Y1398" s="2"/>
      <c r="AP1398" s="2"/>
      <c r="GX1398" s="155"/>
      <c r="IJ1398" s="2"/>
      <c r="KN1398" s="2"/>
    </row>
    <row r="1399" spans="17:301" ht="15" customHeight="1" x14ac:dyDescent="0.25">
      <c r="Q1399" s="1"/>
      <c r="R1399" s="1"/>
      <c r="Y1399" s="2"/>
      <c r="AP1399" s="2"/>
      <c r="GX1399" s="155"/>
      <c r="IJ1399" s="2"/>
      <c r="KN1399" s="2"/>
      <c r="KO1399" s="2"/>
    </row>
    <row r="1400" spans="17:301" ht="15" customHeight="1" x14ac:dyDescent="0.25">
      <c r="Q1400" s="1"/>
      <c r="R1400" s="1"/>
      <c r="Y1400" s="2"/>
      <c r="AP1400" s="2"/>
      <c r="GX1400" s="155"/>
      <c r="IJ1400" s="2"/>
      <c r="KN1400" s="2"/>
      <c r="KO1400" s="2"/>
    </row>
    <row r="1401" spans="17:301" ht="15" customHeight="1" x14ac:dyDescent="0.25">
      <c r="Q1401" s="1"/>
      <c r="R1401" s="1"/>
      <c r="T1401" s="1"/>
      <c r="Y1401" s="2"/>
      <c r="AP1401" s="2"/>
      <c r="GX1401" s="155"/>
      <c r="IJ1401" s="2"/>
      <c r="KN1401" s="2"/>
      <c r="KO1401" s="2"/>
    </row>
    <row r="1402" spans="17:301" ht="15" customHeight="1" x14ac:dyDescent="0.25">
      <c r="Q1402" s="1"/>
      <c r="R1402" s="1"/>
      <c r="T1402" s="1"/>
      <c r="Y1402" s="2"/>
      <c r="AP1402" s="2"/>
      <c r="GX1402" s="155"/>
      <c r="IJ1402" s="2"/>
      <c r="KN1402" s="2"/>
    </row>
    <row r="1403" spans="17:301" ht="15" customHeight="1" x14ac:dyDescent="0.25">
      <c r="Q1403" s="1"/>
      <c r="R1403" s="1"/>
      <c r="Y1403" s="2"/>
      <c r="AP1403" s="2"/>
      <c r="GX1403" s="155"/>
      <c r="IJ1403" s="2"/>
    </row>
    <row r="1404" spans="17:301" ht="15" customHeight="1" x14ac:dyDescent="0.25">
      <c r="Q1404" s="1"/>
      <c r="R1404" s="1"/>
      <c r="T1404" s="1"/>
      <c r="Y1404" s="2"/>
      <c r="AP1404" s="2"/>
      <c r="GX1404" s="155"/>
      <c r="IJ1404" s="2"/>
      <c r="KN1404" s="2"/>
    </row>
    <row r="1405" spans="17:301" ht="15" customHeight="1" x14ac:dyDescent="0.25">
      <c r="Q1405" s="1"/>
      <c r="R1405" s="1"/>
      <c r="T1405" s="1"/>
      <c r="Y1405" s="2"/>
      <c r="AP1405" s="2"/>
      <c r="GX1405" s="155"/>
      <c r="IJ1405" s="2"/>
      <c r="KN1405" s="2"/>
      <c r="KO1405" s="2"/>
    </row>
    <row r="1406" spans="17:301" ht="15" customHeight="1" x14ac:dyDescent="0.25">
      <c r="Q1406" s="1"/>
      <c r="R1406" s="1"/>
      <c r="T1406" s="1"/>
      <c r="Y1406" s="2"/>
      <c r="AP1406" s="2"/>
      <c r="GX1406" s="155"/>
      <c r="IJ1406" s="2"/>
      <c r="KN1406" s="2"/>
    </row>
    <row r="1407" spans="17:301" ht="15" customHeight="1" x14ac:dyDescent="0.25">
      <c r="Q1407" s="1"/>
      <c r="R1407" s="1"/>
      <c r="T1407" s="1"/>
      <c r="Y1407" s="2"/>
      <c r="AP1407" s="2"/>
      <c r="GX1407" s="155"/>
      <c r="IJ1407" s="2"/>
      <c r="KN1407" s="2"/>
      <c r="KO1407" s="2"/>
    </row>
    <row r="1408" spans="17:301" ht="15" customHeight="1" x14ac:dyDescent="0.25">
      <c r="Q1408" s="1"/>
      <c r="R1408" s="1"/>
      <c r="T1408" s="1"/>
      <c r="Y1408" s="2"/>
      <c r="AP1408" s="2"/>
      <c r="GX1408" s="155"/>
      <c r="IJ1408" s="2"/>
      <c r="KN1408" s="2"/>
      <c r="KO1408" s="2"/>
    </row>
    <row r="1409" spans="17:302" ht="15" customHeight="1" x14ac:dyDescent="0.25">
      <c r="Q1409" s="1"/>
      <c r="R1409" s="1"/>
      <c r="T1409" s="1"/>
      <c r="Y1409" s="2"/>
      <c r="AP1409" s="2"/>
      <c r="GX1409" s="155"/>
      <c r="IJ1409" s="2"/>
      <c r="KN1409" s="2"/>
      <c r="KO1409" s="2"/>
    </row>
    <row r="1410" spans="17:302" ht="15" customHeight="1" x14ac:dyDescent="0.25">
      <c r="Q1410" s="1"/>
      <c r="R1410" s="1"/>
      <c r="T1410" s="1"/>
      <c r="Y1410" s="2"/>
      <c r="AP1410" s="2"/>
      <c r="GX1410" s="155"/>
      <c r="IJ1410" s="2"/>
      <c r="KN1410" s="2"/>
      <c r="KO1410" s="2"/>
    </row>
    <row r="1411" spans="17:302" ht="15" customHeight="1" x14ac:dyDescent="0.25">
      <c r="Q1411" s="1"/>
      <c r="R1411" s="1"/>
      <c r="T1411" s="1"/>
      <c r="Y1411" s="2"/>
      <c r="AP1411" s="2"/>
      <c r="GX1411" s="155"/>
      <c r="IJ1411" s="2"/>
      <c r="KN1411" s="2"/>
    </row>
    <row r="1412" spans="17:302" ht="15" customHeight="1" x14ac:dyDescent="0.25">
      <c r="Q1412" s="1"/>
      <c r="R1412" s="1"/>
      <c r="T1412" s="1"/>
      <c r="Y1412" s="2"/>
      <c r="AP1412" s="2"/>
      <c r="GX1412" s="155"/>
      <c r="IJ1412" s="2"/>
      <c r="KN1412" s="2"/>
      <c r="KO1412" s="2"/>
    </row>
    <row r="1413" spans="17:302" ht="15" customHeight="1" x14ac:dyDescent="0.25">
      <c r="Q1413" s="1"/>
      <c r="R1413" s="1"/>
      <c r="T1413" s="1"/>
      <c r="Y1413" s="2"/>
      <c r="AP1413" s="2"/>
      <c r="GX1413" s="155"/>
      <c r="IJ1413" s="2"/>
      <c r="KN1413" s="2"/>
      <c r="KO1413" s="2"/>
    </row>
    <row r="1414" spans="17:302" ht="15" customHeight="1" x14ac:dyDescent="0.25">
      <c r="Q1414" s="1"/>
      <c r="R1414" s="1"/>
      <c r="T1414" s="1"/>
      <c r="Y1414" s="2"/>
      <c r="AP1414" s="2"/>
      <c r="GX1414" s="155"/>
      <c r="IJ1414" s="2"/>
      <c r="KN1414" s="2"/>
    </row>
    <row r="1415" spans="17:302" ht="15" customHeight="1" x14ac:dyDescent="0.25">
      <c r="Q1415" s="1"/>
      <c r="R1415" s="1"/>
      <c r="Y1415" s="2"/>
      <c r="AP1415" s="2"/>
      <c r="GX1415" s="155"/>
      <c r="IJ1415" s="2"/>
    </row>
    <row r="1416" spans="17:302" ht="15" customHeight="1" x14ac:dyDescent="0.25">
      <c r="Q1416" s="1"/>
      <c r="R1416" s="1"/>
      <c r="Y1416" s="2"/>
      <c r="AP1416" s="2"/>
      <c r="GX1416" s="155"/>
      <c r="IJ1416" s="2"/>
    </row>
    <row r="1417" spans="17:302" ht="15" customHeight="1" x14ac:dyDescent="0.25">
      <c r="Q1417" s="1"/>
      <c r="R1417" s="1"/>
      <c r="T1417" s="1"/>
      <c r="Y1417" s="2"/>
      <c r="AP1417" s="2"/>
      <c r="GX1417" s="155"/>
      <c r="IJ1417" s="2"/>
      <c r="KN1417" s="2"/>
    </row>
    <row r="1418" spans="17:302" ht="15" customHeight="1" x14ac:dyDescent="0.25">
      <c r="Q1418" s="1"/>
      <c r="R1418" s="1"/>
      <c r="T1418" s="1"/>
      <c r="Y1418" s="2"/>
      <c r="AP1418" s="2"/>
      <c r="GX1418" s="155"/>
      <c r="IJ1418" s="2"/>
      <c r="KN1418" s="2"/>
      <c r="KO1418" s="2"/>
    </row>
    <row r="1419" spans="17:302" ht="15" customHeight="1" x14ac:dyDescent="0.25">
      <c r="Q1419" s="1"/>
      <c r="R1419" s="1"/>
      <c r="T1419" s="1"/>
      <c r="Y1419" s="2"/>
      <c r="AP1419" s="2"/>
      <c r="GX1419" s="155"/>
      <c r="IJ1419" s="2"/>
      <c r="KN1419" s="2"/>
    </row>
    <row r="1420" spans="17:302" ht="15" customHeight="1" x14ac:dyDescent="0.25">
      <c r="Q1420" s="1"/>
      <c r="R1420" s="1"/>
      <c r="T1420" s="1"/>
      <c r="Y1420" s="2"/>
      <c r="AP1420" s="2"/>
      <c r="GX1420" s="155"/>
      <c r="IJ1420" s="2"/>
      <c r="KN1420" s="2"/>
    </row>
    <row r="1421" spans="17:302" ht="15" customHeight="1" x14ac:dyDescent="0.25">
      <c r="Q1421" s="1"/>
      <c r="R1421" s="1"/>
      <c r="T1421" s="1"/>
      <c r="Y1421" s="2"/>
      <c r="AP1421" s="2"/>
      <c r="GX1421" s="155"/>
      <c r="IJ1421" s="2"/>
    </row>
    <row r="1422" spans="17:302" ht="15" customHeight="1" x14ac:dyDescent="0.25">
      <c r="Q1422" s="1"/>
      <c r="R1422" s="1"/>
      <c r="T1422" s="1"/>
      <c r="Y1422" s="2"/>
      <c r="AP1422" s="2"/>
      <c r="GX1422" s="155"/>
      <c r="IJ1422" s="2"/>
      <c r="KN1422" s="2"/>
    </row>
    <row r="1423" spans="17:302" ht="15" customHeight="1" x14ac:dyDescent="0.25">
      <c r="Q1423" s="1"/>
      <c r="R1423" s="1"/>
      <c r="T1423" s="1"/>
      <c r="Y1423" s="2"/>
      <c r="AP1423" s="2"/>
      <c r="GX1423" s="155"/>
      <c r="IJ1423" s="2"/>
      <c r="KN1423" s="2"/>
      <c r="KO1423" s="2"/>
      <c r="KP1423" s="2"/>
    </row>
    <row r="1424" spans="17:302" ht="15" customHeight="1" x14ac:dyDescent="0.25">
      <c r="Q1424" s="1"/>
      <c r="R1424" s="1"/>
      <c r="T1424" s="1"/>
      <c r="Y1424" s="2"/>
      <c r="AP1424" s="2"/>
      <c r="GX1424" s="155"/>
      <c r="IJ1424" s="2"/>
      <c r="KN1424" s="2"/>
    </row>
    <row r="1425" spans="17:303" ht="15" customHeight="1" x14ac:dyDescent="0.25">
      <c r="Q1425" s="1"/>
      <c r="R1425" s="1"/>
      <c r="T1425" s="1"/>
      <c r="Y1425" s="2"/>
      <c r="AP1425" s="2"/>
      <c r="GX1425" s="155"/>
      <c r="IJ1425" s="2"/>
      <c r="KN1425" s="2"/>
      <c r="KO1425" s="2"/>
      <c r="KP1425" s="2"/>
    </row>
    <row r="1426" spans="17:303" ht="15" customHeight="1" x14ac:dyDescent="0.25">
      <c r="Q1426" s="1"/>
      <c r="R1426" s="1"/>
      <c r="T1426" s="1"/>
      <c r="Y1426" s="2"/>
      <c r="AP1426" s="2"/>
      <c r="GX1426" s="155"/>
      <c r="IJ1426" s="2"/>
      <c r="KN1426" s="2"/>
    </row>
    <row r="1427" spans="17:303" ht="15" customHeight="1" x14ac:dyDescent="0.25">
      <c r="Q1427" s="1"/>
      <c r="R1427" s="1"/>
      <c r="T1427" s="1"/>
      <c r="Y1427" s="2"/>
      <c r="AP1427" s="2"/>
      <c r="GX1427" s="155"/>
      <c r="IJ1427" s="2"/>
      <c r="KN1427" s="2"/>
    </row>
    <row r="1428" spans="17:303" ht="15" customHeight="1" x14ac:dyDescent="0.25">
      <c r="Q1428" s="1"/>
      <c r="R1428" s="1"/>
      <c r="T1428" s="1"/>
      <c r="Y1428" s="2"/>
      <c r="AP1428" s="2"/>
      <c r="GX1428" s="155"/>
      <c r="IJ1428" s="2"/>
      <c r="KN1428" s="2"/>
    </row>
    <row r="1429" spans="17:303" ht="15" customHeight="1" x14ac:dyDescent="0.25">
      <c r="Q1429" s="1"/>
      <c r="R1429" s="1"/>
      <c r="T1429" s="1"/>
      <c r="Y1429" s="2"/>
      <c r="AP1429" s="2"/>
      <c r="GX1429" s="155"/>
      <c r="IJ1429" s="2"/>
      <c r="KN1429" s="2"/>
      <c r="KO1429" s="2"/>
    </row>
    <row r="1430" spans="17:303" ht="15" customHeight="1" x14ac:dyDescent="0.25">
      <c r="Q1430" s="1"/>
      <c r="R1430" s="1"/>
      <c r="T1430" s="1"/>
      <c r="Y1430" s="2"/>
      <c r="AP1430" s="2"/>
      <c r="GX1430" s="155"/>
      <c r="IJ1430" s="2"/>
    </row>
    <row r="1431" spans="17:303" ht="15" customHeight="1" x14ac:dyDescent="0.25">
      <c r="Q1431" s="1"/>
      <c r="R1431" s="1"/>
      <c r="T1431" s="1"/>
      <c r="Y1431" s="2"/>
      <c r="AP1431" s="2"/>
      <c r="GX1431" s="155"/>
      <c r="IJ1431" s="2"/>
    </row>
    <row r="1432" spans="17:303" ht="15" customHeight="1" x14ac:dyDescent="0.25">
      <c r="Q1432" s="1"/>
      <c r="R1432" s="1"/>
      <c r="T1432" s="1"/>
      <c r="Y1432" s="2"/>
      <c r="AP1432" s="2"/>
      <c r="GX1432" s="155"/>
      <c r="IJ1432" s="2"/>
      <c r="KN1432" s="2"/>
      <c r="KO1432" s="2"/>
      <c r="KP1432" s="2"/>
      <c r="KQ1432" s="2"/>
    </row>
    <row r="1433" spans="17:303" ht="15" customHeight="1" x14ac:dyDescent="0.25">
      <c r="Q1433" s="1"/>
      <c r="R1433" s="1"/>
      <c r="T1433" s="1"/>
      <c r="Y1433" s="2"/>
      <c r="AP1433" s="2"/>
      <c r="GX1433" s="155"/>
      <c r="IJ1433" s="2"/>
      <c r="KN1433" s="2"/>
      <c r="KO1433" s="2"/>
      <c r="KP1433" s="2"/>
    </row>
    <row r="1434" spans="17:303" ht="15" customHeight="1" x14ac:dyDescent="0.25">
      <c r="Q1434" s="1"/>
      <c r="R1434" s="1"/>
      <c r="T1434" s="1"/>
      <c r="Y1434" s="2"/>
      <c r="AP1434" s="2"/>
      <c r="GX1434" s="155"/>
      <c r="IJ1434" s="2"/>
      <c r="KN1434" s="2"/>
    </row>
    <row r="1435" spans="17:303" ht="15" customHeight="1" x14ac:dyDescent="0.25">
      <c r="Q1435" s="1"/>
      <c r="R1435" s="1"/>
      <c r="T1435" s="1"/>
      <c r="Y1435" s="2"/>
      <c r="AP1435" s="2"/>
      <c r="GX1435" s="155"/>
      <c r="IJ1435" s="2"/>
      <c r="KN1435" s="2"/>
    </row>
    <row r="1436" spans="17:303" ht="15" customHeight="1" x14ac:dyDescent="0.25">
      <c r="Q1436" s="1"/>
      <c r="R1436" s="1"/>
      <c r="T1436" s="1"/>
      <c r="Y1436" s="2"/>
      <c r="AP1436" s="2"/>
      <c r="GX1436" s="155"/>
      <c r="IJ1436" s="2"/>
      <c r="KN1436" s="2"/>
      <c r="KO1436" s="2"/>
    </row>
    <row r="1437" spans="17:303" ht="15" customHeight="1" x14ac:dyDescent="0.25">
      <c r="Q1437" s="1"/>
      <c r="R1437" s="1"/>
      <c r="T1437" s="1"/>
      <c r="Y1437" s="2"/>
      <c r="AP1437" s="2"/>
      <c r="GX1437" s="155"/>
      <c r="IJ1437" s="2"/>
    </row>
    <row r="1438" spans="17:303" ht="15" customHeight="1" x14ac:dyDescent="0.25">
      <c r="Q1438" s="1"/>
      <c r="R1438" s="1"/>
      <c r="T1438" s="1"/>
      <c r="Y1438" s="2"/>
      <c r="AP1438" s="2"/>
      <c r="GX1438" s="155"/>
      <c r="IJ1438" s="2"/>
      <c r="KN1438" s="2"/>
    </row>
    <row r="1439" spans="17:303" ht="15" customHeight="1" x14ac:dyDescent="0.25">
      <c r="Q1439" s="1"/>
      <c r="R1439" s="1"/>
      <c r="T1439" s="1"/>
      <c r="Y1439" s="2"/>
      <c r="AP1439" s="2"/>
      <c r="GX1439" s="155"/>
      <c r="IJ1439" s="2"/>
      <c r="KN1439" s="2"/>
    </row>
    <row r="1440" spans="17:303" ht="15" customHeight="1" x14ac:dyDescent="0.25">
      <c r="Q1440" s="1"/>
      <c r="R1440" s="1"/>
      <c r="T1440" s="1"/>
      <c r="Y1440" s="2"/>
      <c r="AP1440" s="2"/>
      <c r="GX1440" s="155"/>
      <c r="IJ1440" s="2"/>
      <c r="KN1440" s="2"/>
    </row>
    <row r="1441" spans="17:302" ht="15" customHeight="1" x14ac:dyDescent="0.25">
      <c r="Q1441" s="1"/>
      <c r="R1441" s="1"/>
      <c r="T1441" s="1"/>
      <c r="Y1441" s="2"/>
      <c r="AP1441" s="2"/>
      <c r="GX1441" s="155"/>
      <c r="IJ1441" s="2"/>
      <c r="KN1441" s="2"/>
    </row>
    <row r="1442" spans="17:302" ht="15" customHeight="1" x14ac:dyDescent="0.25">
      <c r="Q1442" s="1"/>
      <c r="R1442" s="1"/>
      <c r="T1442" s="1"/>
      <c r="Y1442" s="2"/>
      <c r="AP1442" s="2"/>
      <c r="GX1442" s="155"/>
      <c r="IJ1442" s="2"/>
    </row>
    <row r="1443" spans="17:302" ht="15" customHeight="1" x14ac:dyDescent="0.25">
      <c r="Q1443" s="1"/>
      <c r="R1443" s="1"/>
      <c r="T1443" s="1"/>
      <c r="Y1443" s="2"/>
      <c r="AP1443" s="2"/>
      <c r="GX1443" s="155"/>
      <c r="IJ1443" s="2"/>
      <c r="KN1443" s="2"/>
    </row>
    <row r="1444" spans="17:302" ht="15" customHeight="1" x14ac:dyDescent="0.25">
      <c r="Q1444" s="1"/>
      <c r="R1444" s="1"/>
      <c r="Y1444" s="2"/>
      <c r="AP1444" s="2"/>
      <c r="GX1444" s="155"/>
      <c r="IJ1444" s="2"/>
      <c r="KN1444" s="2"/>
    </row>
    <row r="1445" spans="17:302" ht="15" customHeight="1" x14ac:dyDescent="0.25">
      <c r="Q1445" s="1"/>
      <c r="R1445" s="1"/>
      <c r="T1445" s="1"/>
      <c r="Y1445" s="2"/>
      <c r="AP1445" s="2"/>
      <c r="GX1445" s="155"/>
      <c r="IJ1445" s="2"/>
      <c r="KN1445" s="2"/>
      <c r="KO1445" s="2"/>
    </row>
    <row r="1446" spans="17:302" ht="15" customHeight="1" x14ac:dyDescent="0.25">
      <c r="Q1446" s="1"/>
      <c r="R1446" s="1"/>
      <c r="T1446" s="1"/>
      <c r="Y1446" s="2"/>
      <c r="AP1446" s="2"/>
      <c r="GX1446" s="155"/>
      <c r="IJ1446" s="2"/>
      <c r="KN1446" s="2"/>
    </row>
    <row r="1447" spans="17:302" ht="15" customHeight="1" x14ac:dyDescent="0.25">
      <c r="Q1447" s="1"/>
      <c r="R1447" s="1"/>
      <c r="T1447" s="1"/>
      <c r="Y1447" s="2"/>
      <c r="AP1447" s="2"/>
      <c r="GX1447" s="155"/>
      <c r="IJ1447" s="2"/>
    </row>
    <row r="1448" spans="17:302" ht="15" customHeight="1" x14ac:dyDescent="0.25">
      <c r="Q1448" s="1"/>
      <c r="R1448" s="1"/>
      <c r="T1448" s="1"/>
      <c r="Y1448" s="2"/>
      <c r="AP1448" s="2"/>
      <c r="GX1448" s="155"/>
      <c r="IJ1448" s="2"/>
      <c r="KN1448" s="2"/>
      <c r="KO1448" s="2"/>
    </row>
    <row r="1449" spans="17:302" ht="15" customHeight="1" x14ac:dyDescent="0.25">
      <c r="Q1449" s="1"/>
      <c r="R1449" s="1"/>
      <c r="T1449" s="1"/>
      <c r="Y1449" s="2"/>
      <c r="AP1449" s="2"/>
      <c r="GX1449" s="155"/>
      <c r="IJ1449" s="2"/>
    </row>
    <row r="1450" spans="17:302" ht="15" customHeight="1" x14ac:dyDescent="0.25">
      <c r="Q1450" s="1"/>
      <c r="R1450" s="1"/>
      <c r="T1450" s="1"/>
      <c r="Y1450" s="2"/>
      <c r="AP1450" s="2"/>
      <c r="GX1450" s="155"/>
      <c r="IJ1450" s="2"/>
    </row>
    <row r="1451" spans="17:302" ht="15" customHeight="1" x14ac:dyDescent="0.25">
      <c r="Q1451" s="1"/>
      <c r="R1451" s="1"/>
      <c r="T1451" s="1"/>
      <c r="Y1451" s="2"/>
      <c r="AP1451" s="2"/>
      <c r="GX1451" s="155"/>
      <c r="IJ1451" s="2"/>
      <c r="KN1451" s="2"/>
      <c r="KO1451" s="2"/>
    </row>
    <row r="1452" spans="17:302" ht="15" customHeight="1" x14ac:dyDescent="0.25">
      <c r="Q1452" s="1"/>
      <c r="R1452" s="1"/>
      <c r="T1452" s="1"/>
      <c r="Y1452" s="2"/>
      <c r="AP1452" s="2"/>
      <c r="GX1452" s="155"/>
      <c r="IJ1452" s="2"/>
      <c r="KN1452" s="2"/>
      <c r="KO1452" s="2"/>
    </row>
    <row r="1453" spans="17:302" ht="15" customHeight="1" x14ac:dyDescent="0.25">
      <c r="Q1453" s="1"/>
      <c r="R1453" s="1"/>
      <c r="T1453" s="1"/>
      <c r="Y1453" s="2"/>
      <c r="AP1453" s="2"/>
      <c r="GX1453" s="155"/>
      <c r="IJ1453" s="2"/>
      <c r="KN1453" s="2"/>
      <c r="KO1453" s="2"/>
      <c r="KP1453" s="2"/>
    </row>
    <row r="1454" spans="17:302" ht="15" customHeight="1" x14ac:dyDescent="0.25">
      <c r="Q1454" s="1"/>
      <c r="R1454" s="1"/>
      <c r="T1454" s="1"/>
      <c r="Y1454" s="2"/>
      <c r="AP1454" s="2"/>
      <c r="GX1454" s="155"/>
      <c r="IJ1454" s="2"/>
      <c r="KN1454" s="2"/>
    </row>
    <row r="1455" spans="17:302" ht="15" customHeight="1" x14ac:dyDescent="0.25">
      <c r="Q1455" s="1"/>
      <c r="R1455" s="1"/>
      <c r="T1455" s="1"/>
      <c r="Y1455" s="2"/>
      <c r="AP1455" s="2"/>
      <c r="GX1455" s="155"/>
      <c r="IJ1455" s="2"/>
      <c r="KN1455" s="2"/>
    </row>
    <row r="1456" spans="17:302" ht="15" customHeight="1" x14ac:dyDescent="0.25">
      <c r="Q1456" s="1"/>
      <c r="R1456" s="1"/>
      <c r="T1456" s="1"/>
      <c r="Y1456" s="2"/>
      <c r="AP1456" s="2"/>
      <c r="GX1456" s="155"/>
      <c r="IJ1456" s="2"/>
      <c r="KN1456" s="2"/>
      <c r="KO1456" s="2"/>
    </row>
    <row r="1457" spans="17:302" ht="15" customHeight="1" x14ac:dyDescent="0.25">
      <c r="Q1457" s="1"/>
      <c r="R1457" s="1"/>
      <c r="T1457" s="1"/>
      <c r="Y1457" s="2"/>
      <c r="AP1457" s="2"/>
      <c r="GX1457" s="155"/>
      <c r="IJ1457" s="2"/>
    </row>
    <row r="1458" spans="17:302" ht="15" customHeight="1" x14ac:dyDescent="0.25">
      <c r="Q1458" s="1"/>
      <c r="R1458" s="1"/>
      <c r="T1458" s="1"/>
      <c r="Y1458" s="2"/>
      <c r="AP1458" s="2"/>
      <c r="GX1458" s="155"/>
      <c r="IJ1458" s="2"/>
      <c r="KN1458" s="2"/>
    </row>
    <row r="1459" spans="17:302" ht="15" customHeight="1" x14ac:dyDescent="0.25">
      <c r="Q1459" s="1"/>
      <c r="R1459" s="1"/>
      <c r="T1459" s="1"/>
      <c r="Y1459" s="2"/>
      <c r="AP1459" s="2"/>
      <c r="GX1459" s="155"/>
      <c r="IJ1459" s="2"/>
      <c r="KN1459" s="2"/>
      <c r="KO1459" s="2"/>
    </row>
    <row r="1460" spans="17:302" ht="15" customHeight="1" x14ac:dyDescent="0.25">
      <c r="Q1460" s="1"/>
      <c r="R1460" s="1"/>
      <c r="T1460" s="1"/>
      <c r="Y1460" s="2"/>
      <c r="AP1460" s="2"/>
      <c r="GX1460" s="155"/>
      <c r="IJ1460" s="2"/>
      <c r="KN1460" s="2"/>
      <c r="KO1460" s="2"/>
    </row>
    <row r="1461" spans="17:302" ht="15" customHeight="1" x14ac:dyDescent="0.25">
      <c r="Q1461" s="1"/>
      <c r="R1461" s="1"/>
      <c r="Y1461" s="2"/>
      <c r="AP1461" s="2"/>
      <c r="GX1461" s="155"/>
      <c r="IJ1461" s="2"/>
    </row>
    <row r="1462" spans="17:302" ht="15" customHeight="1" x14ac:dyDescent="0.25">
      <c r="Q1462" s="1"/>
      <c r="R1462" s="1"/>
      <c r="T1462" s="1"/>
      <c r="Y1462" s="2"/>
      <c r="AP1462" s="2"/>
      <c r="GX1462" s="155"/>
      <c r="IJ1462" s="2"/>
    </row>
    <row r="1463" spans="17:302" ht="15" customHeight="1" x14ac:dyDescent="0.25">
      <c r="Q1463" s="1"/>
      <c r="R1463" s="1"/>
      <c r="T1463" s="1"/>
      <c r="Y1463" s="2"/>
      <c r="AP1463" s="2"/>
      <c r="GX1463" s="155"/>
      <c r="IJ1463" s="2"/>
      <c r="KN1463" s="2"/>
      <c r="KO1463" s="2"/>
      <c r="KP1463" s="2"/>
    </row>
    <row r="1464" spans="17:302" ht="15" customHeight="1" x14ac:dyDescent="0.25">
      <c r="Q1464" s="1"/>
      <c r="R1464" s="1"/>
      <c r="T1464" s="1"/>
      <c r="Y1464" s="2"/>
      <c r="AP1464" s="2"/>
      <c r="GX1464" s="155"/>
      <c r="IJ1464" s="2"/>
      <c r="KN1464" s="2"/>
    </row>
    <row r="1465" spans="17:302" ht="15" customHeight="1" x14ac:dyDescent="0.25">
      <c r="Q1465" s="1"/>
      <c r="R1465" s="1"/>
      <c r="T1465" s="1"/>
      <c r="Y1465" s="2"/>
      <c r="AP1465" s="2"/>
      <c r="GX1465" s="155"/>
      <c r="IJ1465" s="2"/>
      <c r="KN1465" s="2"/>
    </row>
    <row r="1466" spans="17:302" ht="15" customHeight="1" x14ac:dyDescent="0.25">
      <c r="Q1466" s="1"/>
      <c r="R1466" s="1"/>
      <c r="T1466" s="1"/>
      <c r="Y1466" s="2"/>
      <c r="AP1466" s="2"/>
      <c r="GX1466" s="155"/>
      <c r="IJ1466" s="2"/>
      <c r="KN1466" s="2"/>
    </row>
    <row r="1467" spans="17:302" ht="15" customHeight="1" x14ac:dyDescent="0.25">
      <c r="Q1467" s="1"/>
      <c r="R1467" s="1"/>
      <c r="T1467" s="1"/>
      <c r="Y1467" s="2"/>
      <c r="AP1467" s="2"/>
      <c r="GX1467" s="155"/>
      <c r="IJ1467" s="2"/>
      <c r="KN1467" s="2"/>
    </row>
    <row r="1468" spans="17:302" ht="15" customHeight="1" x14ac:dyDescent="0.25">
      <c r="Q1468" s="1"/>
      <c r="R1468" s="1"/>
      <c r="T1468" s="1"/>
      <c r="Y1468" s="2"/>
      <c r="AP1468" s="2"/>
      <c r="GX1468" s="155"/>
      <c r="IJ1468" s="2"/>
      <c r="KN1468" s="2"/>
      <c r="KO1468" s="2"/>
    </row>
    <row r="1469" spans="17:302" ht="15" customHeight="1" x14ac:dyDescent="0.25">
      <c r="Q1469" s="1"/>
      <c r="R1469" s="1"/>
      <c r="T1469" s="1"/>
      <c r="Y1469" s="2"/>
      <c r="AP1469" s="2"/>
      <c r="GX1469" s="155"/>
      <c r="IJ1469" s="2"/>
      <c r="KN1469" s="2"/>
      <c r="KO1469" s="2"/>
    </row>
    <row r="1470" spans="17:302" ht="15" customHeight="1" x14ac:dyDescent="0.25">
      <c r="Q1470" s="1"/>
      <c r="R1470" s="1"/>
      <c r="T1470" s="1"/>
      <c r="Y1470" s="2"/>
      <c r="AP1470" s="2"/>
      <c r="GX1470" s="155"/>
      <c r="IJ1470" s="2"/>
      <c r="KN1470" s="2"/>
    </row>
    <row r="1471" spans="17:302" ht="15" customHeight="1" x14ac:dyDescent="0.25">
      <c r="Q1471" s="1"/>
      <c r="R1471" s="1"/>
      <c r="T1471" s="1"/>
      <c r="Y1471" s="2"/>
      <c r="AP1471" s="2"/>
      <c r="GX1471" s="155"/>
      <c r="IJ1471" s="2"/>
      <c r="KN1471" s="2"/>
      <c r="KO1471" s="2"/>
    </row>
    <row r="1472" spans="17:302" ht="15" customHeight="1" x14ac:dyDescent="0.25">
      <c r="Q1472" s="1"/>
      <c r="R1472" s="1"/>
      <c r="T1472" s="1"/>
      <c r="Y1472" s="2"/>
      <c r="AP1472" s="2"/>
      <c r="GX1472" s="155"/>
      <c r="IJ1472" s="2"/>
      <c r="KN1472" s="2"/>
    </row>
    <row r="1473" spans="17:303" ht="15" customHeight="1" x14ac:dyDescent="0.25">
      <c r="Q1473" s="1"/>
      <c r="R1473" s="1"/>
      <c r="T1473" s="1"/>
      <c r="Y1473" s="2"/>
      <c r="AP1473" s="2"/>
      <c r="GX1473" s="155"/>
      <c r="IJ1473" s="2"/>
      <c r="KN1473" s="2"/>
    </row>
    <row r="1474" spans="17:303" ht="15" customHeight="1" x14ac:dyDescent="0.25">
      <c r="Q1474" s="1"/>
      <c r="R1474" s="1"/>
      <c r="T1474" s="1"/>
      <c r="Y1474" s="2"/>
      <c r="AP1474" s="2"/>
      <c r="GX1474" s="155"/>
      <c r="IJ1474" s="2"/>
      <c r="KN1474" s="2"/>
      <c r="KO1474" s="2"/>
    </row>
    <row r="1475" spans="17:303" ht="15" customHeight="1" x14ac:dyDescent="0.25">
      <c r="Q1475" s="1"/>
      <c r="R1475" s="1"/>
      <c r="T1475" s="1"/>
      <c r="Y1475" s="2"/>
      <c r="AP1475" s="2"/>
      <c r="GX1475" s="155"/>
      <c r="IJ1475" s="2"/>
      <c r="KN1475" s="2"/>
      <c r="KO1475" s="2"/>
      <c r="KP1475" s="2"/>
    </row>
    <row r="1476" spans="17:303" ht="15" customHeight="1" x14ac:dyDescent="0.25">
      <c r="Q1476" s="1"/>
      <c r="R1476" s="1"/>
      <c r="T1476" s="1"/>
      <c r="Y1476" s="2"/>
      <c r="AP1476" s="2"/>
      <c r="GX1476" s="155"/>
      <c r="IJ1476" s="2"/>
      <c r="KN1476" s="2"/>
    </row>
    <row r="1477" spans="17:303" ht="15" customHeight="1" x14ac:dyDescent="0.25">
      <c r="Q1477" s="1"/>
      <c r="R1477" s="1"/>
      <c r="T1477" s="1"/>
      <c r="Y1477" s="2"/>
      <c r="AP1477" s="2"/>
      <c r="GX1477" s="155"/>
      <c r="IJ1477" s="2"/>
      <c r="KN1477" s="2"/>
    </row>
    <row r="1478" spans="17:303" ht="15" customHeight="1" x14ac:dyDescent="0.25">
      <c r="Q1478" s="1"/>
      <c r="R1478" s="1"/>
      <c r="T1478" s="1"/>
      <c r="Y1478" s="2"/>
      <c r="AP1478" s="2"/>
      <c r="GX1478" s="155"/>
      <c r="IJ1478" s="2"/>
      <c r="KN1478" s="2"/>
    </row>
    <row r="1479" spans="17:303" ht="15" customHeight="1" x14ac:dyDescent="0.25">
      <c r="Q1479" s="1"/>
      <c r="R1479" s="1"/>
      <c r="Y1479" s="2"/>
      <c r="AP1479" s="2"/>
      <c r="GX1479" s="155"/>
      <c r="IJ1479" s="2"/>
    </row>
    <row r="1480" spans="17:303" ht="15" customHeight="1" x14ac:dyDescent="0.25">
      <c r="Q1480" s="1"/>
      <c r="R1480" s="1"/>
      <c r="Y1480" s="2"/>
      <c r="AP1480" s="2"/>
      <c r="GX1480" s="155"/>
      <c r="IJ1480" s="2"/>
    </row>
    <row r="1481" spans="17:303" ht="15" customHeight="1" x14ac:dyDescent="0.25">
      <c r="Q1481" s="1"/>
      <c r="R1481" s="1"/>
      <c r="T1481" s="1"/>
      <c r="Y1481" s="2"/>
      <c r="AP1481" s="2"/>
      <c r="GX1481" s="155"/>
      <c r="IJ1481" s="2"/>
    </row>
    <row r="1482" spans="17:303" ht="15" customHeight="1" x14ac:dyDescent="0.25">
      <c r="Q1482" s="1"/>
      <c r="R1482" s="1"/>
      <c r="T1482" s="1"/>
      <c r="Y1482" s="2"/>
      <c r="AP1482" s="2"/>
      <c r="GX1482" s="155"/>
      <c r="IJ1482" s="2"/>
      <c r="KN1482" s="2"/>
    </row>
    <row r="1483" spans="17:303" ht="15" customHeight="1" x14ac:dyDescent="0.25">
      <c r="Q1483" s="1"/>
      <c r="R1483" s="1"/>
      <c r="T1483" s="1"/>
      <c r="Y1483" s="2"/>
      <c r="AP1483" s="2"/>
      <c r="GX1483" s="155"/>
      <c r="IJ1483" s="2"/>
      <c r="KN1483" s="2"/>
    </row>
    <row r="1484" spans="17:303" ht="15" customHeight="1" x14ac:dyDescent="0.25">
      <c r="Q1484" s="1"/>
      <c r="R1484" s="1"/>
      <c r="T1484" s="1"/>
      <c r="Y1484" s="2"/>
      <c r="AP1484" s="2"/>
      <c r="GX1484" s="155"/>
      <c r="IJ1484" s="2"/>
      <c r="KN1484" s="2"/>
      <c r="KO1484" s="2"/>
      <c r="KP1484" s="2"/>
      <c r="KQ1484" s="2"/>
    </row>
    <row r="1485" spans="17:303" ht="15" customHeight="1" x14ac:dyDescent="0.25">
      <c r="Q1485" s="1"/>
      <c r="R1485" s="1"/>
      <c r="T1485" s="1"/>
      <c r="Y1485" s="2"/>
      <c r="AP1485" s="2"/>
      <c r="GX1485" s="155"/>
      <c r="IJ1485" s="2"/>
      <c r="KN1485" s="2"/>
      <c r="KO1485" s="2"/>
    </row>
    <row r="1486" spans="17:303" ht="15" customHeight="1" x14ac:dyDescent="0.25">
      <c r="Q1486" s="1"/>
      <c r="R1486" s="1"/>
      <c r="T1486" s="1"/>
      <c r="Y1486" s="2"/>
      <c r="AP1486" s="2"/>
      <c r="GX1486" s="155"/>
      <c r="IJ1486" s="2"/>
      <c r="KN1486" s="2"/>
    </row>
    <row r="1487" spans="17:303" ht="15" customHeight="1" x14ac:dyDescent="0.25">
      <c r="Q1487" s="1"/>
      <c r="R1487" s="1"/>
      <c r="T1487" s="1"/>
      <c r="Y1487" s="2"/>
      <c r="AP1487" s="2"/>
      <c r="GX1487" s="155"/>
      <c r="IJ1487" s="2"/>
      <c r="KN1487" s="2"/>
    </row>
    <row r="1488" spans="17:303" ht="15" customHeight="1" x14ac:dyDescent="0.25">
      <c r="Q1488" s="1"/>
      <c r="R1488" s="1"/>
      <c r="T1488" s="1"/>
      <c r="Y1488" s="2"/>
      <c r="AP1488" s="2"/>
      <c r="GX1488" s="155"/>
      <c r="IJ1488" s="2"/>
      <c r="KN1488" s="2"/>
      <c r="KO1488" s="2"/>
    </row>
    <row r="1489" spans="17:301" ht="15" customHeight="1" x14ac:dyDescent="0.25">
      <c r="Q1489" s="1"/>
      <c r="R1489" s="1"/>
      <c r="T1489" s="1"/>
      <c r="Y1489" s="2"/>
      <c r="AP1489" s="2"/>
      <c r="GX1489" s="155"/>
      <c r="IJ1489" s="2"/>
      <c r="KN1489" s="2"/>
    </row>
    <row r="1490" spans="17:301" ht="15" customHeight="1" x14ac:dyDescent="0.25">
      <c r="Q1490" s="1"/>
      <c r="R1490" s="1"/>
      <c r="T1490" s="1"/>
      <c r="Y1490" s="2"/>
      <c r="AP1490" s="2"/>
      <c r="GX1490" s="155"/>
      <c r="IJ1490" s="2"/>
      <c r="KN1490" s="2"/>
    </row>
    <row r="1491" spans="17:301" ht="15" customHeight="1" x14ac:dyDescent="0.25">
      <c r="Q1491" s="1"/>
      <c r="R1491" s="1"/>
      <c r="T1491" s="1"/>
      <c r="Y1491" s="2"/>
      <c r="AP1491" s="2"/>
      <c r="GX1491" s="155"/>
      <c r="IJ1491" s="2"/>
      <c r="KN1491" s="2"/>
      <c r="KO1491" s="2"/>
    </row>
    <row r="1492" spans="17:301" ht="15" customHeight="1" x14ac:dyDescent="0.25">
      <c r="Q1492" s="1"/>
      <c r="R1492" s="1"/>
      <c r="T1492" s="1"/>
      <c r="Y1492" s="2"/>
      <c r="AP1492" s="2"/>
      <c r="GX1492" s="155"/>
      <c r="IJ1492" s="2"/>
      <c r="KN1492" s="2"/>
    </row>
    <row r="1493" spans="17:301" ht="15" customHeight="1" x14ac:dyDescent="0.25">
      <c r="Q1493" s="1"/>
      <c r="R1493" s="1"/>
      <c r="T1493" s="1"/>
      <c r="Y1493" s="2"/>
      <c r="AP1493" s="2"/>
      <c r="GX1493" s="155"/>
      <c r="IJ1493" s="2"/>
      <c r="KN1493" s="2"/>
    </row>
    <row r="1494" spans="17:301" ht="15" customHeight="1" x14ac:dyDescent="0.25">
      <c r="Q1494" s="1"/>
      <c r="R1494" s="1"/>
      <c r="T1494" s="1"/>
      <c r="Y1494" s="2"/>
      <c r="AP1494" s="2"/>
      <c r="GX1494" s="155"/>
      <c r="IJ1494" s="2"/>
    </row>
    <row r="1495" spans="17:301" ht="15" customHeight="1" x14ac:dyDescent="0.25">
      <c r="Q1495" s="1"/>
      <c r="R1495" s="1"/>
      <c r="Y1495" s="2"/>
      <c r="AP1495" s="2"/>
      <c r="GX1495" s="155"/>
      <c r="IJ1495" s="2"/>
    </row>
    <row r="1496" spans="17:301" ht="15" customHeight="1" x14ac:dyDescent="0.25">
      <c r="Q1496" s="1"/>
      <c r="R1496" s="1"/>
      <c r="Y1496" s="2"/>
      <c r="AP1496" s="2"/>
      <c r="GX1496" s="155"/>
      <c r="IJ1496" s="2"/>
    </row>
    <row r="1497" spans="17:301" ht="15" customHeight="1" x14ac:dyDescent="0.25">
      <c r="Q1497" s="1"/>
      <c r="R1497" s="1"/>
      <c r="T1497" s="1"/>
      <c r="Y1497" s="2"/>
      <c r="AP1497" s="2"/>
      <c r="GX1497" s="155"/>
      <c r="IJ1497" s="2"/>
      <c r="KN1497" s="2"/>
    </row>
    <row r="1498" spans="17:301" ht="15" customHeight="1" x14ac:dyDescent="0.25">
      <c r="Q1498" s="1"/>
      <c r="R1498" s="1"/>
      <c r="Y1498" s="2"/>
      <c r="AP1498" s="2"/>
      <c r="GX1498" s="155"/>
      <c r="IJ1498" s="2"/>
    </row>
    <row r="1499" spans="17:301" ht="15" customHeight="1" x14ac:dyDescent="0.25">
      <c r="Q1499" s="1"/>
      <c r="R1499" s="1"/>
      <c r="T1499" s="1"/>
      <c r="Y1499" s="2"/>
      <c r="AP1499" s="2"/>
      <c r="GX1499" s="155"/>
      <c r="IJ1499" s="2"/>
      <c r="KN1499" s="2"/>
      <c r="KO1499" s="2"/>
    </row>
    <row r="1500" spans="17:301" ht="15" customHeight="1" x14ac:dyDescent="0.25">
      <c r="Q1500" s="1"/>
      <c r="R1500" s="1"/>
      <c r="Y1500" s="2"/>
      <c r="AP1500" s="2"/>
      <c r="GX1500" s="155"/>
      <c r="IJ1500" s="2"/>
    </row>
    <row r="1501" spans="17:301" ht="15" customHeight="1" x14ac:dyDescent="0.25">
      <c r="Q1501" s="1"/>
      <c r="R1501" s="1"/>
      <c r="Y1501" s="2"/>
      <c r="AP1501" s="2"/>
      <c r="GX1501" s="155"/>
      <c r="IJ1501" s="2"/>
    </row>
    <row r="1502" spans="17:301" ht="15" customHeight="1" x14ac:dyDescent="0.25">
      <c r="Q1502" s="1"/>
      <c r="R1502" s="1"/>
      <c r="T1502" s="1"/>
      <c r="Y1502" s="2"/>
      <c r="AP1502" s="2"/>
      <c r="GX1502" s="155"/>
      <c r="IJ1502" s="2"/>
      <c r="KN1502" s="2"/>
    </row>
    <row r="1503" spans="17:301" ht="15" customHeight="1" x14ac:dyDescent="0.25">
      <c r="Q1503" s="1"/>
      <c r="R1503" s="1"/>
      <c r="T1503" s="1"/>
      <c r="Y1503" s="2"/>
      <c r="AP1503" s="2"/>
      <c r="GX1503" s="155"/>
      <c r="IJ1503" s="2"/>
    </row>
    <row r="1504" spans="17:301" ht="15" customHeight="1" x14ac:dyDescent="0.25">
      <c r="Q1504" s="1"/>
      <c r="R1504" s="1"/>
      <c r="T1504" s="1"/>
      <c r="Y1504" s="2"/>
      <c r="AP1504" s="2"/>
      <c r="GX1504" s="155"/>
      <c r="IJ1504" s="2"/>
    </row>
    <row r="1505" spans="17:302" ht="15" customHeight="1" x14ac:dyDescent="0.25">
      <c r="Q1505" s="1"/>
      <c r="R1505" s="1"/>
      <c r="T1505" s="1"/>
      <c r="Y1505" s="2"/>
      <c r="AP1505" s="2"/>
      <c r="GX1505" s="155"/>
      <c r="IJ1505" s="2"/>
    </row>
    <row r="1506" spans="17:302" ht="15" customHeight="1" x14ac:dyDescent="0.25">
      <c r="Q1506" s="1"/>
      <c r="R1506" s="1"/>
      <c r="Y1506" s="2"/>
      <c r="AP1506" s="2"/>
      <c r="GX1506" s="155"/>
      <c r="IJ1506" s="2"/>
      <c r="KN1506" s="2"/>
      <c r="KO1506" s="2"/>
    </row>
    <row r="1507" spans="17:302" ht="15" customHeight="1" x14ac:dyDescent="0.25">
      <c r="Q1507" s="1"/>
      <c r="R1507" s="1"/>
      <c r="T1507" s="1"/>
      <c r="Y1507" s="2"/>
      <c r="AP1507" s="2"/>
      <c r="GX1507" s="155"/>
      <c r="IJ1507" s="2"/>
      <c r="KN1507" s="2"/>
    </row>
    <row r="1508" spans="17:302" ht="15" customHeight="1" x14ac:dyDescent="0.25">
      <c r="Q1508" s="1"/>
      <c r="R1508" s="1"/>
      <c r="T1508" s="1"/>
      <c r="Y1508" s="2"/>
      <c r="AP1508" s="2"/>
      <c r="GX1508" s="155"/>
      <c r="IJ1508" s="2"/>
      <c r="KN1508" s="2"/>
    </row>
    <row r="1509" spans="17:302" ht="15" customHeight="1" x14ac:dyDescent="0.25">
      <c r="Q1509" s="1"/>
      <c r="R1509" s="1"/>
      <c r="T1509" s="1"/>
      <c r="Y1509" s="2"/>
      <c r="AP1509" s="2"/>
      <c r="GX1509" s="155"/>
      <c r="IJ1509" s="2"/>
      <c r="KN1509" s="2"/>
    </row>
    <row r="1510" spans="17:302" ht="15" customHeight="1" x14ac:dyDescent="0.25">
      <c r="Q1510" s="1"/>
      <c r="R1510" s="1"/>
      <c r="T1510" s="1"/>
      <c r="Y1510" s="2"/>
      <c r="AP1510" s="2"/>
      <c r="GX1510" s="155"/>
      <c r="IJ1510" s="2"/>
      <c r="KN1510" s="2"/>
      <c r="KO1510" s="2"/>
    </row>
    <row r="1511" spans="17:302" ht="15" customHeight="1" x14ac:dyDescent="0.25">
      <c r="Q1511" s="1"/>
      <c r="R1511" s="1"/>
      <c r="Y1511" s="2"/>
      <c r="AP1511" s="2"/>
      <c r="GX1511" s="155"/>
      <c r="IJ1511" s="2"/>
      <c r="KN1511" s="2"/>
    </row>
    <row r="1512" spans="17:302" ht="15" customHeight="1" x14ac:dyDescent="0.25">
      <c r="Q1512" s="1"/>
      <c r="R1512" s="1"/>
      <c r="T1512" s="1"/>
      <c r="Y1512" s="2"/>
      <c r="AP1512" s="2"/>
      <c r="GX1512" s="155"/>
      <c r="IJ1512" s="2"/>
      <c r="KN1512" s="2"/>
    </row>
    <row r="1513" spans="17:302" ht="15" customHeight="1" x14ac:dyDescent="0.25">
      <c r="Q1513" s="1"/>
      <c r="R1513" s="1"/>
      <c r="Y1513" s="2"/>
      <c r="AP1513" s="2"/>
      <c r="GX1513" s="155"/>
      <c r="IJ1513" s="2"/>
    </row>
    <row r="1514" spans="17:302" ht="15" customHeight="1" x14ac:dyDescent="0.25">
      <c r="Q1514" s="1"/>
      <c r="R1514" s="1"/>
      <c r="T1514" s="1"/>
      <c r="Y1514" s="2"/>
      <c r="AP1514" s="2"/>
      <c r="GX1514" s="155"/>
      <c r="IJ1514" s="2"/>
      <c r="KN1514" s="2"/>
      <c r="KO1514" s="2"/>
      <c r="KP1514" s="2"/>
    </row>
    <row r="1515" spans="17:302" ht="15" customHeight="1" x14ac:dyDescent="0.25">
      <c r="Q1515" s="1"/>
      <c r="R1515" s="1"/>
      <c r="T1515" s="1"/>
      <c r="Y1515" s="2"/>
      <c r="AP1515" s="2"/>
      <c r="GX1515" s="155"/>
      <c r="IJ1515" s="2"/>
    </row>
    <row r="1516" spans="17:302" ht="15" customHeight="1" x14ac:dyDescent="0.25">
      <c r="Q1516" s="1"/>
      <c r="R1516" s="1"/>
      <c r="T1516" s="1"/>
      <c r="Y1516" s="2"/>
      <c r="AP1516" s="2"/>
      <c r="GX1516" s="155"/>
      <c r="IJ1516" s="2"/>
      <c r="KN1516" s="2"/>
    </row>
    <row r="1517" spans="17:302" ht="15" customHeight="1" x14ac:dyDescent="0.25">
      <c r="Q1517" s="1"/>
      <c r="R1517" s="1"/>
      <c r="Y1517" s="2"/>
      <c r="AP1517" s="2"/>
      <c r="GX1517" s="155"/>
      <c r="IJ1517" s="2"/>
    </row>
    <row r="1518" spans="17:302" ht="15" customHeight="1" x14ac:dyDescent="0.25">
      <c r="Q1518" s="1"/>
      <c r="R1518" s="1"/>
      <c r="Y1518" s="2"/>
      <c r="AP1518" s="2"/>
      <c r="GX1518" s="155"/>
      <c r="IJ1518" s="2"/>
    </row>
    <row r="1519" spans="17:302" ht="15" customHeight="1" x14ac:dyDescent="0.25">
      <c r="Q1519" s="1"/>
      <c r="R1519" s="1"/>
      <c r="T1519" s="1"/>
      <c r="Y1519" s="2"/>
      <c r="AP1519" s="2"/>
      <c r="GX1519" s="155"/>
      <c r="IJ1519" s="2"/>
      <c r="KN1519" s="2"/>
    </row>
    <row r="1520" spans="17:302" ht="15" customHeight="1" x14ac:dyDescent="0.25">
      <c r="Q1520" s="1"/>
      <c r="R1520" s="1"/>
      <c r="T1520" s="1"/>
      <c r="Y1520" s="2"/>
      <c r="AP1520" s="2"/>
      <c r="GX1520" s="155"/>
      <c r="IJ1520" s="2"/>
      <c r="KN1520" s="2"/>
    </row>
    <row r="1521" spans="17:303" ht="15" customHeight="1" x14ac:dyDescent="0.25">
      <c r="Q1521" s="1"/>
      <c r="R1521" s="1"/>
      <c r="T1521" s="1"/>
      <c r="Y1521" s="2"/>
      <c r="AP1521" s="2"/>
      <c r="GX1521" s="155"/>
      <c r="IJ1521" s="2"/>
      <c r="KN1521" s="2"/>
      <c r="KO1521" s="2"/>
      <c r="KP1521" s="2"/>
      <c r="KQ1521" s="2"/>
    </row>
    <row r="1522" spans="17:303" ht="15" customHeight="1" x14ac:dyDescent="0.25">
      <c r="Q1522" s="1"/>
      <c r="R1522" s="1"/>
      <c r="T1522" s="1"/>
      <c r="Y1522" s="2"/>
      <c r="AP1522" s="2"/>
      <c r="GX1522" s="155"/>
      <c r="IJ1522" s="2"/>
      <c r="KN1522" s="2"/>
    </row>
    <row r="1523" spans="17:303" ht="15" customHeight="1" x14ac:dyDescent="0.25">
      <c r="Q1523" s="1"/>
      <c r="R1523" s="1"/>
      <c r="T1523" s="1"/>
      <c r="Y1523" s="2"/>
      <c r="AP1523" s="2"/>
      <c r="GX1523" s="155"/>
      <c r="IJ1523" s="2"/>
      <c r="KN1523" s="2"/>
      <c r="KO1523" s="2"/>
    </row>
    <row r="1524" spans="17:303" ht="15" customHeight="1" x14ac:dyDescent="0.25">
      <c r="Q1524" s="1"/>
      <c r="R1524" s="1"/>
      <c r="T1524" s="1"/>
      <c r="Y1524" s="2"/>
      <c r="AP1524" s="2"/>
      <c r="GX1524" s="155"/>
      <c r="IJ1524" s="2"/>
    </row>
    <row r="1525" spans="17:303" ht="15" customHeight="1" x14ac:dyDescent="0.25">
      <c r="Q1525" s="1"/>
      <c r="R1525" s="1"/>
      <c r="Y1525" s="2"/>
      <c r="AP1525" s="2"/>
      <c r="GX1525" s="155"/>
      <c r="IJ1525" s="2"/>
    </row>
    <row r="1526" spans="17:303" ht="15" customHeight="1" x14ac:dyDescent="0.25">
      <c r="Q1526" s="1"/>
      <c r="R1526" s="1"/>
      <c r="Y1526" s="2"/>
      <c r="AP1526" s="2"/>
      <c r="GX1526" s="155"/>
      <c r="IJ1526" s="2"/>
    </row>
    <row r="1527" spans="17:303" ht="15" customHeight="1" x14ac:dyDescent="0.25">
      <c r="Q1527" s="1"/>
      <c r="R1527" s="1"/>
      <c r="Y1527" s="2"/>
      <c r="AP1527" s="2"/>
      <c r="GX1527" s="155"/>
      <c r="IJ1527" s="2"/>
    </row>
    <row r="1528" spans="17:303" ht="15" customHeight="1" x14ac:dyDescent="0.25">
      <c r="Q1528" s="1"/>
      <c r="R1528" s="1"/>
      <c r="Y1528" s="2"/>
      <c r="AP1528" s="2"/>
      <c r="GX1528" s="155"/>
      <c r="IJ1528" s="2"/>
    </row>
    <row r="1529" spans="17:303" ht="15" customHeight="1" x14ac:dyDescent="0.25">
      <c r="Q1529" s="1"/>
      <c r="R1529" s="1"/>
      <c r="T1529" s="1"/>
      <c r="Y1529" s="2"/>
      <c r="AP1529" s="2"/>
      <c r="GX1529" s="155"/>
      <c r="IJ1529" s="2"/>
      <c r="KN1529" s="2"/>
      <c r="KO1529" s="2"/>
      <c r="KP1529" s="2"/>
      <c r="KQ1529" s="2"/>
    </row>
    <row r="1530" spans="17:303" ht="15" customHeight="1" x14ac:dyDescent="0.25">
      <c r="Q1530" s="1"/>
      <c r="R1530" s="1"/>
      <c r="T1530" s="1"/>
      <c r="Y1530" s="2"/>
      <c r="AP1530" s="2"/>
      <c r="GX1530" s="155"/>
      <c r="IJ1530" s="2"/>
      <c r="KN1530" s="2"/>
      <c r="KO1530" s="2"/>
    </row>
    <row r="1531" spans="17:303" ht="15" customHeight="1" x14ac:dyDescent="0.25">
      <c r="Q1531" s="1"/>
      <c r="R1531" s="1"/>
      <c r="Y1531" s="2"/>
      <c r="AP1531" s="2"/>
      <c r="GX1531" s="155"/>
      <c r="IJ1531" s="2"/>
      <c r="KN1531" s="2"/>
      <c r="KO1531" s="2"/>
    </row>
    <row r="1532" spans="17:303" ht="15" customHeight="1" x14ac:dyDescent="0.25">
      <c r="Q1532" s="1"/>
      <c r="R1532" s="1"/>
      <c r="T1532" s="1"/>
      <c r="Y1532" s="2"/>
      <c r="AP1532" s="2"/>
      <c r="GX1532" s="155"/>
      <c r="IJ1532" s="2"/>
    </row>
    <row r="1533" spans="17:303" ht="15" customHeight="1" x14ac:dyDescent="0.25">
      <c r="Q1533" s="1"/>
      <c r="R1533" s="1"/>
      <c r="T1533" s="1"/>
      <c r="Y1533" s="2"/>
      <c r="AP1533" s="2"/>
      <c r="GX1533" s="155"/>
      <c r="IJ1533" s="2"/>
      <c r="KN1533" s="2"/>
    </row>
    <row r="1534" spans="17:303" ht="15" customHeight="1" x14ac:dyDescent="0.25">
      <c r="Q1534" s="1"/>
      <c r="R1534" s="1"/>
      <c r="T1534" s="1"/>
      <c r="Y1534" s="2"/>
      <c r="AP1534" s="2"/>
      <c r="GX1534" s="155"/>
      <c r="IJ1534" s="2"/>
    </row>
    <row r="1535" spans="17:303" ht="15" customHeight="1" x14ac:dyDescent="0.25">
      <c r="Q1535" s="1"/>
      <c r="R1535" s="1"/>
      <c r="T1535" s="1"/>
      <c r="Y1535" s="2"/>
      <c r="AP1535" s="2"/>
      <c r="GX1535" s="155"/>
      <c r="IJ1535" s="2"/>
    </row>
    <row r="1536" spans="17:303" ht="15" customHeight="1" x14ac:dyDescent="0.25">
      <c r="Q1536" s="1"/>
      <c r="R1536" s="1"/>
      <c r="T1536" s="1"/>
      <c r="Y1536" s="2"/>
      <c r="AP1536" s="2"/>
      <c r="GX1536" s="155"/>
      <c r="IJ1536" s="2"/>
    </row>
    <row r="1537" spans="17:304" ht="15" customHeight="1" x14ac:dyDescent="0.25">
      <c r="Q1537" s="1"/>
      <c r="R1537" s="1"/>
      <c r="T1537" s="1"/>
      <c r="Y1537" s="2"/>
      <c r="AP1537" s="2"/>
      <c r="GX1537" s="155"/>
      <c r="IJ1537" s="2"/>
    </row>
    <row r="1538" spans="17:304" ht="15" customHeight="1" x14ac:dyDescent="0.25">
      <c r="Q1538" s="1"/>
      <c r="R1538" s="1"/>
      <c r="T1538" s="1"/>
      <c r="Y1538" s="2"/>
      <c r="AP1538" s="2"/>
      <c r="GX1538" s="155"/>
      <c r="IJ1538" s="2"/>
      <c r="KN1538" s="2"/>
    </row>
    <row r="1539" spans="17:304" ht="15" customHeight="1" x14ac:dyDescent="0.25">
      <c r="Q1539" s="1"/>
      <c r="R1539" s="1"/>
      <c r="T1539" s="1"/>
      <c r="Y1539" s="2"/>
      <c r="AP1539" s="2"/>
      <c r="GX1539" s="155"/>
      <c r="IJ1539" s="2"/>
    </row>
    <row r="1540" spans="17:304" ht="15" customHeight="1" x14ac:dyDescent="0.25">
      <c r="Q1540" s="1"/>
      <c r="R1540" s="1"/>
      <c r="T1540" s="1"/>
      <c r="Y1540" s="2"/>
      <c r="AP1540" s="2"/>
      <c r="GX1540" s="155"/>
      <c r="IJ1540" s="2"/>
      <c r="KN1540" s="2"/>
      <c r="KO1540" s="2"/>
      <c r="KP1540" s="2"/>
    </row>
    <row r="1541" spans="17:304" ht="15" customHeight="1" x14ac:dyDescent="0.25">
      <c r="Q1541" s="1"/>
      <c r="R1541" s="1"/>
      <c r="S1541" s="1"/>
      <c r="T1541" s="1"/>
      <c r="Y1541" s="2"/>
      <c r="AP1541" s="2"/>
      <c r="GX1541" s="155"/>
      <c r="IJ1541" s="2"/>
      <c r="KN1541" s="2"/>
    </row>
    <row r="1542" spans="17:304" ht="15" customHeight="1" x14ac:dyDescent="0.25">
      <c r="Q1542" s="1"/>
      <c r="R1542" s="1"/>
      <c r="T1542" s="1"/>
      <c r="Y1542" s="2"/>
      <c r="AP1542" s="2"/>
      <c r="GX1542" s="155"/>
      <c r="IJ1542" s="2"/>
      <c r="KN1542" s="2"/>
    </row>
    <row r="1543" spans="17:304" ht="15" customHeight="1" x14ac:dyDescent="0.25">
      <c r="Q1543" s="1"/>
      <c r="R1543" s="1"/>
      <c r="T1543" s="1"/>
      <c r="Y1543" s="2"/>
      <c r="AP1543" s="2"/>
      <c r="GX1543" s="155"/>
      <c r="IJ1543" s="2"/>
      <c r="KN1543" s="2"/>
    </row>
    <row r="1544" spans="17:304" ht="15" customHeight="1" x14ac:dyDescent="0.25">
      <c r="Q1544" s="1"/>
      <c r="R1544" s="1"/>
      <c r="T1544" s="1"/>
      <c r="Y1544" s="2"/>
      <c r="AP1544" s="2"/>
      <c r="GX1544" s="155"/>
      <c r="IJ1544" s="2"/>
      <c r="KN1544" s="2"/>
      <c r="KO1544" s="2"/>
    </row>
    <row r="1545" spans="17:304" ht="15" customHeight="1" x14ac:dyDescent="0.25">
      <c r="Q1545" s="1"/>
      <c r="R1545" s="1"/>
      <c r="T1545" s="1"/>
      <c r="Y1545" s="2"/>
      <c r="AP1545" s="2"/>
      <c r="GX1545" s="155"/>
      <c r="IJ1545" s="2"/>
    </row>
    <row r="1546" spans="17:304" ht="15" customHeight="1" x14ac:dyDescent="0.25">
      <c r="Q1546" s="1"/>
      <c r="R1546" s="1"/>
      <c r="T1546" s="1"/>
      <c r="Y1546" s="2"/>
      <c r="AP1546" s="2"/>
      <c r="GX1546" s="155"/>
      <c r="IJ1546" s="2"/>
    </row>
    <row r="1547" spans="17:304" ht="15" customHeight="1" x14ac:dyDescent="0.25">
      <c r="Q1547" s="1"/>
      <c r="R1547" s="1"/>
      <c r="T1547" s="1"/>
      <c r="Y1547" s="2"/>
      <c r="AP1547" s="2"/>
      <c r="GX1547" s="155"/>
      <c r="IJ1547" s="2"/>
    </row>
    <row r="1548" spans="17:304" ht="15" customHeight="1" x14ac:dyDescent="0.25">
      <c r="Q1548" s="1"/>
      <c r="R1548" s="1"/>
      <c r="T1548" s="1"/>
      <c r="Y1548" s="2"/>
      <c r="AP1548" s="2"/>
      <c r="GX1548" s="155"/>
      <c r="IJ1548" s="2"/>
    </row>
    <row r="1549" spans="17:304" ht="15" customHeight="1" x14ac:dyDescent="0.25">
      <c r="Q1549" s="1"/>
      <c r="R1549" s="1"/>
      <c r="T1549" s="1"/>
      <c r="Y1549" s="2"/>
      <c r="AP1549" s="2"/>
      <c r="GX1549" s="155"/>
      <c r="IJ1549" s="2"/>
      <c r="KN1549" s="2"/>
      <c r="KO1549" s="2"/>
      <c r="KP1549" s="2"/>
      <c r="KQ1549" s="2"/>
      <c r="KR1549" s="2"/>
    </row>
    <row r="1550" spans="17:304" ht="15" customHeight="1" x14ac:dyDescent="0.25">
      <c r="Q1550" s="1"/>
      <c r="R1550" s="1"/>
      <c r="T1550" s="1"/>
      <c r="Y1550" s="2"/>
      <c r="AP1550" s="2"/>
      <c r="GX1550" s="155"/>
      <c r="IJ1550" s="2"/>
      <c r="KN1550" s="2"/>
      <c r="KO1550" s="2"/>
    </row>
    <row r="1551" spans="17:304" ht="15" customHeight="1" x14ac:dyDescent="0.25">
      <c r="Q1551" s="1"/>
      <c r="R1551" s="1"/>
      <c r="Y1551" s="2"/>
      <c r="AP1551" s="2"/>
      <c r="GX1551" s="155"/>
      <c r="IJ1551" s="2"/>
    </row>
    <row r="1552" spans="17:304" ht="15" customHeight="1" x14ac:dyDescent="0.25">
      <c r="Q1552" s="1"/>
      <c r="R1552" s="1"/>
      <c r="T1552" s="1"/>
      <c r="Y1552" s="2"/>
      <c r="AP1552" s="2"/>
      <c r="GX1552" s="155"/>
      <c r="IJ1552" s="2"/>
    </row>
    <row r="1553" spans="17:311" ht="15" customHeight="1" x14ac:dyDescent="0.25">
      <c r="Q1553" s="1"/>
      <c r="R1553" s="1"/>
      <c r="T1553" s="1"/>
      <c r="Y1553" s="2"/>
      <c r="AP1553" s="2"/>
      <c r="GX1553" s="155"/>
      <c r="IJ1553" s="2"/>
    </row>
    <row r="1554" spans="17:311" ht="15" customHeight="1" x14ac:dyDescent="0.25">
      <c r="Q1554" s="1"/>
      <c r="R1554" s="1"/>
      <c r="T1554" s="1"/>
      <c r="Y1554" s="2"/>
      <c r="AP1554" s="2"/>
      <c r="GX1554" s="155"/>
      <c r="IJ1554" s="2"/>
      <c r="KN1554" s="2"/>
      <c r="KO1554" s="2"/>
    </row>
    <row r="1555" spans="17:311" ht="15" customHeight="1" x14ac:dyDescent="0.25">
      <c r="Q1555" s="1"/>
      <c r="R1555" s="1"/>
      <c r="T1555" s="1"/>
      <c r="Y1555" s="2"/>
      <c r="AP1555" s="2"/>
      <c r="GX1555" s="155"/>
      <c r="IJ1555" s="2"/>
    </row>
    <row r="1556" spans="17:311" ht="15" customHeight="1" x14ac:dyDescent="0.25">
      <c r="Q1556" s="1"/>
      <c r="R1556" s="1"/>
      <c r="T1556" s="1"/>
      <c r="Y1556" s="2"/>
      <c r="AP1556" s="2"/>
      <c r="GX1556" s="155"/>
      <c r="IJ1556" s="2"/>
    </row>
    <row r="1557" spans="17:311" ht="15" customHeight="1" x14ac:dyDescent="0.25">
      <c r="Q1557" s="1"/>
      <c r="R1557" s="1"/>
      <c r="T1557" s="1"/>
      <c r="Y1557" s="2"/>
      <c r="AP1557" s="2"/>
      <c r="GX1557" s="155"/>
      <c r="IJ1557" s="2"/>
      <c r="KN1557" s="2"/>
    </row>
    <row r="1558" spans="17:311" ht="15" customHeight="1" x14ac:dyDescent="0.25">
      <c r="Q1558" s="1"/>
      <c r="R1558" s="1"/>
      <c r="T1558" s="1"/>
      <c r="Y1558" s="2"/>
      <c r="AP1558" s="2"/>
      <c r="GX1558" s="155"/>
      <c r="IJ1558" s="2"/>
      <c r="KN1558" s="2"/>
      <c r="KO1558" s="2"/>
    </row>
    <row r="1559" spans="17:311" ht="15" customHeight="1" x14ac:dyDescent="0.25">
      <c r="Q1559" s="1"/>
      <c r="R1559" s="1"/>
      <c r="T1559" s="1"/>
      <c r="Y1559" s="2"/>
      <c r="AP1559" s="2"/>
      <c r="GX1559" s="155"/>
      <c r="IJ1559" s="2"/>
      <c r="KN1559" s="2"/>
      <c r="KO1559" s="2"/>
    </row>
    <row r="1560" spans="17:311" ht="15" customHeight="1" x14ac:dyDescent="0.25">
      <c r="Q1560" s="1"/>
      <c r="R1560" s="1"/>
      <c r="T1560" s="1"/>
      <c r="Y1560" s="2"/>
      <c r="AP1560" s="2"/>
      <c r="GX1560" s="155"/>
      <c r="IJ1560" s="2"/>
      <c r="KN1560" s="2"/>
      <c r="KO1560" s="2"/>
    </row>
    <row r="1561" spans="17:311" ht="15" customHeight="1" x14ac:dyDescent="0.25">
      <c r="Q1561" s="1"/>
      <c r="R1561" s="1"/>
      <c r="T1561" s="1"/>
      <c r="Y1561" s="2"/>
      <c r="AP1561" s="2"/>
      <c r="GX1561" s="155"/>
      <c r="IJ1561" s="2"/>
      <c r="KN1561" s="2"/>
    </row>
    <row r="1562" spans="17:311" ht="15" customHeight="1" x14ac:dyDescent="0.25">
      <c r="Q1562" s="1"/>
      <c r="R1562" s="1"/>
      <c r="T1562" s="1"/>
      <c r="Y1562" s="2"/>
      <c r="AP1562" s="2"/>
      <c r="GX1562" s="155"/>
      <c r="IJ1562" s="2"/>
    </row>
    <row r="1563" spans="17:311" ht="15" customHeight="1" x14ac:dyDescent="0.25">
      <c r="Q1563" s="1"/>
      <c r="R1563" s="1"/>
      <c r="T1563" s="1"/>
      <c r="Y1563" s="2"/>
      <c r="AP1563" s="2"/>
      <c r="GX1563" s="155"/>
      <c r="IJ1563" s="2"/>
    </row>
    <row r="1564" spans="17:311" ht="15" customHeight="1" x14ac:dyDescent="0.25">
      <c r="Q1564" s="1"/>
      <c r="R1564" s="1"/>
      <c r="T1564" s="1"/>
      <c r="Y1564" s="2"/>
      <c r="AP1564" s="2"/>
      <c r="GX1564" s="155"/>
      <c r="IJ1564" s="2"/>
      <c r="KN1564" s="2"/>
      <c r="KO1564" s="2"/>
      <c r="KP1564" s="2"/>
      <c r="KQ1564" s="2"/>
      <c r="KR1564" s="2"/>
      <c r="KS1564" s="2"/>
      <c r="KT1564" s="2"/>
      <c r="KU1564" s="2"/>
      <c r="KV1564" s="2"/>
      <c r="KW1564" s="2"/>
      <c r="KX1564" s="2"/>
      <c r="KY1564" s="2"/>
    </row>
    <row r="1565" spans="17:311" ht="15" customHeight="1" x14ac:dyDescent="0.25">
      <c r="Q1565" s="1"/>
      <c r="R1565" s="1"/>
      <c r="T1565" s="1"/>
      <c r="Y1565" s="2"/>
      <c r="AP1565" s="2"/>
      <c r="GX1565" s="155"/>
      <c r="IJ1565" s="2"/>
      <c r="KN1565" s="2"/>
      <c r="KO1565" s="2"/>
    </row>
    <row r="1566" spans="17:311" ht="15" customHeight="1" x14ac:dyDescent="0.25">
      <c r="Q1566" s="1"/>
      <c r="R1566" s="1"/>
      <c r="T1566" s="1"/>
      <c r="Y1566" s="2"/>
      <c r="AP1566" s="2"/>
      <c r="GX1566" s="155"/>
      <c r="IJ1566" s="2"/>
      <c r="KN1566" s="2"/>
      <c r="KO1566" s="2"/>
    </row>
    <row r="1567" spans="17:311" ht="15" customHeight="1" x14ac:dyDescent="0.25">
      <c r="Q1567" s="1"/>
      <c r="R1567" s="1"/>
      <c r="T1567" s="1"/>
      <c r="Y1567" s="2"/>
      <c r="AP1567" s="2"/>
      <c r="GX1567" s="155"/>
      <c r="IJ1567" s="2"/>
    </row>
    <row r="1568" spans="17:311" ht="15" customHeight="1" x14ac:dyDescent="0.25">
      <c r="Q1568" s="1"/>
      <c r="R1568" s="1"/>
      <c r="T1568" s="1"/>
      <c r="Y1568" s="2"/>
      <c r="AP1568" s="2"/>
      <c r="GX1568" s="155"/>
      <c r="IJ1568" s="2"/>
      <c r="KN1568" s="2"/>
      <c r="KO1568" s="2"/>
      <c r="KP1568" s="2"/>
    </row>
    <row r="1569" spans="17:305" ht="15" customHeight="1" x14ac:dyDescent="0.25">
      <c r="Q1569" s="1"/>
      <c r="R1569" s="1"/>
      <c r="T1569" s="1"/>
      <c r="Y1569" s="2"/>
      <c r="AP1569" s="2"/>
      <c r="GX1569" s="155"/>
      <c r="IJ1569" s="2"/>
      <c r="KN1569" s="2"/>
      <c r="KO1569" s="2"/>
      <c r="KP1569" s="2"/>
      <c r="KQ1569" s="2"/>
      <c r="KR1569" s="2"/>
      <c r="KS1569" s="2"/>
    </row>
    <row r="1570" spans="17:305" ht="15" customHeight="1" x14ac:dyDescent="0.25">
      <c r="Q1570" s="1"/>
      <c r="R1570" s="1"/>
      <c r="T1570" s="1"/>
      <c r="Y1570" s="2"/>
      <c r="AP1570" s="2"/>
      <c r="GX1570" s="155"/>
      <c r="IJ1570" s="2"/>
      <c r="KN1570" s="2"/>
    </row>
    <row r="1571" spans="17:305" ht="15" customHeight="1" x14ac:dyDescent="0.25">
      <c r="Q1571" s="1"/>
      <c r="R1571" s="1"/>
      <c r="T1571" s="1"/>
      <c r="Y1571" s="2"/>
      <c r="AP1571" s="2"/>
      <c r="GX1571" s="155"/>
      <c r="IJ1571" s="2"/>
    </row>
    <row r="1572" spans="17:305" ht="15" customHeight="1" x14ac:dyDescent="0.25">
      <c r="Q1572" s="1"/>
      <c r="R1572" s="1"/>
      <c r="T1572" s="1"/>
      <c r="Y1572" s="2"/>
      <c r="AP1572" s="2"/>
      <c r="GX1572" s="155"/>
      <c r="IJ1572" s="2"/>
      <c r="KN1572" s="2"/>
    </row>
    <row r="1573" spans="17:305" ht="15" customHeight="1" x14ac:dyDescent="0.25">
      <c r="Q1573" s="1"/>
      <c r="R1573" s="1"/>
      <c r="Y1573" s="2"/>
      <c r="AP1573" s="2"/>
      <c r="GX1573" s="155"/>
      <c r="IJ1573" s="2"/>
    </row>
    <row r="1574" spans="17:305" ht="15" customHeight="1" x14ac:dyDescent="0.25">
      <c r="Q1574" s="1"/>
      <c r="R1574" s="1"/>
      <c r="T1574" s="1"/>
      <c r="Y1574" s="2"/>
      <c r="AP1574" s="2"/>
      <c r="GX1574" s="155"/>
      <c r="IJ1574" s="2"/>
      <c r="KN1574" s="2"/>
      <c r="KO1574" s="2"/>
    </row>
    <row r="1575" spans="17:305" ht="15" customHeight="1" x14ac:dyDescent="0.25">
      <c r="Q1575" s="1"/>
      <c r="R1575" s="1"/>
      <c r="T1575" s="1"/>
      <c r="Y1575" s="2"/>
      <c r="AP1575" s="2"/>
      <c r="GX1575" s="155"/>
      <c r="IJ1575" s="2"/>
      <c r="KN1575" s="2"/>
      <c r="KO1575" s="2"/>
    </row>
    <row r="1576" spans="17:305" ht="15" customHeight="1" x14ac:dyDescent="0.25">
      <c r="Q1576" s="1"/>
      <c r="R1576" s="1"/>
      <c r="T1576" s="1"/>
      <c r="Y1576" s="2"/>
      <c r="AP1576" s="2"/>
      <c r="GX1576" s="155"/>
      <c r="IJ1576" s="2"/>
      <c r="KN1576" s="2"/>
      <c r="KO1576" s="2"/>
    </row>
    <row r="1577" spans="17:305" ht="15" customHeight="1" x14ac:dyDescent="0.25">
      <c r="Q1577" s="1"/>
      <c r="R1577" s="1"/>
      <c r="T1577" s="1"/>
      <c r="Y1577" s="2"/>
      <c r="AP1577" s="2"/>
      <c r="GX1577" s="155"/>
      <c r="IJ1577" s="2"/>
      <c r="KN1577" s="2"/>
    </row>
    <row r="1578" spans="17:305" ht="15" customHeight="1" x14ac:dyDescent="0.25">
      <c r="Q1578" s="1"/>
      <c r="R1578" s="1"/>
      <c r="T1578" s="1"/>
      <c r="Y1578" s="2"/>
      <c r="AP1578" s="2"/>
      <c r="GX1578" s="155"/>
      <c r="IJ1578" s="2"/>
      <c r="KN1578" s="2"/>
    </row>
    <row r="1579" spans="17:305" ht="15" customHeight="1" x14ac:dyDescent="0.25">
      <c r="Q1579" s="1"/>
      <c r="R1579" s="1"/>
      <c r="T1579" s="1"/>
      <c r="Y1579" s="2"/>
      <c r="AP1579" s="2"/>
      <c r="GX1579" s="155"/>
      <c r="IJ1579" s="2"/>
      <c r="KN1579" s="2"/>
    </row>
    <row r="1580" spans="17:305" ht="15" customHeight="1" x14ac:dyDescent="0.25">
      <c r="Q1580" s="1"/>
      <c r="R1580" s="1"/>
      <c r="T1580" s="1"/>
      <c r="Y1580" s="2"/>
      <c r="AP1580" s="2"/>
      <c r="GX1580" s="155"/>
      <c r="IJ1580" s="2"/>
      <c r="KN1580" s="2"/>
    </row>
    <row r="1581" spans="17:305" ht="15" customHeight="1" x14ac:dyDescent="0.25">
      <c r="Q1581" s="1"/>
      <c r="R1581" s="1"/>
      <c r="T1581" s="1"/>
      <c r="Y1581" s="2"/>
      <c r="AP1581" s="2"/>
      <c r="GX1581" s="155"/>
      <c r="IJ1581" s="2"/>
      <c r="KN1581" s="2"/>
    </row>
    <row r="1582" spans="17:305" ht="15" customHeight="1" x14ac:dyDescent="0.25">
      <c r="Q1582" s="1"/>
      <c r="R1582" s="1"/>
      <c r="T1582" s="1"/>
      <c r="Y1582" s="2"/>
      <c r="AP1582" s="2"/>
      <c r="GX1582" s="155"/>
      <c r="IJ1582" s="2"/>
    </row>
    <row r="1583" spans="17:305" ht="15" customHeight="1" x14ac:dyDescent="0.25">
      <c r="Q1583" s="1"/>
      <c r="R1583" s="1"/>
      <c r="T1583" s="1"/>
      <c r="Y1583" s="2"/>
      <c r="AP1583" s="2"/>
      <c r="GX1583" s="155"/>
      <c r="IJ1583" s="2"/>
      <c r="KN1583" s="2"/>
    </row>
    <row r="1584" spans="17:305" ht="15" customHeight="1" x14ac:dyDescent="0.25">
      <c r="Q1584" s="1"/>
      <c r="R1584" s="1"/>
      <c r="T1584" s="1"/>
      <c r="Y1584" s="2"/>
      <c r="AP1584" s="2"/>
      <c r="GX1584" s="155"/>
      <c r="IJ1584" s="2"/>
      <c r="KN1584" s="2"/>
      <c r="KO1584" s="2"/>
      <c r="KP1584" s="2"/>
    </row>
    <row r="1585" spans="17:305" ht="15" customHeight="1" x14ac:dyDescent="0.25">
      <c r="Q1585" s="1"/>
      <c r="R1585" s="1"/>
      <c r="T1585" s="1"/>
      <c r="Y1585" s="2"/>
      <c r="AP1585" s="2"/>
      <c r="GX1585" s="155"/>
      <c r="IJ1585" s="2"/>
      <c r="KN1585" s="2"/>
      <c r="KO1585" s="2"/>
      <c r="KP1585" s="2"/>
      <c r="KQ1585" s="2"/>
      <c r="KR1585" s="2"/>
      <c r="KS1585" s="2"/>
    </row>
    <row r="1586" spans="17:305" ht="15" customHeight="1" x14ac:dyDescent="0.25">
      <c r="Q1586" s="1"/>
      <c r="R1586" s="1"/>
      <c r="T1586" s="1"/>
      <c r="Y1586" s="2"/>
      <c r="AP1586" s="2"/>
      <c r="GX1586" s="155"/>
      <c r="IJ1586" s="2"/>
      <c r="KN1586" s="2"/>
    </row>
    <row r="1587" spans="17:305" ht="15" customHeight="1" x14ac:dyDescent="0.25">
      <c r="Q1587" s="1"/>
      <c r="R1587" s="1"/>
      <c r="T1587" s="1"/>
      <c r="Y1587" s="2"/>
      <c r="AP1587" s="2"/>
      <c r="GX1587" s="155"/>
      <c r="IJ1587" s="2"/>
      <c r="KN1587" s="2"/>
      <c r="KO1587" s="2"/>
      <c r="KP1587" s="2"/>
      <c r="KQ1587" s="2"/>
      <c r="KR1587" s="2"/>
    </row>
    <row r="1588" spans="17:305" ht="15" customHeight="1" x14ac:dyDescent="0.25">
      <c r="Q1588" s="1"/>
      <c r="R1588" s="1"/>
      <c r="T1588" s="1"/>
      <c r="Y1588" s="2"/>
      <c r="AP1588" s="2"/>
      <c r="GX1588" s="155"/>
      <c r="IJ1588" s="2"/>
      <c r="KN1588" s="2"/>
      <c r="KO1588" s="2"/>
      <c r="KP1588" s="2"/>
    </row>
    <row r="1589" spans="17:305" ht="15" customHeight="1" x14ac:dyDescent="0.25">
      <c r="Q1589" s="1"/>
      <c r="R1589" s="1"/>
      <c r="T1589" s="1"/>
      <c r="Y1589" s="2"/>
      <c r="AP1589" s="2"/>
      <c r="GX1589" s="155"/>
      <c r="IJ1589" s="2"/>
      <c r="KN1589" s="2"/>
    </row>
    <row r="1590" spans="17:305" ht="15" customHeight="1" x14ac:dyDescent="0.25">
      <c r="Q1590" s="1"/>
      <c r="R1590" s="1"/>
      <c r="T1590" s="1"/>
      <c r="Y1590" s="2"/>
      <c r="AP1590" s="2"/>
      <c r="GX1590" s="155"/>
      <c r="IJ1590" s="2"/>
      <c r="KN1590" s="2"/>
    </row>
    <row r="1591" spans="17:305" ht="15" customHeight="1" x14ac:dyDescent="0.25">
      <c r="Q1591" s="1"/>
      <c r="R1591" s="1"/>
      <c r="T1591" s="1"/>
      <c r="Y1591" s="2"/>
      <c r="AP1591" s="2"/>
      <c r="GX1591" s="155"/>
      <c r="IJ1591" s="2"/>
      <c r="KN1591" s="2"/>
    </row>
    <row r="1592" spans="17:305" ht="15" customHeight="1" x14ac:dyDescent="0.25">
      <c r="Q1592" s="1"/>
      <c r="R1592" s="1"/>
      <c r="T1592" s="1"/>
      <c r="Y1592" s="2"/>
      <c r="AP1592" s="2"/>
      <c r="GX1592" s="155"/>
      <c r="IJ1592" s="2"/>
      <c r="KN1592" s="2"/>
      <c r="KO1592" s="2"/>
    </row>
    <row r="1593" spans="17:305" ht="15" customHeight="1" x14ac:dyDescent="0.25">
      <c r="Q1593" s="1"/>
      <c r="R1593" s="1"/>
      <c r="T1593" s="1"/>
      <c r="Y1593" s="2"/>
      <c r="AP1593" s="2"/>
      <c r="GX1593" s="155"/>
      <c r="IJ1593" s="2"/>
      <c r="KN1593" s="2"/>
    </row>
    <row r="1594" spans="17:305" ht="15" customHeight="1" x14ac:dyDescent="0.25">
      <c r="Q1594" s="1"/>
      <c r="R1594" s="1"/>
      <c r="T1594" s="1"/>
      <c r="Y1594" s="2"/>
      <c r="AP1594" s="2"/>
      <c r="GX1594" s="155"/>
      <c r="IJ1594" s="2"/>
    </row>
    <row r="1595" spans="17:305" ht="15" customHeight="1" x14ac:dyDescent="0.25">
      <c r="Q1595" s="1"/>
      <c r="R1595" s="1"/>
      <c r="Y1595" s="2"/>
      <c r="AP1595" s="2"/>
      <c r="GX1595" s="155"/>
      <c r="IJ1595" s="2"/>
    </row>
    <row r="1596" spans="17:305" ht="15" customHeight="1" x14ac:dyDescent="0.25">
      <c r="Q1596" s="1"/>
      <c r="R1596" s="1"/>
      <c r="T1596" s="1"/>
      <c r="Y1596" s="2"/>
      <c r="AP1596" s="2"/>
      <c r="GX1596" s="155"/>
      <c r="IJ1596" s="2"/>
    </row>
    <row r="1597" spans="17:305" ht="15" customHeight="1" x14ac:dyDescent="0.25">
      <c r="Q1597" s="1"/>
      <c r="R1597" s="1"/>
      <c r="T1597" s="1"/>
      <c r="Y1597" s="2"/>
      <c r="AP1597" s="2"/>
      <c r="GX1597" s="155"/>
      <c r="IJ1597" s="2"/>
    </row>
    <row r="1598" spans="17:305" ht="15" customHeight="1" x14ac:dyDescent="0.25">
      <c r="Q1598" s="1"/>
      <c r="R1598" s="1"/>
      <c r="T1598" s="1"/>
      <c r="Y1598" s="2"/>
      <c r="AP1598" s="2"/>
      <c r="GX1598" s="155"/>
      <c r="IJ1598" s="2"/>
    </row>
    <row r="1599" spans="17:305" ht="15" customHeight="1" x14ac:dyDescent="0.25">
      <c r="Q1599" s="1"/>
      <c r="R1599" s="1"/>
      <c r="T1599" s="1"/>
      <c r="Y1599" s="2"/>
      <c r="AP1599" s="2"/>
      <c r="GX1599" s="155"/>
      <c r="IJ1599" s="2"/>
      <c r="KN1599" s="2"/>
    </row>
    <row r="1600" spans="17:305" ht="15" customHeight="1" x14ac:dyDescent="0.25">
      <c r="Q1600" s="1"/>
      <c r="R1600" s="1"/>
      <c r="T1600" s="1"/>
      <c r="Y1600" s="2"/>
      <c r="AP1600" s="2"/>
      <c r="GX1600" s="155"/>
      <c r="IJ1600" s="2"/>
    </row>
    <row r="1601" spans="17:303" ht="15" customHeight="1" x14ac:dyDescent="0.25">
      <c r="Q1601" s="1"/>
      <c r="Y1601" s="2"/>
      <c r="AP1601" s="2"/>
      <c r="GX1601" s="155"/>
      <c r="IJ1601" s="2"/>
      <c r="KN1601" s="2"/>
      <c r="KO1601" s="2"/>
    </row>
    <row r="1602" spans="17:303" ht="15" customHeight="1" x14ac:dyDescent="0.25">
      <c r="Q1602" s="1"/>
      <c r="R1602" s="1"/>
      <c r="T1602" s="1"/>
      <c r="Y1602" s="2"/>
      <c r="AP1602" s="2"/>
      <c r="GX1602" s="155"/>
      <c r="IJ1602" s="2"/>
      <c r="KN1602" s="2"/>
      <c r="KO1602" s="2"/>
    </row>
    <row r="1603" spans="17:303" ht="15" customHeight="1" x14ac:dyDescent="0.25">
      <c r="Q1603" s="1"/>
      <c r="R1603" s="1"/>
      <c r="T1603" s="1"/>
      <c r="Y1603" s="2"/>
      <c r="AP1603" s="2"/>
      <c r="GX1603" s="155"/>
      <c r="IJ1603" s="2"/>
      <c r="KN1603" s="2"/>
      <c r="KO1603" s="2"/>
      <c r="KP1603" s="2"/>
      <c r="KQ1603" s="2"/>
    </row>
    <row r="1604" spans="17:303" ht="15" customHeight="1" x14ac:dyDescent="0.25">
      <c r="Q1604" s="1"/>
      <c r="Y1604" s="2"/>
      <c r="AP1604" s="2"/>
      <c r="GX1604" s="155"/>
      <c r="IJ1604" s="2"/>
    </row>
    <row r="1605" spans="17:303" ht="15" customHeight="1" x14ac:dyDescent="0.25">
      <c r="Y1605" s="2"/>
      <c r="AP1605" s="2"/>
      <c r="GX1605" s="155"/>
      <c r="IJ1605" s="2"/>
      <c r="KN1605" s="2"/>
      <c r="KO1605" s="2"/>
    </row>
    <row r="1606" spans="17:303" ht="15" customHeight="1" x14ac:dyDescent="0.25">
      <c r="Y1606" s="2"/>
      <c r="AP1606" s="2"/>
      <c r="GX1606" s="155"/>
      <c r="IJ1606" s="2"/>
      <c r="KN1606" s="2"/>
    </row>
    <row r="1607" spans="17:303" ht="15" customHeight="1" x14ac:dyDescent="0.25">
      <c r="Y1607" s="2"/>
      <c r="AP1607" s="2"/>
      <c r="GX1607" s="155"/>
      <c r="IJ1607" s="2"/>
      <c r="KN1607" s="2"/>
    </row>
    <row r="1608" spans="17:303" ht="15" customHeight="1" x14ac:dyDescent="0.25">
      <c r="Y1608" s="2"/>
      <c r="AP1608" s="2"/>
      <c r="GX1608" s="155"/>
      <c r="IJ1608" s="2"/>
    </row>
    <row r="1609" spans="17:303" ht="15" customHeight="1" x14ac:dyDescent="0.25">
      <c r="Y1609" s="2"/>
      <c r="AP1609" s="2"/>
      <c r="GX1609" s="155"/>
      <c r="IJ1609" s="2"/>
      <c r="KN1609" s="2"/>
    </row>
    <row r="1610" spans="17:303" ht="15" customHeight="1" x14ac:dyDescent="0.25">
      <c r="Y1610" s="2"/>
      <c r="AP1610" s="2"/>
      <c r="GX1610" s="155"/>
      <c r="IJ1610" s="2"/>
    </row>
    <row r="1611" spans="17:303" ht="15" customHeight="1" x14ac:dyDescent="0.25">
      <c r="Y1611" s="2"/>
      <c r="AP1611" s="2"/>
      <c r="GX1611" s="155"/>
      <c r="IJ1611" s="2"/>
      <c r="KN1611" s="2"/>
      <c r="KO1611" s="2"/>
      <c r="KP1611" s="2"/>
    </row>
    <row r="1612" spans="17:303" ht="15" customHeight="1" x14ac:dyDescent="0.25">
      <c r="Y1612" s="2"/>
      <c r="AP1612" s="2"/>
      <c r="GX1612" s="155"/>
      <c r="IJ1612" s="2"/>
    </row>
    <row r="1613" spans="17:303" ht="15" customHeight="1" x14ac:dyDescent="0.25">
      <c r="Y1613" s="2"/>
      <c r="AP1613" s="2"/>
      <c r="GX1613" s="155"/>
      <c r="IJ1613" s="2"/>
    </row>
    <row r="1614" spans="17:303" ht="15" customHeight="1" x14ac:dyDescent="0.25">
      <c r="Y1614" s="2"/>
      <c r="AP1614" s="2"/>
      <c r="GX1614" s="155"/>
      <c r="IJ1614" s="2"/>
      <c r="KN1614" s="2"/>
      <c r="KO1614" s="2"/>
      <c r="KP1614" s="2"/>
    </row>
    <row r="1615" spans="17:303" ht="15" customHeight="1" x14ac:dyDescent="0.25">
      <c r="Y1615" s="2"/>
      <c r="AP1615" s="2"/>
      <c r="GX1615" s="155"/>
      <c r="IJ1615" s="2"/>
      <c r="KN1615" s="2"/>
    </row>
    <row r="1616" spans="17:303" ht="15" customHeight="1" x14ac:dyDescent="0.25">
      <c r="Y1616" s="2"/>
      <c r="AP1616" s="2"/>
      <c r="GX1616" s="155"/>
      <c r="IJ1616" s="2"/>
      <c r="KN1616" s="2"/>
      <c r="KO1616" s="2"/>
      <c r="KP1616" s="2"/>
    </row>
    <row r="1617" spans="25:302" ht="15" customHeight="1" x14ac:dyDescent="0.25">
      <c r="Y1617" s="2"/>
      <c r="AP1617" s="2"/>
      <c r="GX1617" s="155"/>
      <c r="IJ1617" s="2"/>
      <c r="KN1617" s="2"/>
      <c r="KO1617" s="2"/>
      <c r="KP1617" s="2"/>
    </row>
    <row r="1618" spans="25:302" ht="15" customHeight="1" x14ac:dyDescent="0.25">
      <c r="Y1618" s="2"/>
      <c r="AP1618" s="2"/>
      <c r="GX1618" s="155"/>
      <c r="IJ1618" s="2"/>
      <c r="KN1618" s="2"/>
      <c r="KO1618" s="2"/>
    </row>
    <row r="1619" spans="25:302" ht="15" customHeight="1" x14ac:dyDescent="0.25">
      <c r="Y1619" s="2"/>
      <c r="AP1619" s="2"/>
      <c r="GX1619" s="155"/>
      <c r="IJ1619" s="2"/>
      <c r="KN1619" s="2"/>
      <c r="KO1619" s="2"/>
    </row>
    <row r="1620" spans="25:302" ht="15" customHeight="1" x14ac:dyDescent="0.25">
      <c r="Y1620" s="2"/>
      <c r="AP1620" s="2"/>
      <c r="GX1620" s="155"/>
      <c r="IJ1620" s="2"/>
    </row>
    <row r="1621" spans="25:302" ht="15" customHeight="1" x14ac:dyDescent="0.25">
      <c r="Y1621" s="2"/>
      <c r="AP1621" s="2"/>
      <c r="GX1621" s="155"/>
      <c r="IJ1621" s="2"/>
    </row>
    <row r="1622" spans="25:302" ht="15" customHeight="1" x14ac:dyDescent="0.25">
      <c r="Y1622" s="2"/>
      <c r="AP1622" s="2"/>
      <c r="GX1622" s="155"/>
      <c r="IJ1622" s="2"/>
      <c r="KN1622" s="2"/>
    </row>
    <row r="1623" spans="25:302" ht="15" customHeight="1" x14ac:dyDescent="0.25">
      <c r="Y1623" s="2"/>
      <c r="AP1623" s="2"/>
      <c r="GX1623" s="155"/>
      <c r="IJ1623" s="2"/>
      <c r="KN1623" s="2"/>
      <c r="KO1623" s="2"/>
    </row>
    <row r="1624" spans="25:302" ht="15" customHeight="1" x14ac:dyDescent="0.25">
      <c r="Y1624" s="2"/>
      <c r="AP1624" s="2"/>
      <c r="GX1624" s="155"/>
      <c r="IJ1624" s="2"/>
    </row>
    <row r="1625" spans="25:302" ht="15" customHeight="1" x14ac:dyDescent="0.25">
      <c r="Y1625" s="2"/>
      <c r="AP1625" s="2"/>
      <c r="GX1625" s="155"/>
      <c r="IJ1625" s="2"/>
    </row>
    <row r="1626" spans="25:302" ht="15" customHeight="1" x14ac:dyDescent="0.25">
      <c r="Y1626" s="2"/>
      <c r="AP1626" s="2"/>
      <c r="GX1626" s="155"/>
      <c r="IJ1626" s="2"/>
    </row>
    <row r="1627" spans="25:302" ht="15" customHeight="1" x14ac:dyDescent="0.25">
      <c r="Y1627" s="2"/>
      <c r="AP1627" s="2"/>
      <c r="GX1627" s="155"/>
      <c r="IJ1627" s="2"/>
      <c r="KN1627" s="2"/>
    </row>
    <row r="1628" spans="25:302" ht="15" customHeight="1" x14ac:dyDescent="0.25">
      <c r="Y1628" s="2"/>
      <c r="AP1628" s="2"/>
      <c r="GX1628" s="155"/>
      <c r="IJ1628" s="2"/>
    </row>
    <row r="1629" spans="25:302" ht="15" customHeight="1" x14ac:dyDescent="0.25">
      <c r="Y1629" s="2"/>
      <c r="AP1629" s="2"/>
      <c r="GX1629" s="155"/>
      <c r="IJ1629" s="2"/>
      <c r="KN1629" s="2"/>
    </row>
    <row r="1630" spans="25:302" ht="15" customHeight="1" x14ac:dyDescent="0.25">
      <c r="Y1630" s="2"/>
      <c r="AP1630" s="2"/>
      <c r="GX1630" s="155"/>
      <c r="IJ1630" s="2"/>
      <c r="KN1630" s="2"/>
    </row>
    <row r="1631" spans="25:302" ht="15" customHeight="1" x14ac:dyDescent="0.25">
      <c r="Y1631" s="2"/>
      <c r="AP1631" s="2"/>
      <c r="GX1631" s="155"/>
      <c r="IJ1631" s="2"/>
      <c r="KN1631" s="2"/>
    </row>
    <row r="1632" spans="25:302" ht="15" customHeight="1" x14ac:dyDescent="0.25">
      <c r="Y1632" s="2"/>
      <c r="AP1632" s="2"/>
      <c r="GX1632" s="155"/>
      <c r="IJ1632" s="2"/>
      <c r="KN1632" s="2"/>
      <c r="KO1632" s="2"/>
      <c r="KP1632" s="2"/>
    </row>
    <row r="1633" spans="25:304" ht="15" customHeight="1" x14ac:dyDescent="0.25">
      <c r="Y1633" s="2"/>
      <c r="AP1633" s="2"/>
      <c r="GX1633" s="155"/>
      <c r="IJ1633" s="2"/>
      <c r="KN1633" s="2"/>
      <c r="KO1633" s="2"/>
      <c r="KP1633" s="2"/>
    </row>
    <row r="1634" spans="25:304" ht="15" customHeight="1" x14ac:dyDescent="0.25">
      <c r="Y1634" s="2"/>
      <c r="AP1634" s="2"/>
      <c r="GX1634" s="155"/>
      <c r="IJ1634" s="2"/>
    </row>
    <row r="1635" spans="25:304" ht="15" customHeight="1" x14ac:dyDescent="0.25">
      <c r="Y1635" s="2"/>
      <c r="AP1635" s="2"/>
      <c r="GX1635" s="155"/>
      <c r="IJ1635" s="2"/>
    </row>
    <row r="1636" spans="25:304" ht="15" customHeight="1" x14ac:dyDescent="0.25">
      <c r="Y1636" s="2"/>
      <c r="AP1636" s="2"/>
      <c r="GX1636" s="155"/>
      <c r="IJ1636" s="2"/>
      <c r="KN1636" s="2"/>
    </row>
    <row r="1637" spans="25:304" ht="15" customHeight="1" x14ac:dyDescent="0.25">
      <c r="Y1637" s="2"/>
      <c r="AP1637" s="2"/>
      <c r="GX1637" s="155"/>
      <c r="IJ1637" s="2"/>
      <c r="KN1637" s="2"/>
    </row>
    <row r="1638" spans="25:304" ht="15" customHeight="1" x14ac:dyDescent="0.25">
      <c r="Y1638" s="2"/>
      <c r="AP1638" s="2"/>
      <c r="GX1638" s="155"/>
      <c r="IJ1638" s="2"/>
      <c r="KN1638" s="2"/>
      <c r="KO1638" s="2"/>
    </row>
    <row r="1639" spans="25:304" ht="15" customHeight="1" x14ac:dyDescent="0.25">
      <c r="Y1639" s="2"/>
      <c r="AP1639" s="2"/>
      <c r="GX1639" s="155"/>
      <c r="IJ1639" s="2"/>
    </row>
    <row r="1640" spans="25:304" ht="15" customHeight="1" x14ac:dyDescent="0.25">
      <c r="Y1640" s="2"/>
      <c r="AP1640" s="2"/>
      <c r="GX1640" s="155"/>
      <c r="IJ1640" s="2"/>
      <c r="KN1640" s="2"/>
    </row>
    <row r="1641" spans="25:304" ht="15" customHeight="1" x14ac:dyDescent="0.25">
      <c r="Y1641" s="2"/>
      <c r="AP1641" s="2"/>
      <c r="GX1641" s="155"/>
      <c r="IJ1641" s="2"/>
      <c r="KN1641" s="2"/>
    </row>
    <row r="1642" spans="25:304" ht="15" customHeight="1" x14ac:dyDescent="0.25">
      <c r="Y1642" s="2"/>
      <c r="AP1642" s="2"/>
      <c r="GX1642" s="155"/>
      <c r="IJ1642" s="2"/>
      <c r="KN1642" s="2"/>
    </row>
    <row r="1643" spans="25:304" ht="15" customHeight="1" x14ac:dyDescent="0.25">
      <c r="Y1643" s="2"/>
      <c r="AP1643" s="2"/>
      <c r="GX1643" s="155"/>
      <c r="IJ1643" s="2"/>
      <c r="KN1643" s="2"/>
    </row>
    <row r="1644" spans="25:304" ht="15" customHeight="1" x14ac:dyDescent="0.25">
      <c r="Y1644" s="2"/>
      <c r="AP1644" s="2"/>
      <c r="GX1644" s="155"/>
      <c r="IJ1644" s="2"/>
    </row>
    <row r="1645" spans="25:304" ht="15" customHeight="1" x14ac:dyDescent="0.25">
      <c r="Y1645" s="2"/>
      <c r="AP1645" s="2"/>
      <c r="GX1645" s="155"/>
      <c r="IJ1645" s="2"/>
    </row>
    <row r="1646" spans="25:304" ht="15" customHeight="1" x14ac:dyDescent="0.25">
      <c r="Y1646" s="2"/>
      <c r="AP1646" s="2"/>
      <c r="GX1646" s="155"/>
      <c r="IJ1646" s="2"/>
    </row>
    <row r="1647" spans="25:304" ht="15" customHeight="1" x14ac:dyDescent="0.25">
      <c r="Y1647" s="2"/>
      <c r="AP1647" s="2"/>
      <c r="GX1647" s="155"/>
      <c r="IJ1647" s="2"/>
      <c r="KN1647" s="2"/>
      <c r="KO1647" s="2"/>
      <c r="KP1647" s="2"/>
      <c r="KQ1647" s="2"/>
      <c r="KR1647" s="2"/>
    </row>
    <row r="1648" spans="25:304" ht="15" customHeight="1" x14ac:dyDescent="0.25">
      <c r="Y1648" s="2"/>
      <c r="AP1648" s="2"/>
      <c r="GX1648" s="155"/>
      <c r="IJ1648" s="2"/>
      <c r="KN1648" s="2"/>
      <c r="KO1648" s="2"/>
      <c r="KP1648" s="2"/>
      <c r="KQ1648" s="2"/>
      <c r="KR1648" s="2"/>
    </row>
    <row r="1649" spans="25:303" ht="15" customHeight="1" x14ac:dyDescent="0.25">
      <c r="Y1649" s="2"/>
      <c r="AP1649" s="2"/>
      <c r="GX1649" s="155"/>
      <c r="IJ1649" s="2"/>
      <c r="KN1649" s="2"/>
      <c r="KO1649" s="2"/>
    </row>
    <row r="1650" spans="25:303" ht="15" customHeight="1" x14ac:dyDescent="0.25">
      <c r="Y1650" s="2"/>
      <c r="AP1650" s="2"/>
      <c r="GX1650" s="155"/>
      <c r="IJ1650" s="2"/>
      <c r="KN1650" s="2"/>
    </row>
    <row r="1651" spans="25:303" ht="15" customHeight="1" x14ac:dyDescent="0.25">
      <c r="Y1651" s="2"/>
      <c r="AP1651" s="2"/>
      <c r="GX1651" s="155"/>
      <c r="IJ1651" s="2"/>
      <c r="KN1651" s="2"/>
      <c r="KO1651" s="2"/>
    </row>
    <row r="1652" spans="25:303" ht="15" customHeight="1" x14ac:dyDescent="0.25">
      <c r="Y1652" s="2"/>
      <c r="AP1652" s="2"/>
      <c r="GX1652" s="155"/>
      <c r="IJ1652" s="2"/>
      <c r="KN1652" s="2"/>
      <c r="KO1652" s="2"/>
    </row>
    <row r="1653" spans="25:303" ht="15" customHeight="1" x14ac:dyDescent="0.25">
      <c r="Y1653" s="2"/>
      <c r="AP1653" s="2"/>
      <c r="GX1653" s="155"/>
      <c r="IJ1653" s="2"/>
    </row>
    <row r="1654" spans="25:303" ht="15" customHeight="1" x14ac:dyDescent="0.25">
      <c r="Y1654" s="2"/>
      <c r="AP1654" s="2"/>
      <c r="GX1654" s="155"/>
      <c r="IJ1654" s="2"/>
    </row>
    <row r="1655" spans="25:303" ht="15" customHeight="1" x14ac:dyDescent="0.25">
      <c r="Y1655" s="2"/>
      <c r="AP1655" s="2"/>
      <c r="GX1655" s="155"/>
      <c r="IJ1655" s="2"/>
      <c r="KN1655" s="2"/>
      <c r="KO1655" s="2"/>
    </row>
    <row r="1656" spans="25:303" ht="15" customHeight="1" x14ac:dyDescent="0.25">
      <c r="Y1656" s="2"/>
      <c r="AP1656" s="2"/>
      <c r="GX1656" s="155"/>
      <c r="IJ1656" s="2"/>
      <c r="KN1656" s="2"/>
    </row>
    <row r="1657" spans="25:303" ht="15" customHeight="1" x14ac:dyDescent="0.25">
      <c r="Y1657" s="2"/>
      <c r="AP1657" s="2"/>
      <c r="GX1657" s="155"/>
      <c r="IJ1657" s="2"/>
      <c r="KN1657" s="2"/>
    </row>
    <row r="1658" spans="25:303" ht="15" customHeight="1" x14ac:dyDescent="0.25">
      <c r="Y1658" s="2"/>
      <c r="AP1658" s="2"/>
      <c r="GX1658" s="155"/>
      <c r="IJ1658" s="2"/>
      <c r="KN1658" s="2"/>
      <c r="KO1658" s="2"/>
      <c r="KP1658" s="2"/>
      <c r="KQ1658" s="2"/>
    </row>
    <row r="1659" spans="25:303" ht="15" customHeight="1" x14ac:dyDescent="0.25">
      <c r="Y1659" s="2"/>
      <c r="AP1659" s="2"/>
      <c r="GX1659" s="155"/>
      <c r="IJ1659" s="2"/>
      <c r="KN1659" s="2"/>
      <c r="KO1659" s="2"/>
    </row>
    <row r="1660" spans="25:303" ht="15" customHeight="1" x14ac:dyDescent="0.25">
      <c r="Y1660" s="2"/>
      <c r="AP1660" s="2"/>
      <c r="GX1660" s="155"/>
      <c r="IJ1660" s="2"/>
      <c r="KN1660" s="2"/>
      <c r="KO1660" s="2"/>
    </row>
    <row r="1661" spans="25:303" ht="15" customHeight="1" x14ac:dyDescent="0.25">
      <c r="Y1661" s="2"/>
      <c r="AP1661" s="2"/>
      <c r="GX1661" s="155"/>
      <c r="IJ1661" s="2"/>
    </row>
    <row r="1662" spans="25:303" ht="15" customHeight="1" x14ac:dyDescent="0.25">
      <c r="Y1662" s="2"/>
      <c r="AP1662" s="2"/>
      <c r="GX1662" s="155"/>
      <c r="IJ1662" s="2"/>
      <c r="KN1662" s="2"/>
    </row>
    <row r="1663" spans="25:303" ht="15" customHeight="1" x14ac:dyDescent="0.25">
      <c r="Y1663" s="2"/>
      <c r="AP1663" s="2"/>
      <c r="GX1663" s="155"/>
      <c r="IJ1663" s="2"/>
    </row>
    <row r="1664" spans="25:303" ht="15" customHeight="1" x14ac:dyDescent="0.25">
      <c r="Y1664" s="2"/>
      <c r="AP1664" s="2"/>
      <c r="GX1664" s="155"/>
      <c r="IJ1664" s="2"/>
      <c r="KN1664" s="2"/>
    </row>
    <row r="1665" spans="25:302" ht="15" customHeight="1" x14ac:dyDescent="0.25">
      <c r="Y1665" s="2"/>
      <c r="AP1665" s="2"/>
      <c r="GX1665" s="155"/>
      <c r="IJ1665" s="2"/>
      <c r="KN1665" s="2"/>
      <c r="KO1665" s="2"/>
    </row>
    <row r="1666" spans="25:302" ht="15" customHeight="1" x14ac:dyDescent="0.25">
      <c r="Y1666" s="2"/>
      <c r="AP1666" s="2"/>
      <c r="GX1666" s="155"/>
      <c r="IJ1666" s="2"/>
      <c r="KN1666" s="2"/>
      <c r="KO1666" s="2"/>
      <c r="KP1666" s="2"/>
    </row>
    <row r="1667" spans="25:302" ht="15" customHeight="1" x14ac:dyDescent="0.25">
      <c r="Y1667" s="2"/>
      <c r="AP1667" s="2"/>
      <c r="GX1667" s="155"/>
      <c r="IJ1667" s="2"/>
      <c r="KN1667" s="2"/>
    </row>
    <row r="1668" spans="25:302" ht="15" customHeight="1" x14ac:dyDescent="0.25">
      <c r="Y1668" s="2"/>
      <c r="AP1668" s="2"/>
      <c r="GX1668" s="155"/>
      <c r="IJ1668" s="2"/>
      <c r="KN1668" s="2"/>
    </row>
    <row r="1669" spans="25:302" ht="15" customHeight="1" x14ac:dyDescent="0.25">
      <c r="Y1669" s="2"/>
      <c r="AP1669" s="2"/>
      <c r="GX1669" s="155"/>
      <c r="IJ1669" s="2"/>
    </row>
    <row r="1670" spans="25:302" ht="15" customHeight="1" x14ac:dyDescent="0.25">
      <c r="Y1670" s="2"/>
      <c r="AP1670" s="2"/>
      <c r="GX1670" s="155"/>
      <c r="IJ1670" s="2"/>
      <c r="KN1670" s="2"/>
    </row>
    <row r="1671" spans="25:302" ht="15" customHeight="1" x14ac:dyDescent="0.25">
      <c r="Y1671" s="2"/>
      <c r="AP1671" s="2"/>
      <c r="GX1671" s="155"/>
      <c r="IJ1671" s="2"/>
      <c r="KN1671" s="2"/>
      <c r="KO1671" s="2"/>
    </row>
    <row r="1672" spans="25:302" ht="15" customHeight="1" x14ac:dyDescent="0.25">
      <c r="Y1672" s="2"/>
      <c r="AP1672" s="2"/>
      <c r="GX1672" s="155"/>
      <c r="IJ1672" s="2"/>
      <c r="KN1672" s="2"/>
      <c r="KO1672" s="2"/>
      <c r="KP1672" s="2"/>
    </row>
    <row r="1673" spans="25:302" ht="15" customHeight="1" x14ac:dyDescent="0.25">
      <c r="Y1673" s="2"/>
      <c r="AP1673" s="2"/>
      <c r="GX1673" s="155"/>
      <c r="IJ1673" s="2"/>
      <c r="KN1673" s="2"/>
      <c r="KO1673" s="2"/>
      <c r="KP1673" s="2"/>
    </row>
    <row r="1674" spans="25:302" ht="15" customHeight="1" x14ac:dyDescent="0.25">
      <c r="Y1674" s="2"/>
      <c r="AP1674" s="2"/>
      <c r="GX1674" s="155"/>
      <c r="IJ1674" s="2"/>
      <c r="KN1674" s="2"/>
      <c r="KO1674" s="2"/>
    </row>
    <row r="1675" spans="25:302" ht="15" customHeight="1" x14ac:dyDescent="0.25">
      <c r="Y1675" s="2"/>
      <c r="AP1675" s="2"/>
      <c r="GX1675" s="155"/>
      <c r="IJ1675" s="2"/>
      <c r="KN1675" s="2"/>
      <c r="KO1675" s="2"/>
    </row>
    <row r="1676" spans="25:302" ht="15" customHeight="1" x14ac:dyDescent="0.25">
      <c r="Y1676" s="2"/>
      <c r="AP1676" s="2"/>
      <c r="GX1676" s="155"/>
      <c r="IJ1676" s="2"/>
      <c r="KN1676" s="2"/>
      <c r="KO1676" s="2"/>
    </row>
    <row r="1677" spans="25:302" ht="15" customHeight="1" x14ac:dyDescent="0.25">
      <c r="Y1677" s="2"/>
      <c r="AP1677" s="2"/>
      <c r="GX1677" s="155"/>
      <c r="IJ1677" s="2"/>
      <c r="KN1677" s="2"/>
      <c r="KO1677" s="2"/>
    </row>
    <row r="1678" spans="25:302" ht="15" customHeight="1" x14ac:dyDescent="0.25">
      <c r="Y1678" s="2"/>
      <c r="AP1678" s="2"/>
      <c r="GX1678" s="155"/>
      <c r="IJ1678" s="2"/>
      <c r="KN1678" s="2"/>
    </row>
    <row r="1679" spans="25:302" ht="15" customHeight="1" x14ac:dyDescent="0.25">
      <c r="Y1679" s="2"/>
      <c r="AP1679" s="2"/>
      <c r="GX1679" s="155"/>
      <c r="IJ1679" s="2"/>
      <c r="KN1679" s="2"/>
      <c r="KO1679" s="2"/>
    </row>
    <row r="1680" spans="25:302" ht="15" customHeight="1" x14ac:dyDescent="0.25">
      <c r="Y1680" s="2"/>
      <c r="AP1680" s="2"/>
      <c r="GX1680" s="155"/>
      <c r="IJ1680" s="2"/>
    </row>
    <row r="1681" spans="25:303" ht="15" customHeight="1" x14ac:dyDescent="0.25">
      <c r="Y1681" s="2"/>
      <c r="AP1681" s="2"/>
      <c r="GX1681" s="155"/>
      <c r="IJ1681" s="2"/>
      <c r="KN1681" s="2"/>
    </row>
    <row r="1682" spans="25:303" ht="15" customHeight="1" x14ac:dyDescent="0.25">
      <c r="Y1682" s="2"/>
      <c r="AP1682" s="2"/>
      <c r="GX1682" s="155"/>
      <c r="IJ1682" s="2"/>
    </row>
    <row r="1683" spans="25:303" ht="15" customHeight="1" x14ac:dyDescent="0.25">
      <c r="Y1683" s="2"/>
      <c r="AP1683" s="2"/>
      <c r="GX1683" s="155"/>
      <c r="IJ1683" s="2"/>
    </row>
    <row r="1684" spans="25:303" ht="15" customHeight="1" x14ac:dyDescent="0.25">
      <c r="Y1684" s="2"/>
      <c r="AP1684" s="2"/>
      <c r="GX1684" s="155"/>
      <c r="IJ1684" s="2"/>
    </row>
    <row r="1685" spans="25:303" ht="15" customHeight="1" x14ac:dyDescent="0.25">
      <c r="Y1685" s="2"/>
      <c r="AP1685" s="2"/>
      <c r="GX1685" s="155"/>
      <c r="IJ1685" s="2"/>
    </row>
    <row r="1686" spans="25:303" ht="15" customHeight="1" x14ac:dyDescent="0.25">
      <c r="Y1686" s="2"/>
      <c r="AP1686" s="2"/>
      <c r="GX1686" s="155"/>
      <c r="IJ1686" s="2"/>
      <c r="KN1686" s="2"/>
    </row>
    <row r="1687" spans="25:303" ht="15" customHeight="1" x14ac:dyDescent="0.25">
      <c r="Y1687" s="2"/>
      <c r="AP1687" s="2"/>
      <c r="GX1687" s="155"/>
      <c r="IJ1687" s="2"/>
      <c r="KN1687" s="2"/>
    </row>
    <row r="1688" spans="25:303" ht="15" customHeight="1" x14ac:dyDescent="0.25">
      <c r="Y1688" s="2"/>
      <c r="AP1688" s="2"/>
      <c r="GX1688" s="155"/>
      <c r="IJ1688" s="2"/>
      <c r="KN1688" s="2"/>
    </row>
    <row r="1689" spans="25:303" ht="15" customHeight="1" x14ac:dyDescent="0.25">
      <c r="Y1689" s="2"/>
      <c r="AP1689" s="2"/>
      <c r="GX1689" s="155"/>
      <c r="IJ1689" s="2"/>
      <c r="KN1689" s="2"/>
    </row>
    <row r="1690" spans="25:303" ht="15" customHeight="1" x14ac:dyDescent="0.25">
      <c r="Y1690" s="2"/>
      <c r="AP1690" s="2"/>
      <c r="GX1690" s="155"/>
      <c r="IJ1690" s="2"/>
      <c r="KN1690" s="2"/>
      <c r="KO1690" s="2"/>
      <c r="KP1690" s="2"/>
    </row>
    <row r="1691" spans="25:303" ht="15" customHeight="1" x14ac:dyDescent="0.25">
      <c r="Y1691" s="2"/>
      <c r="AP1691" s="2"/>
      <c r="GX1691" s="155"/>
      <c r="IJ1691" s="2"/>
      <c r="KN1691" s="2"/>
      <c r="KO1691" s="2"/>
      <c r="KP1691" s="2"/>
      <c r="KQ1691" s="2"/>
    </row>
    <row r="1692" spans="25:303" ht="15" customHeight="1" x14ac:dyDescent="0.25">
      <c r="Y1692" s="2"/>
      <c r="AP1692" s="2"/>
      <c r="GX1692" s="155"/>
      <c r="IJ1692" s="2"/>
    </row>
    <row r="1693" spans="25:303" ht="15" customHeight="1" x14ac:dyDescent="0.25">
      <c r="Y1693" s="2"/>
      <c r="AP1693" s="2"/>
      <c r="GX1693" s="155"/>
      <c r="IJ1693" s="2"/>
      <c r="KN1693" s="2"/>
    </row>
    <row r="1694" spans="25:303" ht="15" customHeight="1" x14ac:dyDescent="0.25">
      <c r="Y1694" s="2"/>
      <c r="AP1694" s="2"/>
      <c r="GX1694" s="155"/>
      <c r="IJ1694" s="2"/>
      <c r="KN1694" s="2"/>
    </row>
    <row r="1695" spans="25:303" ht="15" customHeight="1" x14ac:dyDescent="0.25">
      <c r="Y1695" s="2"/>
      <c r="AP1695" s="2"/>
      <c r="GX1695" s="155"/>
      <c r="IJ1695" s="2"/>
    </row>
    <row r="1696" spans="25:303" ht="15" customHeight="1" x14ac:dyDescent="0.25">
      <c r="Y1696" s="2"/>
      <c r="AP1696" s="2"/>
      <c r="GX1696" s="155"/>
      <c r="IJ1696" s="2"/>
      <c r="KN1696" s="2"/>
      <c r="KO1696" s="2"/>
    </row>
    <row r="1697" spans="18:301" ht="15" customHeight="1" x14ac:dyDescent="0.25">
      <c r="Y1697" s="2"/>
      <c r="AP1697" s="2"/>
      <c r="GX1697" s="155"/>
      <c r="IJ1697" s="2"/>
      <c r="KN1697" s="2"/>
      <c r="KO1697" s="2"/>
    </row>
    <row r="1698" spans="18:301" ht="15" customHeight="1" x14ac:dyDescent="0.25">
      <c r="Y1698" s="2"/>
      <c r="AP1698" s="2"/>
      <c r="GX1698" s="155"/>
      <c r="IJ1698" s="2"/>
      <c r="KN1698" s="2"/>
      <c r="KO1698" s="2"/>
    </row>
    <row r="1699" spans="18:301" ht="15" customHeight="1" x14ac:dyDescent="0.25">
      <c r="R1699" s="1"/>
      <c r="T1699" s="1"/>
      <c r="Y1699" s="2"/>
      <c r="AP1699" s="2"/>
      <c r="GX1699" s="155"/>
      <c r="IJ1699" s="2"/>
      <c r="KN1699" s="2"/>
    </row>
    <row r="1700" spans="18:301" ht="15" customHeight="1" x14ac:dyDescent="0.25">
      <c r="Y1700" s="2"/>
      <c r="AP1700" s="2"/>
      <c r="GX1700" s="155"/>
      <c r="IJ1700" s="2"/>
    </row>
    <row r="1701" spans="18:301" ht="15" customHeight="1" x14ac:dyDescent="0.25">
      <c r="Y1701" s="2"/>
      <c r="AP1701" s="2"/>
      <c r="GX1701" s="155"/>
      <c r="IJ1701" s="2"/>
    </row>
    <row r="1702" spans="18:301" ht="15" customHeight="1" x14ac:dyDescent="0.25">
      <c r="Y1702" s="2"/>
      <c r="AP1702" s="2"/>
      <c r="GX1702" s="155"/>
      <c r="IJ1702" s="2"/>
      <c r="KN1702" s="2"/>
      <c r="KO1702" s="2"/>
    </row>
    <row r="1703" spans="18:301" ht="15" customHeight="1" x14ac:dyDescent="0.25">
      <c r="Y1703" s="2"/>
      <c r="AP1703" s="2"/>
      <c r="GX1703" s="155"/>
      <c r="IJ1703" s="2"/>
    </row>
    <row r="1704" spans="18:301" ht="15" customHeight="1" x14ac:dyDescent="0.25">
      <c r="Y1704" s="2"/>
      <c r="AP1704" s="2"/>
      <c r="GX1704" s="155"/>
      <c r="IJ1704" s="2"/>
      <c r="KN1704" s="2"/>
    </row>
    <row r="1705" spans="18:301" ht="15" customHeight="1" x14ac:dyDescent="0.25">
      <c r="Y1705" s="2"/>
      <c r="AP1705" s="2"/>
      <c r="GX1705" s="155"/>
      <c r="IJ1705" s="2"/>
      <c r="KN1705" s="2"/>
    </row>
    <row r="1706" spans="18:301" ht="15" customHeight="1" x14ac:dyDescent="0.25">
      <c r="Y1706" s="2"/>
      <c r="AP1706" s="2"/>
      <c r="GX1706" s="155"/>
      <c r="IJ1706" s="2"/>
      <c r="KN1706" s="2"/>
    </row>
    <row r="1707" spans="18:301" ht="15" customHeight="1" x14ac:dyDescent="0.25">
      <c r="Y1707" s="2"/>
      <c r="AP1707" s="2"/>
      <c r="GX1707" s="155"/>
      <c r="IJ1707" s="2"/>
      <c r="KN1707" s="2"/>
    </row>
    <row r="1708" spans="18:301" ht="15" customHeight="1" x14ac:dyDescent="0.25">
      <c r="Y1708" s="2"/>
      <c r="AP1708" s="2"/>
      <c r="GX1708" s="155"/>
      <c r="IJ1708" s="2"/>
    </row>
    <row r="1709" spans="18:301" ht="15" customHeight="1" x14ac:dyDescent="0.25">
      <c r="Y1709" s="2"/>
      <c r="AP1709" s="2"/>
      <c r="GX1709" s="155"/>
      <c r="IJ1709" s="2"/>
    </row>
    <row r="1710" spans="18:301" ht="15" customHeight="1" x14ac:dyDescent="0.25">
      <c r="Y1710" s="2"/>
      <c r="AP1710" s="2"/>
      <c r="GX1710" s="155"/>
      <c r="IJ1710" s="2"/>
      <c r="KN1710" s="2"/>
    </row>
    <row r="1711" spans="18:301" ht="15" customHeight="1" x14ac:dyDescent="0.25">
      <c r="Y1711" s="2"/>
      <c r="AP1711" s="2"/>
      <c r="GX1711" s="155"/>
      <c r="IJ1711" s="2"/>
      <c r="KN1711" s="2"/>
    </row>
    <row r="1712" spans="18:301" ht="15" customHeight="1" x14ac:dyDescent="0.25">
      <c r="Y1712" s="2"/>
      <c r="AP1712" s="2"/>
      <c r="GX1712" s="155"/>
      <c r="IJ1712" s="2"/>
      <c r="KN1712" s="2"/>
    </row>
    <row r="1713" spans="25:301" ht="15" customHeight="1" x14ac:dyDescent="0.25">
      <c r="Y1713" s="2"/>
      <c r="AP1713" s="2"/>
      <c r="GX1713" s="155"/>
      <c r="IJ1713" s="2"/>
    </row>
    <row r="1714" spans="25:301" ht="15" customHeight="1" x14ac:dyDescent="0.25">
      <c r="Y1714" s="2"/>
      <c r="AP1714" s="2"/>
      <c r="GX1714" s="155"/>
      <c r="IJ1714" s="2"/>
      <c r="KN1714" s="2"/>
    </row>
    <row r="1715" spans="25:301" ht="15" customHeight="1" x14ac:dyDescent="0.25">
      <c r="Y1715" s="2"/>
      <c r="AP1715" s="2"/>
      <c r="GX1715" s="155"/>
      <c r="IJ1715" s="2"/>
      <c r="KN1715" s="2"/>
    </row>
    <row r="1716" spans="25:301" ht="15" customHeight="1" x14ac:dyDescent="0.25">
      <c r="Y1716" s="2"/>
      <c r="AP1716" s="2"/>
      <c r="GX1716" s="155"/>
      <c r="IJ1716" s="2"/>
      <c r="KN1716" s="2"/>
    </row>
    <row r="1717" spans="25:301" ht="15" customHeight="1" x14ac:dyDescent="0.25">
      <c r="Y1717" s="2"/>
      <c r="AP1717" s="2"/>
      <c r="GX1717" s="155"/>
      <c r="IJ1717" s="2"/>
      <c r="KN1717" s="2"/>
      <c r="KO1717" s="2"/>
    </row>
    <row r="1718" spans="25:301" ht="15" customHeight="1" x14ac:dyDescent="0.25">
      <c r="Y1718" s="2"/>
      <c r="AP1718" s="2"/>
      <c r="GX1718" s="155"/>
      <c r="IJ1718" s="2"/>
      <c r="KN1718" s="2"/>
    </row>
    <row r="1719" spans="25:301" ht="15" customHeight="1" x14ac:dyDescent="0.25">
      <c r="Y1719" s="2"/>
      <c r="AP1719" s="2"/>
      <c r="GX1719" s="155"/>
      <c r="IJ1719" s="2"/>
      <c r="KN1719" s="2"/>
    </row>
    <row r="1720" spans="25:301" ht="15" customHeight="1" x14ac:dyDescent="0.25">
      <c r="Y1720" s="2"/>
      <c r="AP1720" s="2"/>
      <c r="GX1720" s="155"/>
      <c r="IJ1720" s="2"/>
      <c r="KN1720" s="2"/>
    </row>
    <row r="1721" spans="25:301" ht="15" customHeight="1" x14ac:dyDescent="0.25">
      <c r="Y1721" s="2"/>
      <c r="AP1721" s="2"/>
      <c r="GX1721" s="155"/>
      <c r="IJ1721" s="2"/>
      <c r="KN1721" s="2"/>
    </row>
    <row r="1722" spans="25:301" ht="15" customHeight="1" x14ac:dyDescent="0.25">
      <c r="Y1722" s="2"/>
      <c r="AP1722" s="2"/>
      <c r="GX1722" s="155"/>
      <c r="IJ1722" s="2"/>
    </row>
    <row r="1723" spans="25:301" ht="15" customHeight="1" x14ac:dyDescent="0.25">
      <c r="Y1723" s="2"/>
      <c r="AP1723" s="2"/>
      <c r="GX1723" s="155"/>
      <c r="IJ1723" s="2"/>
    </row>
    <row r="1724" spans="25:301" ht="15" customHeight="1" x14ac:dyDescent="0.25">
      <c r="Y1724" s="2"/>
      <c r="AP1724" s="2"/>
      <c r="GX1724" s="155"/>
      <c r="IJ1724" s="2"/>
    </row>
    <row r="1725" spans="25:301" ht="15" customHeight="1" x14ac:dyDescent="0.25">
      <c r="Y1725" s="2"/>
      <c r="AP1725" s="2"/>
      <c r="GX1725" s="155"/>
      <c r="IJ1725" s="2"/>
      <c r="KN1725" s="2"/>
    </row>
    <row r="1726" spans="25:301" ht="15" customHeight="1" x14ac:dyDescent="0.25">
      <c r="Y1726" s="2"/>
      <c r="AP1726" s="2"/>
      <c r="GX1726" s="155"/>
      <c r="IJ1726" s="2"/>
      <c r="KN1726" s="2"/>
      <c r="KO1726" s="2"/>
    </row>
    <row r="1727" spans="25:301" ht="15" customHeight="1" x14ac:dyDescent="0.25">
      <c r="Y1727" s="2"/>
      <c r="AP1727" s="2"/>
      <c r="GX1727" s="155"/>
      <c r="IJ1727" s="2"/>
      <c r="KN1727" s="2"/>
    </row>
    <row r="1728" spans="25:301" ht="15" customHeight="1" x14ac:dyDescent="0.25">
      <c r="Y1728" s="2"/>
      <c r="AP1728" s="2"/>
      <c r="GX1728" s="155"/>
      <c r="IJ1728" s="2"/>
      <c r="KN1728" s="2"/>
    </row>
    <row r="1729" spans="25:302" ht="15" customHeight="1" x14ac:dyDescent="0.25">
      <c r="Y1729" s="2"/>
      <c r="AP1729" s="2"/>
      <c r="GX1729" s="155"/>
      <c r="IJ1729" s="2"/>
    </row>
    <row r="1730" spans="25:302" ht="15" customHeight="1" x14ac:dyDescent="0.25">
      <c r="Y1730" s="2"/>
      <c r="AP1730" s="2"/>
      <c r="GX1730" s="155"/>
      <c r="IJ1730" s="2"/>
    </row>
    <row r="1731" spans="25:302" ht="15" customHeight="1" x14ac:dyDescent="0.25">
      <c r="Y1731" s="2"/>
      <c r="AP1731" s="2"/>
      <c r="GX1731" s="155"/>
      <c r="IJ1731" s="2"/>
    </row>
    <row r="1732" spans="25:302" ht="15" customHeight="1" x14ac:dyDescent="0.25">
      <c r="Y1732" s="2"/>
      <c r="AP1732" s="2"/>
      <c r="GX1732" s="155"/>
      <c r="IJ1732" s="2"/>
    </row>
    <row r="1733" spans="25:302" ht="15" customHeight="1" x14ac:dyDescent="0.25">
      <c r="Y1733" s="2"/>
      <c r="AP1733" s="2"/>
      <c r="GX1733" s="155"/>
      <c r="IJ1733" s="2"/>
      <c r="KN1733" s="2"/>
      <c r="KO1733" s="2"/>
    </row>
    <row r="1734" spans="25:302" ht="15" customHeight="1" x14ac:dyDescent="0.25">
      <c r="Y1734" s="2"/>
      <c r="AP1734" s="2"/>
      <c r="GX1734" s="155"/>
      <c r="IJ1734" s="2"/>
      <c r="KN1734" s="2"/>
    </row>
    <row r="1735" spans="25:302" ht="15" customHeight="1" x14ac:dyDescent="0.25">
      <c r="Y1735" s="2"/>
      <c r="AP1735" s="2"/>
      <c r="GX1735" s="155"/>
      <c r="IJ1735" s="2"/>
    </row>
    <row r="1736" spans="25:302" ht="15" customHeight="1" x14ac:dyDescent="0.25">
      <c r="Y1736" s="2"/>
      <c r="AP1736" s="2"/>
      <c r="GX1736" s="155"/>
      <c r="IJ1736" s="2"/>
    </row>
    <row r="1737" spans="25:302" ht="15" customHeight="1" x14ac:dyDescent="0.25">
      <c r="Y1737" s="2"/>
      <c r="AP1737" s="2"/>
      <c r="GX1737" s="155"/>
      <c r="IJ1737" s="2"/>
    </row>
    <row r="1738" spans="25:302" ht="15" customHeight="1" x14ac:dyDescent="0.25">
      <c r="Y1738" s="2"/>
      <c r="AP1738" s="2"/>
      <c r="GX1738" s="155"/>
      <c r="IJ1738" s="2"/>
      <c r="KN1738" s="2"/>
    </row>
    <row r="1739" spans="25:302" ht="15" customHeight="1" x14ac:dyDescent="0.25">
      <c r="Y1739" s="2"/>
      <c r="AP1739" s="2"/>
      <c r="GX1739" s="155"/>
      <c r="IJ1739" s="2"/>
      <c r="KN1739" s="2"/>
    </row>
    <row r="1740" spans="25:302" ht="15" customHeight="1" x14ac:dyDescent="0.25">
      <c r="Y1740" s="2"/>
      <c r="AP1740" s="2"/>
      <c r="GX1740" s="155"/>
      <c r="IJ1740" s="2"/>
      <c r="KN1740" s="2"/>
    </row>
    <row r="1741" spans="25:302" ht="15" customHeight="1" x14ac:dyDescent="0.25">
      <c r="Y1741" s="2"/>
      <c r="AP1741" s="2"/>
      <c r="GX1741" s="155"/>
      <c r="IJ1741" s="2"/>
      <c r="KN1741" s="2"/>
      <c r="KO1741" s="2"/>
      <c r="KP1741" s="2"/>
    </row>
    <row r="1742" spans="25:302" ht="15" customHeight="1" x14ac:dyDescent="0.25">
      <c r="Y1742" s="2"/>
      <c r="AP1742" s="2"/>
      <c r="GX1742" s="155"/>
      <c r="IJ1742" s="2"/>
      <c r="KN1742" s="2"/>
    </row>
    <row r="1743" spans="25:302" ht="15" customHeight="1" x14ac:dyDescent="0.25">
      <c r="Y1743" s="2"/>
      <c r="AP1743" s="2"/>
      <c r="GX1743" s="155"/>
      <c r="IJ1743" s="2"/>
    </row>
    <row r="1744" spans="25:302" ht="15" customHeight="1" x14ac:dyDescent="0.25">
      <c r="Y1744" s="2"/>
      <c r="AP1744" s="2"/>
      <c r="GX1744" s="155"/>
      <c r="IJ1744" s="2"/>
      <c r="KN1744" s="2"/>
      <c r="KO1744" s="2"/>
    </row>
    <row r="1745" spans="25:305" ht="15" customHeight="1" x14ac:dyDescent="0.25">
      <c r="Y1745" s="2"/>
      <c r="AP1745" s="2"/>
      <c r="GX1745" s="155"/>
      <c r="IJ1745" s="2"/>
      <c r="KN1745" s="2"/>
    </row>
    <row r="1746" spans="25:305" ht="15" customHeight="1" x14ac:dyDescent="0.25">
      <c r="Y1746" s="2"/>
      <c r="AP1746" s="2"/>
      <c r="GX1746" s="155"/>
      <c r="IJ1746" s="2"/>
      <c r="KN1746" s="2"/>
    </row>
    <row r="1747" spans="25:305" ht="15" customHeight="1" x14ac:dyDescent="0.25">
      <c r="Y1747" s="2"/>
      <c r="AP1747" s="2"/>
      <c r="GX1747" s="155"/>
      <c r="IJ1747" s="2"/>
      <c r="KN1747" s="2"/>
    </row>
    <row r="1748" spans="25:305" ht="15" customHeight="1" x14ac:dyDescent="0.25">
      <c r="Y1748" s="2"/>
      <c r="AP1748" s="2"/>
      <c r="GX1748" s="155"/>
      <c r="IJ1748" s="2"/>
      <c r="KN1748" s="2"/>
    </row>
    <row r="1749" spans="25:305" ht="15" customHeight="1" x14ac:dyDescent="0.25">
      <c r="Y1749" s="2"/>
      <c r="AP1749" s="2"/>
      <c r="GX1749" s="155"/>
      <c r="IJ1749" s="2"/>
      <c r="KN1749" s="2"/>
      <c r="KO1749" s="2"/>
      <c r="KP1749" s="2"/>
      <c r="KQ1749" s="2"/>
    </row>
    <row r="1750" spans="25:305" ht="15" customHeight="1" x14ac:dyDescent="0.25">
      <c r="Y1750" s="2"/>
      <c r="AP1750" s="2"/>
      <c r="GX1750" s="155"/>
      <c r="IJ1750" s="2"/>
      <c r="KN1750" s="2"/>
      <c r="KO1750" s="2"/>
    </row>
    <row r="1751" spans="25:305" ht="15" customHeight="1" x14ac:dyDescent="0.25">
      <c r="Y1751" s="2"/>
      <c r="AP1751" s="2"/>
      <c r="GX1751" s="155"/>
      <c r="IJ1751" s="2"/>
      <c r="KN1751" s="2"/>
      <c r="KO1751" s="2"/>
      <c r="KP1751" s="2"/>
      <c r="KQ1751" s="2"/>
      <c r="KR1751" s="2"/>
      <c r="KS1751" s="2"/>
    </row>
    <row r="1752" spans="25:305" ht="15" customHeight="1" x14ac:dyDescent="0.25">
      <c r="Y1752" s="2"/>
      <c r="AP1752" s="2"/>
      <c r="GX1752" s="155"/>
      <c r="IJ1752" s="2"/>
      <c r="KN1752" s="2"/>
      <c r="KO1752" s="2"/>
      <c r="KP1752" s="2"/>
      <c r="KQ1752" s="2"/>
    </row>
    <row r="1753" spans="25:305" ht="15" customHeight="1" x14ac:dyDescent="0.25">
      <c r="Y1753" s="2"/>
      <c r="AP1753" s="2"/>
      <c r="GX1753" s="155"/>
      <c r="IJ1753" s="2"/>
      <c r="KN1753" s="2"/>
      <c r="KO1753" s="2"/>
    </row>
    <row r="1754" spans="25:305" ht="15" customHeight="1" x14ac:dyDescent="0.25">
      <c r="Y1754" s="2"/>
      <c r="AP1754" s="2"/>
      <c r="GX1754" s="155"/>
      <c r="IJ1754" s="2"/>
      <c r="KN1754" s="2"/>
      <c r="KO1754" s="2"/>
    </row>
    <row r="1755" spans="25:305" ht="15" customHeight="1" x14ac:dyDescent="0.25">
      <c r="Y1755" s="2"/>
      <c r="AP1755" s="2"/>
      <c r="GX1755" s="155"/>
      <c r="IJ1755" s="2"/>
      <c r="KN1755" s="2"/>
    </row>
    <row r="1756" spans="25:305" ht="15" customHeight="1" x14ac:dyDescent="0.25">
      <c r="Y1756" s="2"/>
      <c r="AP1756" s="2"/>
      <c r="GX1756" s="155"/>
      <c r="IJ1756" s="2"/>
      <c r="KN1756" s="2"/>
      <c r="KO1756" s="2"/>
      <c r="KP1756" s="2"/>
      <c r="KQ1756" s="2"/>
      <c r="KR1756" s="2"/>
    </row>
    <row r="1757" spans="25:305" ht="15" customHeight="1" x14ac:dyDescent="0.25">
      <c r="Y1757" s="2"/>
      <c r="AP1757" s="2"/>
      <c r="GX1757" s="155"/>
      <c r="IJ1757" s="2"/>
      <c r="KN1757" s="2"/>
    </row>
    <row r="1758" spans="25:305" ht="15" customHeight="1" x14ac:dyDescent="0.25">
      <c r="Y1758" s="2"/>
      <c r="AP1758" s="2"/>
      <c r="GX1758" s="155"/>
      <c r="IJ1758" s="2"/>
      <c r="KN1758" s="2"/>
    </row>
    <row r="1759" spans="25:305" ht="15" customHeight="1" x14ac:dyDescent="0.25">
      <c r="Y1759" s="2"/>
      <c r="AP1759" s="2"/>
      <c r="GX1759" s="155"/>
      <c r="IJ1759" s="2"/>
      <c r="KN1759" s="2"/>
    </row>
    <row r="1760" spans="25:305" ht="15" customHeight="1" x14ac:dyDescent="0.25">
      <c r="Y1760" s="2"/>
      <c r="AP1760" s="2"/>
      <c r="GX1760" s="155"/>
      <c r="IJ1760" s="2"/>
      <c r="KN1760" s="2"/>
    </row>
    <row r="1761" spans="25:309" ht="15" customHeight="1" x14ac:dyDescent="0.25">
      <c r="Y1761" s="2"/>
      <c r="AP1761" s="2"/>
      <c r="GX1761" s="155"/>
      <c r="IJ1761" s="2"/>
      <c r="KN1761" s="2"/>
      <c r="KO1761" s="2"/>
      <c r="KP1761" s="2"/>
      <c r="KQ1761" s="2"/>
    </row>
    <row r="1762" spans="25:309" ht="15" customHeight="1" x14ac:dyDescent="0.25">
      <c r="Y1762" s="2"/>
      <c r="AP1762" s="2"/>
      <c r="GX1762" s="155"/>
      <c r="IJ1762" s="2"/>
      <c r="KN1762" s="2"/>
      <c r="KO1762" s="2"/>
      <c r="KP1762" s="2"/>
      <c r="KQ1762" s="2"/>
      <c r="KR1762" s="2"/>
      <c r="KS1762" s="2"/>
    </row>
    <row r="1763" spans="25:309" ht="15" customHeight="1" x14ac:dyDescent="0.25">
      <c r="Y1763" s="2"/>
      <c r="AP1763" s="2"/>
      <c r="GX1763" s="155"/>
      <c r="IJ1763" s="2"/>
    </row>
    <row r="1764" spans="25:309" ht="15" customHeight="1" x14ac:dyDescent="0.25">
      <c r="Y1764" s="2"/>
      <c r="AP1764" s="2"/>
      <c r="GX1764" s="155"/>
      <c r="IJ1764" s="2"/>
    </row>
    <row r="1765" spans="25:309" ht="15" customHeight="1" x14ac:dyDescent="0.25">
      <c r="Y1765" s="2"/>
      <c r="AP1765" s="2"/>
      <c r="GX1765" s="155"/>
      <c r="IJ1765" s="2"/>
      <c r="KN1765" s="2"/>
      <c r="KO1765" s="2"/>
    </row>
    <row r="1766" spans="25:309" ht="15" customHeight="1" x14ac:dyDescent="0.25">
      <c r="Y1766" s="2"/>
      <c r="AP1766" s="2"/>
      <c r="GX1766" s="155"/>
      <c r="IJ1766" s="2"/>
      <c r="KN1766" s="2"/>
    </row>
    <row r="1767" spans="25:309" ht="15" customHeight="1" x14ac:dyDescent="0.25">
      <c r="Y1767" s="2"/>
      <c r="AP1767" s="2"/>
      <c r="GX1767" s="155"/>
      <c r="IJ1767" s="2"/>
    </row>
    <row r="1768" spans="25:309" ht="15" customHeight="1" x14ac:dyDescent="0.25">
      <c r="Y1768" s="2"/>
      <c r="AP1768" s="2"/>
      <c r="GX1768" s="155"/>
      <c r="IJ1768" s="2"/>
      <c r="KN1768" s="2"/>
    </row>
    <row r="1769" spans="25:309" ht="15" customHeight="1" x14ac:dyDescent="0.25">
      <c r="Y1769" s="2"/>
      <c r="AP1769" s="2"/>
      <c r="GX1769" s="155"/>
      <c r="IJ1769" s="2"/>
      <c r="KN1769" s="2"/>
      <c r="KO1769" s="2"/>
    </row>
    <row r="1770" spans="25:309" ht="15" customHeight="1" x14ac:dyDescent="0.25">
      <c r="Y1770" s="2"/>
      <c r="AP1770" s="2"/>
      <c r="GX1770" s="155"/>
      <c r="IJ1770" s="2"/>
      <c r="KN1770" s="2"/>
      <c r="KO1770" s="2"/>
    </row>
    <row r="1771" spans="25:309" ht="15" customHeight="1" x14ac:dyDescent="0.25">
      <c r="Y1771" s="2"/>
      <c r="AP1771" s="2"/>
      <c r="GX1771" s="155"/>
      <c r="IJ1771" s="2"/>
      <c r="KN1771" s="2"/>
    </row>
    <row r="1772" spans="25:309" ht="15" customHeight="1" x14ac:dyDescent="0.25">
      <c r="Y1772" s="2"/>
      <c r="AP1772" s="2"/>
      <c r="GX1772" s="155"/>
      <c r="IJ1772" s="2"/>
      <c r="KN1772" s="2"/>
      <c r="KO1772" s="2"/>
      <c r="KP1772" s="2"/>
    </row>
    <row r="1773" spans="25:309" ht="15" customHeight="1" x14ac:dyDescent="0.25">
      <c r="Y1773" s="2"/>
      <c r="AP1773" s="2"/>
      <c r="GX1773" s="155"/>
      <c r="IJ1773" s="2"/>
      <c r="KN1773" s="2"/>
      <c r="KO1773" s="2"/>
      <c r="KP1773" s="2"/>
      <c r="KQ1773" s="2"/>
      <c r="KR1773" s="2"/>
      <c r="KS1773" s="2"/>
      <c r="KT1773" s="2"/>
      <c r="KU1773" s="2"/>
      <c r="KV1773" s="2"/>
      <c r="KW1773" s="2"/>
    </row>
    <row r="1774" spans="25:309" ht="15" customHeight="1" x14ac:dyDescent="0.25">
      <c r="Y1774" s="2"/>
      <c r="AP1774" s="2"/>
      <c r="GX1774" s="155"/>
      <c r="IJ1774" s="2"/>
      <c r="KN1774" s="2"/>
      <c r="KO1774" s="2"/>
    </row>
    <row r="1775" spans="25:309" ht="15" customHeight="1" x14ac:dyDescent="0.25">
      <c r="Y1775" s="2"/>
      <c r="AP1775" s="2"/>
      <c r="GX1775" s="155"/>
      <c r="IJ1775" s="2"/>
      <c r="KN1775" s="2"/>
    </row>
    <row r="1776" spans="25:309" ht="15" customHeight="1" x14ac:dyDescent="0.25">
      <c r="Y1776" s="2"/>
      <c r="AP1776" s="2"/>
      <c r="GX1776" s="155"/>
      <c r="IJ1776" s="2"/>
      <c r="KN1776" s="2"/>
      <c r="KO1776" s="2"/>
      <c r="KP1776" s="2"/>
    </row>
    <row r="1777" spans="25:301" ht="15" customHeight="1" x14ac:dyDescent="0.25">
      <c r="Y1777" s="2"/>
      <c r="AP1777" s="2"/>
      <c r="GX1777" s="155"/>
      <c r="IJ1777" s="2"/>
    </row>
    <row r="1778" spans="25:301" ht="15" customHeight="1" x14ac:dyDescent="0.25">
      <c r="Y1778" s="2"/>
      <c r="AP1778" s="2"/>
      <c r="GX1778" s="155"/>
      <c r="IJ1778" s="2"/>
      <c r="KN1778" s="2"/>
    </row>
    <row r="1779" spans="25:301" ht="15" customHeight="1" x14ac:dyDescent="0.25">
      <c r="Y1779" s="2"/>
      <c r="AP1779" s="2"/>
      <c r="GX1779" s="155"/>
      <c r="IJ1779" s="2"/>
      <c r="KN1779" s="2"/>
    </row>
    <row r="1780" spans="25:301" ht="15" customHeight="1" x14ac:dyDescent="0.25">
      <c r="Y1780" s="2"/>
      <c r="AP1780" s="2"/>
      <c r="GX1780" s="155"/>
      <c r="IJ1780" s="2"/>
      <c r="KN1780" s="2"/>
    </row>
    <row r="1781" spans="25:301" ht="15" customHeight="1" x14ac:dyDescent="0.25">
      <c r="Y1781" s="2"/>
      <c r="AP1781" s="2"/>
      <c r="GX1781" s="155"/>
      <c r="IJ1781" s="2"/>
      <c r="KN1781" s="2"/>
    </row>
    <row r="1782" spans="25:301" ht="15" customHeight="1" x14ac:dyDescent="0.25">
      <c r="Y1782" s="2"/>
      <c r="AP1782" s="2"/>
      <c r="GX1782" s="155"/>
      <c r="IJ1782" s="2"/>
      <c r="KN1782" s="2"/>
    </row>
    <row r="1783" spans="25:301" ht="15" customHeight="1" x14ac:dyDescent="0.25">
      <c r="Y1783" s="2"/>
      <c r="AP1783" s="2"/>
      <c r="GX1783" s="155"/>
      <c r="IJ1783" s="2"/>
      <c r="KN1783" s="2"/>
    </row>
    <row r="1784" spans="25:301" ht="15" customHeight="1" x14ac:dyDescent="0.25">
      <c r="Y1784" s="2"/>
      <c r="AP1784" s="2"/>
      <c r="GX1784" s="155"/>
      <c r="IJ1784" s="2"/>
      <c r="KN1784" s="2"/>
      <c r="KO1784" s="2"/>
    </row>
    <row r="1785" spans="25:301" ht="15" customHeight="1" x14ac:dyDescent="0.25">
      <c r="Y1785" s="2"/>
      <c r="AP1785" s="2"/>
      <c r="GX1785" s="155"/>
      <c r="IJ1785" s="2"/>
      <c r="KN1785" s="2"/>
      <c r="KO1785" s="2"/>
    </row>
    <row r="1786" spans="25:301" ht="15" customHeight="1" x14ac:dyDescent="0.25">
      <c r="Y1786" s="2"/>
      <c r="AP1786" s="2"/>
      <c r="GX1786" s="155"/>
      <c r="IJ1786" s="2"/>
      <c r="KN1786" s="2"/>
    </row>
    <row r="1787" spans="25:301" ht="15" customHeight="1" x14ac:dyDescent="0.25">
      <c r="Y1787" s="2"/>
      <c r="AP1787" s="2"/>
      <c r="GX1787" s="155"/>
      <c r="IJ1787" s="2"/>
      <c r="KN1787" s="2"/>
    </row>
    <row r="1788" spans="25:301" ht="15" customHeight="1" x14ac:dyDescent="0.25">
      <c r="Y1788" s="2"/>
      <c r="AP1788" s="2"/>
      <c r="GX1788" s="155"/>
      <c r="IJ1788" s="2"/>
      <c r="KN1788" s="2"/>
      <c r="KO1788" s="2"/>
    </row>
    <row r="1789" spans="25:301" ht="15" customHeight="1" x14ac:dyDescent="0.25">
      <c r="Y1789" s="2"/>
      <c r="AP1789" s="2"/>
      <c r="GX1789" s="155"/>
      <c r="IJ1789" s="2"/>
      <c r="KN1789" s="2"/>
      <c r="KO1789" s="2"/>
    </row>
    <row r="1790" spans="25:301" ht="15" customHeight="1" x14ac:dyDescent="0.25">
      <c r="Y1790" s="2"/>
      <c r="AP1790" s="2"/>
      <c r="GX1790" s="155"/>
      <c r="IJ1790" s="2"/>
    </row>
    <row r="1791" spans="25:301" ht="15" customHeight="1" x14ac:dyDescent="0.25">
      <c r="Y1791" s="2"/>
      <c r="AP1791" s="2"/>
      <c r="GX1791" s="155"/>
      <c r="IJ1791" s="2"/>
      <c r="KN1791" s="2"/>
    </row>
    <row r="1792" spans="25:301" ht="15" customHeight="1" x14ac:dyDescent="0.25">
      <c r="Y1792" s="2"/>
      <c r="AP1792" s="2"/>
      <c r="GX1792" s="155"/>
      <c r="IJ1792" s="2"/>
      <c r="KN1792" s="2"/>
    </row>
    <row r="1793" spans="25:307" ht="15" customHeight="1" x14ac:dyDescent="0.25">
      <c r="Y1793" s="2"/>
      <c r="AP1793" s="2"/>
      <c r="GX1793" s="155"/>
      <c r="IJ1793" s="2"/>
      <c r="KN1793" s="2"/>
      <c r="KO1793" s="2"/>
    </row>
    <row r="1794" spans="25:307" ht="15" customHeight="1" x14ac:dyDescent="0.25">
      <c r="Y1794" s="2"/>
      <c r="AP1794" s="2"/>
      <c r="GX1794" s="155"/>
      <c r="IJ1794" s="2"/>
      <c r="KN1794" s="2"/>
      <c r="KO1794" s="2"/>
    </row>
    <row r="1795" spans="25:307" ht="15" customHeight="1" x14ac:dyDescent="0.25">
      <c r="Y1795" s="2"/>
      <c r="AP1795" s="2"/>
      <c r="GX1795" s="155"/>
      <c r="IJ1795" s="2"/>
      <c r="KN1795" s="2"/>
      <c r="KO1795" s="2"/>
      <c r="KP1795" s="2"/>
      <c r="KQ1795" s="2"/>
      <c r="KR1795" s="2"/>
      <c r="KS1795" s="2"/>
      <c r="KT1795" s="2"/>
      <c r="KU1795" s="2"/>
    </row>
    <row r="1796" spans="25:307" ht="15" customHeight="1" x14ac:dyDescent="0.25">
      <c r="Y1796" s="2"/>
      <c r="AP1796" s="2"/>
      <c r="GX1796" s="155"/>
      <c r="IJ1796" s="2"/>
      <c r="KN1796" s="2"/>
      <c r="KO1796" s="2"/>
    </row>
    <row r="1797" spans="25:307" ht="15" customHeight="1" x14ac:dyDescent="0.25">
      <c r="Y1797" s="2"/>
      <c r="AP1797" s="2"/>
      <c r="GX1797" s="155"/>
      <c r="IJ1797" s="2"/>
      <c r="KN1797" s="2"/>
      <c r="KO1797" s="2"/>
    </row>
    <row r="1798" spans="25:307" ht="15" customHeight="1" x14ac:dyDescent="0.25">
      <c r="Y1798" s="2"/>
      <c r="AP1798" s="2"/>
      <c r="GX1798" s="155"/>
      <c r="IJ1798" s="2"/>
      <c r="KN1798" s="2"/>
    </row>
    <row r="1799" spans="25:307" ht="15" customHeight="1" x14ac:dyDescent="0.25">
      <c r="Y1799" s="2"/>
      <c r="AP1799" s="2"/>
      <c r="GX1799" s="155"/>
      <c r="IJ1799" s="2"/>
      <c r="KN1799" s="2"/>
    </row>
    <row r="1800" spans="25:307" ht="15" customHeight="1" x14ac:dyDescent="0.25">
      <c r="Y1800" s="2"/>
      <c r="AP1800" s="2"/>
      <c r="GX1800" s="155"/>
      <c r="IJ1800" s="2"/>
      <c r="KN1800" s="2"/>
      <c r="KO1800" s="2"/>
    </row>
    <row r="1801" spans="25:307" ht="15" customHeight="1" x14ac:dyDescent="0.25">
      <c r="Y1801" s="2"/>
      <c r="AP1801" s="2"/>
      <c r="GX1801" s="155"/>
      <c r="IJ1801" s="2"/>
      <c r="KN1801" s="2"/>
    </row>
    <row r="1802" spans="25:307" ht="15" customHeight="1" x14ac:dyDescent="0.25">
      <c r="Y1802" s="2"/>
      <c r="AP1802" s="2"/>
      <c r="GX1802" s="155"/>
      <c r="IJ1802" s="2"/>
      <c r="KN1802" s="2"/>
    </row>
    <row r="1803" spans="25:307" ht="15" customHeight="1" x14ac:dyDescent="0.25">
      <c r="Y1803" s="2"/>
      <c r="AP1803" s="2"/>
      <c r="GX1803" s="155"/>
      <c r="IJ1803" s="2"/>
      <c r="KN1803" s="2"/>
    </row>
    <row r="1804" spans="25:307" ht="15" customHeight="1" x14ac:dyDescent="0.25">
      <c r="Y1804" s="2"/>
      <c r="AP1804" s="2"/>
      <c r="GX1804" s="155"/>
      <c r="IJ1804" s="2"/>
    </row>
    <row r="1805" spans="25:307" ht="15" customHeight="1" x14ac:dyDescent="0.25">
      <c r="Y1805" s="2"/>
      <c r="AP1805" s="2"/>
      <c r="GX1805" s="155"/>
      <c r="IJ1805" s="2"/>
    </row>
    <row r="1806" spans="25:307" ht="15" customHeight="1" x14ac:dyDescent="0.25">
      <c r="Y1806" s="2"/>
      <c r="AP1806" s="2"/>
      <c r="GX1806" s="155"/>
      <c r="IJ1806" s="2"/>
    </row>
    <row r="1807" spans="25:307" ht="15" customHeight="1" x14ac:dyDescent="0.25">
      <c r="Y1807" s="2"/>
      <c r="AP1807" s="2"/>
      <c r="GX1807" s="155"/>
      <c r="IJ1807" s="2"/>
      <c r="KN1807" s="2"/>
    </row>
    <row r="1808" spans="25:307" ht="15" customHeight="1" x14ac:dyDescent="0.25">
      <c r="Y1808" s="2"/>
      <c r="AP1808" s="2"/>
      <c r="GX1808" s="155"/>
      <c r="IJ1808" s="2"/>
    </row>
    <row r="1809" spans="25:302" ht="15" customHeight="1" x14ac:dyDescent="0.25">
      <c r="Y1809" s="2"/>
      <c r="AP1809" s="2"/>
      <c r="GX1809" s="155"/>
      <c r="IJ1809" s="2"/>
      <c r="KN1809" s="2"/>
    </row>
    <row r="1810" spans="25:302" ht="15" customHeight="1" x14ac:dyDescent="0.25">
      <c r="Y1810" s="2"/>
      <c r="AP1810" s="2"/>
      <c r="GX1810" s="155"/>
      <c r="IJ1810" s="2"/>
      <c r="KN1810" s="2"/>
      <c r="KO1810" s="2"/>
    </row>
    <row r="1811" spans="25:302" ht="15" customHeight="1" x14ac:dyDescent="0.25">
      <c r="Y1811" s="2"/>
      <c r="AP1811" s="2"/>
      <c r="GX1811" s="155"/>
      <c r="IJ1811" s="2"/>
      <c r="KN1811" s="2"/>
      <c r="KO1811" s="2"/>
    </row>
    <row r="1812" spans="25:302" ht="15" customHeight="1" x14ac:dyDescent="0.25">
      <c r="Y1812" s="2"/>
      <c r="AP1812" s="2"/>
      <c r="GX1812" s="155"/>
      <c r="IJ1812" s="2"/>
      <c r="KN1812" s="2"/>
    </row>
    <row r="1813" spans="25:302" ht="15" customHeight="1" x14ac:dyDescent="0.25">
      <c r="Y1813" s="2"/>
      <c r="AP1813" s="2"/>
      <c r="GX1813" s="155"/>
      <c r="IJ1813" s="2"/>
    </row>
    <row r="1814" spans="25:302" ht="15" customHeight="1" x14ac:dyDescent="0.25">
      <c r="Y1814" s="2"/>
      <c r="AP1814" s="2"/>
      <c r="GX1814" s="155"/>
      <c r="IJ1814" s="2"/>
      <c r="KN1814" s="2"/>
      <c r="KO1814" s="2"/>
      <c r="KP1814" s="2"/>
    </row>
    <row r="1815" spans="25:302" ht="15" customHeight="1" x14ac:dyDescent="0.25">
      <c r="Y1815" s="2"/>
      <c r="AP1815" s="2"/>
      <c r="GX1815" s="155"/>
      <c r="IJ1815" s="2"/>
      <c r="KN1815" s="2"/>
    </row>
    <row r="1816" spans="25:302" ht="15" customHeight="1" x14ac:dyDescent="0.25">
      <c r="Y1816" s="2"/>
      <c r="AP1816" s="2"/>
      <c r="GX1816" s="155"/>
      <c r="IJ1816" s="2"/>
    </row>
    <row r="1817" spans="25:302" ht="15" customHeight="1" x14ac:dyDescent="0.25">
      <c r="Y1817" s="2"/>
      <c r="AP1817" s="2"/>
      <c r="GX1817" s="155"/>
      <c r="IJ1817" s="2"/>
    </row>
    <row r="1818" spans="25:302" ht="15" customHeight="1" x14ac:dyDescent="0.25">
      <c r="Y1818" s="2"/>
      <c r="AP1818" s="2"/>
      <c r="GX1818" s="155"/>
      <c r="IJ1818" s="2"/>
    </row>
    <row r="1819" spans="25:302" ht="15" customHeight="1" x14ac:dyDescent="0.25">
      <c r="Y1819" s="2"/>
      <c r="AP1819" s="2"/>
      <c r="GX1819" s="155"/>
      <c r="IJ1819" s="2"/>
    </row>
    <row r="1820" spans="25:302" ht="15" customHeight="1" x14ac:dyDescent="0.25">
      <c r="Y1820" s="2"/>
      <c r="AP1820" s="2"/>
      <c r="GX1820" s="155"/>
      <c r="IJ1820" s="2"/>
    </row>
    <row r="1821" spans="25:302" ht="15" customHeight="1" x14ac:dyDescent="0.25">
      <c r="Y1821" s="2"/>
      <c r="AP1821" s="2"/>
      <c r="GX1821" s="155"/>
      <c r="IJ1821" s="2"/>
    </row>
    <row r="1822" spans="25:302" ht="15" customHeight="1" x14ac:dyDescent="0.25">
      <c r="Y1822" s="2"/>
      <c r="AP1822" s="2"/>
      <c r="GX1822" s="155"/>
      <c r="IJ1822" s="2"/>
      <c r="KN1822" s="2"/>
    </row>
    <row r="1823" spans="25:302" ht="15" customHeight="1" x14ac:dyDescent="0.25">
      <c r="Y1823" s="2"/>
      <c r="AP1823" s="2"/>
      <c r="GX1823" s="155"/>
      <c r="IJ1823" s="2"/>
      <c r="KN1823" s="2"/>
      <c r="KO1823" s="2"/>
    </row>
    <row r="1824" spans="25:302" ht="15" customHeight="1" x14ac:dyDescent="0.25">
      <c r="Y1824" s="2"/>
      <c r="AP1824" s="2"/>
      <c r="GX1824" s="155"/>
      <c r="IJ1824" s="2"/>
    </row>
    <row r="1825" spans="18:302" ht="15" customHeight="1" x14ac:dyDescent="0.25">
      <c r="Y1825" s="2"/>
      <c r="AP1825" s="2"/>
      <c r="GX1825" s="155"/>
      <c r="IJ1825" s="2"/>
    </row>
    <row r="1826" spans="18:302" ht="15" customHeight="1" x14ac:dyDescent="0.25">
      <c r="Y1826" s="2"/>
      <c r="AP1826" s="2"/>
      <c r="GX1826" s="155"/>
      <c r="IJ1826" s="2"/>
      <c r="KN1826" s="2"/>
    </row>
    <row r="1827" spans="18:302" ht="15" customHeight="1" x14ac:dyDescent="0.25">
      <c r="Y1827" s="2"/>
      <c r="AP1827" s="2"/>
      <c r="GX1827" s="155"/>
      <c r="IJ1827" s="2"/>
      <c r="KN1827" s="2"/>
      <c r="KO1827" s="2"/>
    </row>
    <row r="1828" spans="18:302" ht="15" customHeight="1" x14ac:dyDescent="0.25">
      <c r="Y1828" s="2"/>
      <c r="AP1828" s="2"/>
      <c r="GX1828" s="155"/>
      <c r="IJ1828" s="2"/>
    </row>
    <row r="1829" spans="18:302" ht="15" customHeight="1" x14ac:dyDescent="0.25">
      <c r="Y1829" s="2"/>
      <c r="AP1829" s="2"/>
      <c r="GX1829" s="155"/>
      <c r="IJ1829" s="2"/>
    </row>
    <row r="1830" spans="18:302" ht="15" customHeight="1" x14ac:dyDescent="0.25">
      <c r="R1830" s="1"/>
      <c r="T1830" s="1"/>
      <c r="Y1830" s="2"/>
      <c r="AP1830" s="2"/>
      <c r="GX1830" s="155"/>
      <c r="IJ1830" s="2"/>
      <c r="KN1830" s="2"/>
    </row>
    <row r="1831" spans="18:302" ht="15" customHeight="1" x14ac:dyDescent="0.25">
      <c r="Y1831" s="2"/>
      <c r="AP1831" s="2"/>
      <c r="GX1831" s="155"/>
      <c r="IJ1831" s="2"/>
      <c r="KN1831" s="2"/>
      <c r="KO1831" s="2"/>
    </row>
    <row r="1832" spans="18:302" ht="15" customHeight="1" x14ac:dyDescent="0.25">
      <c r="Y1832" s="2"/>
      <c r="AP1832" s="2"/>
      <c r="GX1832" s="155"/>
      <c r="IJ1832" s="2"/>
      <c r="KN1832" s="2"/>
      <c r="KO1832" s="2"/>
    </row>
    <row r="1833" spans="18:302" ht="15" customHeight="1" x14ac:dyDescent="0.25">
      <c r="Y1833" s="2"/>
      <c r="AP1833" s="2"/>
      <c r="GX1833" s="155"/>
      <c r="IJ1833" s="2"/>
      <c r="KN1833" s="2"/>
    </row>
    <row r="1834" spans="18:302" ht="15" customHeight="1" x14ac:dyDescent="0.25">
      <c r="Y1834" s="2"/>
      <c r="AP1834" s="2"/>
      <c r="GX1834" s="155"/>
      <c r="IJ1834" s="2"/>
      <c r="KN1834" s="2"/>
      <c r="KO1834" s="2"/>
    </row>
    <row r="1835" spans="18:302" ht="15" customHeight="1" x14ac:dyDescent="0.25">
      <c r="Y1835" s="2"/>
      <c r="AP1835" s="2"/>
      <c r="GX1835" s="155"/>
      <c r="IJ1835" s="2"/>
      <c r="KN1835" s="2"/>
    </row>
    <row r="1836" spans="18:302" ht="15" customHeight="1" x14ac:dyDescent="0.25">
      <c r="Y1836" s="2"/>
      <c r="AP1836" s="2"/>
      <c r="GX1836" s="155"/>
      <c r="IJ1836" s="2"/>
      <c r="KN1836" s="2"/>
    </row>
    <row r="1837" spans="18:302" ht="15" customHeight="1" x14ac:dyDescent="0.25">
      <c r="Y1837" s="2"/>
      <c r="AP1837" s="2"/>
      <c r="GX1837" s="155"/>
      <c r="IJ1837" s="2"/>
      <c r="KN1837" s="2"/>
      <c r="KO1837" s="2"/>
    </row>
    <row r="1838" spans="18:302" ht="15" customHeight="1" x14ac:dyDescent="0.25">
      <c r="Y1838" s="2"/>
      <c r="AP1838" s="2"/>
      <c r="GX1838" s="155"/>
      <c r="IJ1838" s="2"/>
      <c r="KN1838" s="2"/>
      <c r="KO1838" s="2"/>
      <c r="KP1838" s="2"/>
    </row>
    <row r="1839" spans="18:302" ht="15" customHeight="1" x14ac:dyDescent="0.25">
      <c r="Y1839" s="2"/>
      <c r="AP1839" s="2"/>
      <c r="GX1839" s="155"/>
      <c r="IJ1839" s="2"/>
      <c r="KN1839" s="2"/>
    </row>
    <row r="1840" spans="18:302" ht="15" customHeight="1" x14ac:dyDescent="0.25">
      <c r="Y1840" s="2"/>
      <c r="AP1840" s="2"/>
      <c r="GX1840" s="155"/>
      <c r="IJ1840" s="2"/>
      <c r="KN1840" s="2"/>
    </row>
    <row r="1841" spans="25:302" ht="15" customHeight="1" x14ac:dyDescent="0.25">
      <c r="Y1841" s="2"/>
      <c r="AP1841" s="2"/>
      <c r="GX1841" s="155"/>
      <c r="IJ1841" s="2"/>
      <c r="KN1841" s="2"/>
      <c r="KO1841" s="2"/>
      <c r="KP1841" s="2"/>
    </row>
    <row r="1842" spans="25:302" ht="15" customHeight="1" x14ac:dyDescent="0.25">
      <c r="Y1842" s="2"/>
      <c r="AP1842" s="2"/>
      <c r="GX1842" s="155"/>
      <c r="IJ1842" s="2"/>
      <c r="KN1842" s="2"/>
    </row>
    <row r="1843" spans="25:302" ht="15" customHeight="1" x14ac:dyDescent="0.25">
      <c r="Y1843" s="2"/>
      <c r="AP1843" s="2"/>
      <c r="GX1843" s="155"/>
      <c r="IJ1843" s="2"/>
    </row>
    <row r="1844" spans="25:302" ht="15" customHeight="1" x14ac:dyDescent="0.25">
      <c r="Y1844" s="2"/>
      <c r="AP1844" s="2"/>
      <c r="GX1844" s="155"/>
      <c r="IJ1844" s="2"/>
    </row>
    <row r="1845" spans="25:302" ht="15" customHeight="1" x14ac:dyDescent="0.25">
      <c r="Y1845" s="2"/>
      <c r="AP1845" s="2"/>
      <c r="GX1845" s="155"/>
      <c r="IJ1845" s="2"/>
    </row>
    <row r="1846" spans="25:302" ht="15" customHeight="1" x14ac:dyDescent="0.25">
      <c r="Y1846" s="2"/>
      <c r="AP1846" s="2"/>
      <c r="GX1846" s="155"/>
      <c r="IJ1846" s="2"/>
    </row>
    <row r="1847" spans="25:302" ht="15" customHeight="1" x14ac:dyDescent="0.25">
      <c r="Y1847" s="2"/>
      <c r="AP1847" s="2"/>
      <c r="GX1847" s="155"/>
      <c r="IJ1847" s="2"/>
      <c r="KN1847" s="2"/>
      <c r="KO1847" s="2"/>
    </row>
    <row r="1848" spans="25:302" ht="15" customHeight="1" x14ac:dyDescent="0.25">
      <c r="Y1848" s="2"/>
      <c r="AP1848" s="2"/>
      <c r="GX1848" s="155"/>
      <c r="IJ1848" s="2"/>
    </row>
    <row r="1849" spans="25:302" ht="15" customHeight="1" x14ac:dyDescent="0.25">
      <c r="Y1849" s="2"/>
      <c r="AP1849" s="2"/>
      <c r="GX1849" s="155"/>
      <c r="IJ1849" s="2"/>
    </row>
    <row r="1850" spans="25:302" ht="15" customHeight="1" x14ac:dyDescent="0.25">
      <c r="Y1850" s="2"/>
      <c r="AP1850" s="2"/>
      <c r="GX1850" s="155"/>
      <c r="IJ1850" s="2"/>
      <c r="KN1850" s="2"/>
      <c r="KO1850" s="2"/>
      <c r="KP1850" s="2"/>
    </row>
    <row r="1851" spans="25:302" ht="15" customHeight="1" x14ac:dyDescent="0.25">
      <c r="Y1851" s="2"/>
      <c r="AP1851" s="2"/>
      <c r="GX1851" s="155"/>
      <c r="IJ1851" s="2"/>
      <c r="KN1851" s="2"/>
    </row>
    <row r="1852" spans="25:302" ht="15" customHeight="1" x14ac:dyDescent="0.25">
      <c r="Y1852" s="2"/>
      <c r="AP1852" s="2"/>
      <c r="GX1852" s="155"/>
      <c r="IJ1852" s="2"/>
      <c r="KN1852" s="2"/>
    </row>
    <row r="1853" spans="25:302" ht="15" customHeight="1" x14ac:dyDescent="0.25">
      <c r="Y1853" s="2"/>
      <c r="AP1853" s="2"/>
      <c r="GX1853" s="155"/>
      <c r="IJ1853" s="2"/>
      <c r="KN1853" s="2"/>
      <c r="KO1853" s="2"/>
    </row>
    <row r="1854" spans="25:302" ht="15" customHeight="1" x14ac:dyDescent="0.25">
      <c r="Y1854" s="2"/>
      <c r="AP1854" s="2"/>
      <c r="GX1854" s="155"/>
      <c r="IJ1854" s="2"/>
      <c r="KN1854" s="2"/>
      <c r="KO1854" s="2"/>
    </row>
    <row r="1855" spans="25:302" ht="15" customHeight="1" x14ac:dyDescent="0.25">
      <c r="Y1855" s="2"/>
      <c r="AP1855" s="2"/>
      <c r="GX1855" s="155"/>
      <c r="IJ1855" s="2"/>
      <c r="KN1855" s="2"/>
    </row>
    <row r="1856" spans="25:302" ht="15" customHeight="1" x14ac:dyDescent="0.25">
      <c r="Y1856" s="2"/>
      <c r="AP1856" s="2"/>
      <c r="GX1856" s="155"/>
      <c r="IJ1856" s="2"/>
      <c r="KN1856" s="2"/>
    </row>
    <row r="1857" spans="25:303" ht="15" customHeight="1" x14ac:dyDescent="0.25">
      <c r="Y1857" s="2"/>
      <c r="AP1857" s="2"/>
      <c r="GX1857" s="155"/>
      <c r="IJ1857" s="2"/>
      <c r="KN1857" s="2"/>
      <c r="KO1857" s="2"/>
      <c r="KP1857" s="2"/>
    </row>
    <row r="1858" spans="25:303" ht="15" customHeight="1" x14ac:dyDescent="0.25">
      <c r="Y1858" s="2"/>
      <c r="AP1858" s="2"/>
      <c r="GX1858" s="155"/>
      <c r="IJ1858" s="2"/>
      <c r="KN1858" s="2"/>
    </row>
    <row r="1859" spans="25:303" ht="15" customHeight="1" x14ac:dyDescent="0.25">
      <c r="Y1859" s="2"/>
      <c r="AP1859" s="2"/>
      <c r="GX1859" s="155"/>
      <c r="IJ1859" s="2"/>
    </row>
    <row r="1860" spans="25:303" ht="15" customHeight="1" x14ac:dyDescent="0.25">
      <c r="Y1860" s="2"/>
      <c r="AP1860" s="2"/>
      <c r="GX1860" s="155"/>
      <c r="IJ1860" s="2"/>
      <c r="KN1860" s="2"/>
    </row>
    <row r="1861" spans="25:303" ht="15" customHeight="1" x14ac:dyDescent="0.25">
      <c r="Y1861" s="2"/>
      <c r="AP1861" s="2"/>
      <c r="GX1861" s="155"/>
      <c r="IJ1861" s="2"/>
      <c r="KN1861" s="2"/>
      <c r="KO1861" s="2"/>
    </row>
    <row r="1862" spans="25:303" ht="15" customHeight="1" x14ac:dyDescent="0.25">
      <c r="Y1862" s="2"/>
      <c r="AP1862" s="2"/>
      <c r="GX1862" s="155"/>
      <c r="IJ1862" s="2"/>
      <c r="KN1862" s="2"/>
      <c r="KO1862" s="2"/>
      <c r="KP1862" s="2"/>
      <c r="KQ1862" s="2"/>
    </row>
    <row r="1863" spans="25:303" ht="15" customHeight="1" x14ac:dyDescent="0.25">
      <c r="Y1863" s="2"/>
      <c r="AP1863" s="2"/>
      <c r="GX1863" s="155"/>
      <c r="IJ1863" s="2"/>
      <c r="KN1863" s="2"/>
      <c r="KO1863" s="2"/>
      <c r="KP1863" s="2"/>
    </row>
    <row r="1864" spans="25:303" ht="15" customHeight="1" x14ac:dyDescent="0.25">
      <c r="Y1864" s="2"/>
      <c r="AP1864" s="2"/>
      <c r="GX1864" s="155"/>
      <c r="IJ1864" s="2"/>
      <c r="KN1864" s="2"/>
    </row>
    <row r="1865" spans="25:303" ht="15" customHeight="1" x14ac:dyDescent="0.25">
      <c r="Y1865" s="2"/>
      <c r="AP1865" s="2"/>
      <c r="GX1865" s="155"/>
      <c r="IJ1865" s="2"/>
      <c r="KN1865" s="2"/>
    </row>
    <row r="1866" spans="25:303" ht="15" customHeight="1" x14ac:dyDescent="0.25">
      <c r="Y1866" s="2"/>
      <c r="AP1866" s="2"/>
      <c r="GX1866" s="155"/>
      <c r="IJ1866" s="2"/>
      <c r="KN1866" s="2"/>
    </row>
    <row r="1867" spans="25:303" ht="15" customHeight="1" x14ac:dyDescent="0.25">
      <c r="Y1867" s="2"/>
      <c r="AP1867" s="2"/>
      <c r="GX1867" s="155"/>
      <c r="IJ1867" s="2"/>
      <c r="KN1867" s="2"/>
      <c r="KO1867" s="2"/>
    </row>
    <row r="1868" spans="25:303" ht="15" customHeight="1" x14ac:dyDescent="0.25">
      <c r="Y1868" s="2"/>
      <c r="AP1868" s="2"/>
      <c r="GX1868" s="155"/>
      <c r="IJ1868" s="2"/>
      <c r="KN1868" s="2"/>
    </row>
    <row r="1869" spans="25:303" ht="15" customHeight="1" x14ac:dyDescent="0.25">
      <c r="Y1869" s="2"/>
      <c r="AP1869" s="2"/>
      <c r="GX1869" s="155"/>
      <c r="IJ1869" s="2"/>
      <c r="KN1869" s="2"/>
    </row>
    <row r="1870" spans="25:303" ht="15" customHeight="1" x14ac:dyDescent="0.25">
      <c r="Y1870" s="2"/>
      <c r="AP1870" s="2"/>
      <c r="GX1870" s="155"/>
      <c r="IJ1870" s="2"/>
      <c r="KN1870" s="2"/>
    </row>
    <row r="1871" spans="25:303" ht="15" customHeight="1" x14ac:dyDescent="0.25">
      <c r="Y1871" s="2"/>
      <c r="AP1871" s="2"/>
      <c r="GX1871" s="155"/>
      <c r="IJ1871" s="2"/>
    </row>
    <row r="1872" spans="25:303" ht="15" customHeight="1" x14ac:dyDescent="0.25">
      <c r="Y1872" s="2"/>
      <c r="AP1872" s="2"/>
      <c r="GX1872" s="155"/>
      <c r="IJ1872" s="2"/>
      <c r="KN1872" s="2"/>
    </row>
    <row r="1873" spans="25:303" ht="15" customHeight="1" x14ac:dyDescent="0.25">
      <c r="Y1873" s="2"/>
      <c r="AP1873" s="2"/>
      <c r="GX1873" s="155"/>
      <c r="IJ1873" s="2"/>
      <c r="KN1873" s="2"/>
    </row>
    <row r="1874" spans="25:303" ht="15" customHeight="1" x14ac:dyDescent="0.25">
      <c r="Y1874" s="2"/>
      <c r="AP1874" s="2"/>
      <c r="GX1874" s="155"/>
      <c r="IJ1874" s="2"/>
      <c r="KN1874" s="2"/>
    </row>
    <row r="1875" spans="25:303" ht="15" customHeight="1" x14ac:dyDescent="0.25">
      <c r="Y1875" s="2"/>
      <c r="AP1875" s="2"/>
      <c r="GX1875" s="155"/>
      <c r="IJ1875" s="2"/>
      <c r="KN1875" s="2"/>
      <c r="KO1875" s="2"/>
    </row>
    <row r="1876" spans="25:303" ht="15" customHeight="1" x14ac:dyDescent="0.25">
      <c r="Y1876" s="2"/>
      <c r="AP1876" s="2"/>
      <c r="GX1876" s="155"/>
      <c r="IJ1876" s="2"/>
    </row>
    <row r="1877" spans="25:303" ht="15" customHeight="1" x14ac:dyDescent="0.25">
      <c r="Y1877" s="2"/>
      <c r="AP1877" s="2"/>
      <c r="GX1877" s="155"/>
      <c r="IJ1877" s="2"/>
      <c r="KN1877" s="2"/>
    </row>
    <row r="1878" spans="25:303" ht="15" customHeight="1" x14ac:dyDescent="0.25">
      <c r="Y1878" s="2"/>
      <c r="AP1878" s="2"/>
      <c r="GX1878" s="155"/>
      <c r="IJ1878" s="2"/>
      <c r="KN1878" s="2"/>
      <c r="KO1878" s="2"/>
      <c r="KP1878" s="2"/>
      <c r="KQ1878" s="2"/>
    </row>
    <row r="1879" spans="25:303" ht="15" customHeight="1" x14ac:dyDescent="0.25">
      <c r="Y1879" s="2"/>
      <c r="AP1879" s="2"/>
      <c r="GX1879" s="155"/>
      <c r="IJ1879" s="2"/>
      <c r="KN1879" s="2"/>
    </row>
    <row r="1880" spans="25:303" ht="15" customHeight="1" x14ac:dyDescent="0.25">
      <c r="Y1880" s="2"/>
      <c r="AP1880" s="2"/>
      <c r="GX1880" s="155"/>
      <c r="IJ1880" s="2"/>
      <c r="KN1880" s="2"/>
      <c r="KO1880" s="2"/>
    </row>
    <row r="1881" spans="25:303" ht="15" customHeight="1" x14ac:dyDescent="0.25">
      <c r="Y1881" s="2"/>
      <c r="AP1881" s="2"/>
      <c r="GX1881" s="155"/>
      <c r="IJ1881" s="2"/>
      <c r="KN1881" s="2"/>
      <c r="KO1881" s="2"/>
    </row>
    <row r="1882" spans="25:303" ht="15" customHeight="1" x14ac:dyDescent="0.25">
      <c r="Y1882" s="2"/>
      <c r="AP1882" s="2"/>
      <c r="GX1882" s="155"/>
      <c r="IJ1882" s="2"/>
      <c r="KN1882" s="2"/>
    </row>
    <row r="1883" spans="25:303" ht="15" customHeight="1" x14ac:dyDescent="0.25">
      <c r="Y1883" s="2"/>
      <c r="AP1883" s="2"/>
      <c r="GX1883" s="155"/>
      <c r="IJ1883" s="2"/>
      <c r="KN1883" s="2"/>
      <c r="KO1883" s="2"/>
    </row>
    <row r="1884" spans="25:303" ht="15" customHeight="1" x14ac:dyDescent="0.25">
      <c r="Y1884" s="2"/>
      <c r="AP1884" s="2"/>
      <c r="GX1884" s="155"/>
      <c r="IJ1884" s="2"/>
    </row>
    <row r="1885" spans="25:303" ht="15" customHeight="1" x14ac:dyDescent="0.25">
      <c r="Y1885" s="2"/>
      <c r="AP1885" s="2"/>
      <c r="GX1885" s="155"/>
      <c r="IJ1885" s="2"/>
      <c r="KN1885" s="2"/>
    </row>
    <row r="1886" spans="25:303" ht="15" customHeight="1" x14ac:dyDescent="0.25">
      <c r="Y1886" s="2"/>
      <c r="AP1886" s="2"/>
      <c r="GX1886" s="155"/>
      <c r="IJ1886" s="2"/>
      <c r="KN1886" s="2"/>
    </row>
    <row r="1887" spans="25:303" ht="15" customHeight="1" x14ac:dyDescent="0.25">
      <c r="Y1887" s="2"/>
      <c r="AP1887" s="2"/>
      <c r="GX1887" s="155"/>
      <c r="IJ1887" s="2"/>
      <c r="KN1887" s="2"/>
    </row>
    <row r="1888" spans="25:303" ht="15" customHeight="1" x14ac:dyDescent="0.25">
      <c r="Y1888" s="2"/>
      <c r="AP1888" s="2"/>
      <c r="GX1888" s="155"/>
      <c r="IJ1888" s="2"/>
      <c r="KN1888" s="2"/>
    </row>
    <row r="1889" spans="25:302" ht="15" customHeight="1" x14ac:dyDescent="0.25">
      <c r="Y1889" s="2"/>
      <c r="AP1889" s="2"/>
      <c r="GX1889" s="155"/>
      <c r="IJ1889" s="2"/>
      <c r="KN1889" s="2"/>
    </row>
    <row r="1890" spans="25:302" ht="15" customHeight="1" x14ac:dyDescent="0.25">
      <c r="Y1890" s="2"/>
      <c r="AP1890" s="2"/>
      <c r="GX1890" s="155"/>
      <c r="IJ1890" s="2"/>
      <c r="KN1890" s="2"/>
      <c r="KO1890" s="2"/>
    </row>
    <row r="1891" spans="25:302" ht="15" customHeight="1" x14ac:dyDescent="0.25">
      <c r="Y1891" s="2"/>
      <c r="AP1891" s="2"/>
      <c r="GX1891" s="155"/>
      <c r="IJ1891" s="2"/>
      <c r="KN1891" s="2"/>
      <c r="KO1891" s="2"/>
    </row>
    <row r="1892" spans="25:302" ht="15" customHeight="1" x14ac:dyDescent="0.25">
      <c r="Y1892" s="2"/>
      <c r="AP1892" s="2"/>
      <c r="GX1892" s="155"/>
      <c r="IJ1892" s="2"/>
      <c r="KN1892" s="2"/>
    </row>
    <row r="1893" spans="25:302" ht="15" customHeight="1" x14ac:dyDescent="0.25">
      <c r="Y1893" s="2"/>
      <c r="AP1893" s="2"/>
      <c r="GX1893" s="155"/>
      <c r="IJ1893" s="2"/>
      <c r="KN1893" s="2"/>
    </row>
    <row r="1894" spans="25:302" ht="15" customHeight="1" x14ac:dyDescent="0.25">
      <c r="Y1894" s="2"/>
      <c r="AP1894" s="2"/>
      <c r="GX1894" s="155"/>
      <c r="IJ1894" s="2"/>
      <c r="KN1894" s="2"/>
      <c r="KO1894" s="2"/>
    </row>
    <row r="1895" spans="25:302" ht="15" customHeight="1" x14ac:dyDescent="0.25">
      <c r="Y1895" s="2"/>
      <c r="AP1895" s="2"/>
      <c r="GX1895" s="155"/>
      <c r="IJ1895" s="2"/>
      <c r="KN1895" s="2"/>
      <c r="KO1895" s="2"/>
    </row>
    <row r="1896" spans="25:302" ht="15" customHeight="1" x14ac:dyDescent="0.25">
      <c r="Y1896" s="2"/>
      <c r="AP1896" s="2"/>
      <c r="GX1896" s="155"/>
      <c r="IJ1896" s="2"/>
      <c r="KN1896" s="2"/>
    </row>
    <row r="1897" spans="25:302" ht="15" customHeight="1" x14ac:dyDescent="0.25">
      <c r="Y1897" s="2"/>
      <c r="AP1897" s="2"/>
      <c r="GX1897" s="155"/>
      <c r="IJ1897" s="2"/>
      <c r="KN1897" s="2"/>
    </row>
    <row r="1898" spans="25:302" ht="15" customHeight="1" x14ac:dyDescent="0.25">
      <c r="Y1898" s="2"/>
      <c r="AP1898" s="2"/>
      <c r="GX1898" s="155"/>
      <c r="IJ1898" s="2"/>
      <c r="KN1898" s="2"/>
    </row>
    <row r="1899" spans="25:302" ht="15" customHeight="1" x14ac:dyDescent="0.25">
      <c r="Y1899" s="2"/>
      <c r="AP1899" s="2"/>
      <c r="GX1899" s="155"/>
      <c r="IJ1899" s="2"/>
      <c r="KN1899" s="2"/>
    </row>
    <row r="1900" spans="25:302" ht="15" customHeight="1" x14ac:dyDescent="0.25">
      <c r="Y1900" s="2"/>
      <c r="AP1900" s="2"/>
      <c r="GX1900" s="155"/>
      <c r="IJ1900" s="2"/>
      <c r="KN1900" s="2"/>
    </row>
    <row r="1901" spans="25:302" ht="15" customHeight="1" x14ac:dyDescent="0.25">
      <c r="Y1901" s="2"/>
      <c r="AP1901" s="2"/>
      <c r="GX1901" s="155"/>
      <c r="IJ1901" s="2"/>
      <c r="KN1901" s="2"/>
    </row>
    <row r="1902" spans="25:302" ht="15" customHeight="1" x14ac:dyDescent="0.25">
      <c r="Y1902" s="2"/>
      <c r="AP1902" s="2"/>
      <c r="GX1902" s="155"/>
      <c r="IJ1902" s="2"/>
      <c r="KN1902" s="2"/>
    </row>
    <row r="1903" spans="25:302" ht="15" customHeight="1" x14ac:dyDescent="0.25">
      <c r="Y1903" s="2"/>
      <c r="AP1903" s="2"/>
      <c r="GX1903" s="155"/>
      <c r="IJ1903" s="2"/>
      <c r="KN1903" s="2"/>
      <c r="KO1903" s="2"/>
    </row>
    <row r="1904" spans="25:302" ht="15" customHeight="1" x14ac:dyDescent="0.25">
      <c r="Y1904" s="2"/>
      <c r="AP1904" s="2"/>
      <c r="GX1904" s="155"/>
      <c r="IJ1904" s="2"/>
      <c r="KN1904" s="2"/>
      <c r="KO1904" s="2"/>
      <c r="KP1904" s="2"/>
    </row>
    <row r="1905" spans="17:311" ht="15" customHeight="1" x14ac:dyDescent="0.25">
      <c r="Y1905" s="2"/>
      <c r="AP1905" s="2"/>
      <c r="GX1905" s="155"/>
      <c r="IJ1905" s="2"/>
      <c r="KN1905" s="2"/>
      <c r="KO1905" s="2"/>
      <c r="KP1905" s="2"/>
      <c r="KQ1905" s="2"/>
      <c r="KR1905" s="2"/>
      <c r="KS1905" s="2"/>
    </row>
    <row r="1906" spans="17:311" ht="15" customHeight="1" x14ac:dyDescent="0.25">
      <c r="R1906" s="1"/>
      <c r="T1906" s="1"/>
      <c r="Y1906" s="2"/>
      <c r="AP1906" s="2"/>
      <c r="GX1906" s="155"/>
      <c r="IJ1906" s="2"/>
    </row>
    <row r="1907" spans="17:311" ht="15" customHeight="1" x14ac:dyDescent="0.25">
      <c r="Q1907" s="1"/>
      <c r="R1907" s="1"/>
      <c r="T1907" s="1"/>
      <c r="Y1907" s="2"/>
      <c r="AP1907" s="2"/>
      <c r="GX1907" s="155"/>
      <c r="IJ1907" s="2"/>
      <c r="KN1907" s="2"/>
      <c r="KO1907" s="2"/>
      <c r="KP1907" s="2"/>
      <c r="KQ1907" s="2"/>
      <c r="KR1907" s="2"/>
    </row>
    <row r="1908" spans="17:311" ht="15" customHeight="1" x14ac:dyDescent="0.25">
      <c r="Q1908" s="1"/>
      <c r="R1908" s="1"/>
      <c r="T1908" s="1"/>
      <c r="Y1908" s="2"/>
      <c r="AP1908" s="2"/>
      <c r="GX1908" s="155"/>
      <c r="IJ1908" s="2"/>
      <c r="KN1908" s="2"/>
      <c r="KO1908" s="2"/>
      <c r="KP1908" s="2"/>
    </row>
    <row r="1909" spans="17:311" ht="15" customHeight="1" x14ac:dyDescent="0.25">
      <c r="Q1909" s="1"/>
      <c r="R1909" s="1"/>
      <c r="T1909" s="1"/>
      <c r="Y1909" s="2"/>
      <c r="AP1909" s="2"/>
      <c r="GX1909" s="155"/>
      <c r="IJ1909" s="2"/>
      <c r="KN1909" s="2"/>
      <c r="KO1909" s="2"/>
    </row>
    <row r="1910" spans="17:311" ht="15" customHeight="1" x14ac:dyDescent="0.25">
      <c r="Q1910" s="1"/>
      <c r="R1910" s="1"/>
      <c r="T1910" s="1"/>
      <c r="Y1910" s="2"/>
      <c r="AP1910" s="2"/>
      <c r="GX1910" s="155"/>
      <c r="IJ1910" s="2"/>
      <c r="KN1910" s="2"/>
      <c r="KO1910" s="2"/>
    </row>
    <row r="1911" spans="17:311" ht="15" customHeight="1" x14ac:dyDescent="0.25">
      <c r="Q1911" s="1"/>
      <c r="R1911" s="1"/>
      <c r="T1911" s="1"/>
      <c r="Y1911" s="2"/>
      <c r="AP1911" s="2"/>
      <c r="GX1911" s="155"/>
      <c r="IJ1911" s="2"/>
      <c r="KN1911" s="2"/>
      <c r="KO1911" s="2"/>
    </row>
    <row r="1912" spans="17:311" ht="15" customHeight="1" x14ac:dyDescent="0.25">
      <c r="Q1912" s="1"/>
      <c r="R1912" s="1"/>
      <c r="T1912" s="1"/>
      <c r="Y1912" s="2"/>
      <c r="AP1912" s="2"/>
      <c r="GX1912" s="155"/>
      <c r="IJ1912" s="2"/>
      <c r="KN1912" s="2"/>
      <c r="KO1912" s="2"/>
      <c r="KP1912" s="2"/>
    </row>
    <row r="1913" spans="17:311" ht="15" customHeight="1" x14ac:dyDescent="0.25">
      <c r="Q1913" s="1"/>
      <c r="Y1913" s="2"/>
      <c r="AP1913" s="2"/>
      <c r="GX1913" s="155"/>
      <c r="IJ1913" s="2"/>
      <c r="KN1913" s="2"/>
      <c r="KO1913" s="2"/>
    </row>
    <row r="1914" spans="17:311" ht="15" customHeight="1" x14ac:dyDescent="0.25">
      <c r="Q1914" s="1"/>
      <c r="R1914" s="1"/>
      <c r="T1914" s="1"/>
      <c r="Y1914" s="2"/>
      <c r="AP1914" s="2"/>
      <c r="GX1914" s="155"/>
      <c r="IJ1914" s="2"/>
      <c r="KN1914" s="2"/>
    </row>
    <row r="1915" spans="17:311" ht="15" customHeight="1" x14ac:dyDescent="0.25">
      <c r="Q1915" s="1"/>
      <c r="R1915" s="1"/>
      <c r="T1915" s="1"/>
      <c r="Y1915" s="2"/>
      <c r="AP1915" s="2"/>
      <c r="GX1915" s="155"/>
      <c r="IJ1915" s="2"/>
    </row>
    <row r="1916" spans="17:311" ht="15" customHeight="1" x14ac:dyDescent="0.25">
      <c r="Q1916" s="1"/>
      <c r="R1916" s="1"/>
      <c r="T1916" s="1"/>
      <c r="Y1916" s="2"/>
      <c r="AP1916" s="2"/>
      <c r="GX1916" s="155"/>
      <c r="IJ1916" s="2"/>
    </row>
    <row r="1917" spans="17:311" ht="15" customHeight="1" x14ac:dyDescent="0.25">
      <c r="Q1917" s="1"/>
      <c r="R1917" s="1"/>
      <c r="T1917" s="1"/>
      <c r="Y1917" s="2"/>
      <c r="AP1917" s="2"/>
      <c r="GX1917" s="155"/>
      <c r="IJ1917" s="2"/>
      <c r="KN1917" s="2"/>
      <c r="KO1917" s="2"/>
      <c r="KP1917" s="2"/>
      <c r="KQ1917" s="2"/>
      <c r="KR1917" s="2"/>
      <c r="KS1917" s="2"/>
      <c r="KT1917" s="2"/>
      <c r="KU1917" s="2"/>
      <c r="KV1917" s="2"/>
      <c r="KW1917" s="2"/>
      <c r="KX1917" s="2"/>
      <c r="KY1917" s="2"/>
    </row>
    <row r="1918" spans="17:311" ht="15" customHeight="1" x14ac:dyDescent="0.25">
      <c r="Q1918" s="1"/>
      <c r="R1918" s="1"/>
      <c r="T1918" s="1"/>
      <c r="Y1918" s="2"/>
      <c r="AP1918" s="2"/>
      <c r="GX1918" s="155"/>
      <c r="IJ1918" s="2"/>
      <c r="KN1918" s="2"/>
      <c r="KO1918" s="2"/>
      <c r="KP1918" s="2"/>
      <c r="KQ1918" s="2"/>
    </row>
    <row r="1919" spans="17:311" ht="15" customHeight="1" x14ac:dyDescent="0.25">
      <c r="Q1919" s="1"/>
      <c r="R1919" s="1"/>
      <c r="T1919" s="1"/>
      <c r="Y1919" s="2"/>
      <c r="AP1919" s="2"/>
      <c r="GX1919" s="155"/>
      <c r="IJ1919" s="2"/>
      <c r="KN1919" s="2"/>
    </row>
    <row r="1920" spans="17:311" ht="15" customHeight="1" x14ac:dyDescent="0.25">
      <c r="Q1920" s="1"/>
      <c r="R1920" s="1"/>
      <c r="T1920" s="1"/>
      <c r="Y1920" s="2"/>
      <c r="AP1920" s="2"/>
      <c r="GX1920" s="155"/>
      <c r="IJ1920" s="2"/>
      <c r="KN1920" s="2"/>
    </row>
    <row r="1921" spans="17:303" ht="15" customHeight="1" x14ac:dyDescent="0.25">
      <c r="Q1921" s="1"/>
      <c r="R1921" s="1"/>
      <c r="T1921" s="1"/>
      <c r="Y1921" s="2"/>
      <c r="AP1921" s="2"/>
      <c r="GX1921" s="155"/>
      <c r="IJ1921" s="2"/>
      <c r="KN1921" s="2"/>
    </row>
    <row r="1922" spans="17:303" ht="15" customHeight="1" x14ac:dyDescent="0.25">
      <c r="Q1922" s="1"/>
      <c r="R1922" s="1"/>
      <c r="T1922" s="1"/>
      <c r="Y1922" s="2"/>
      <c r="AP1922" s="2"/>
      <c r="GX1922" s="155"/>
      <c r="IJ1922" s="2"/>
    </row>
    <row r="1923" spans="17:303" ht="15" customHeight="1" x14ac:dyDescent="0.25">
      <c r="Q1923" s="1"/>
      <c r="R1923" s="1"/>
      <c r="T1923" s="1"/>
      <c r="Y1923" s="2"/>
      <c r="AP1923" s="2"/>
      <c r="GX1923" s="155"/>
      <c r="IJ1923" s="2"/>
      <c r="KN1923" s="2"/>
      <c r="KO1923" s="2"/>
    </row>
    <row r="1924" spans="17:303" ht="15" customHeight="1" x14ac:dyDescent="0.25">
      <c r="Q1924" s="1"/>
      <c r="R1924" s="1"/>
      <c r="T1924" s="1"/>
      <c r="Y1924" s="2"/>
      <c r="AP1924" s="2"/>
      <c r="GX1924" s="155"/>
      <c r="IJ1924" s="2"/>
      <c r="KN1924" s="2"/>
    </row>
    <row r="1925" spans="17:303" ht="15" customHeight="1" x14ac:dyDescent="0.25">
      <c r="Q1925" s="1"/>
      <c r="R1925" s="1"/>
      <c r="T1925" s="1"/>
      <c r="Y1925" s="2"/>
      <c r="AP1925" s="2"/>
      <c r="GX1925" s="155"/>
      <c r="IJ1925" s="2"/>
      <c r="KN1925" s="2"/>
    </row>
    <row r="1926" spans="17:303" ht="15" customHeight="1" x14ac:dyDescent="0.25">
      <c r="Q1926" s="1"/>
      <c r="R1926" s="1"/>
      <c r="T1926" s="1"/>
      <c r="Y1926" s="2"/>
      <c r="AP1926" s="2"/>
      <c r="GX1926" s="155"/>
      <c r="IJ1926" s="2"/>
      <c r="KN1926" s="2"/>
    </row>
    <row r="1927" spans="17:303" ht="15" customHeight="1" x14ac:dyDescent="0.25">
      <c r="Q1927" s="1"/>
      <c r="R1927" s="1"/>
      <c r="T1927" s="1"/>
      <c r="Y1927" s="2"/>
      <c r="AP1927" s="2"/>
      <c r="GX1927" s="155"/>
      <c r="IJ1927" s="2"/>
      <c r="KN1927" s="2"/>
    </row>
    <row r="1928" spans="17:303" ht="15" customHeight="1" x14ac:dyDescent="0.25">
      <c r="Q1928" s="1"/>
      <c r="R1928" s="1"/>
      <c r="T1928" s="1"/>
      <c r="Y1928" s="2"/>
      <c r="AP1928" s="2"/>
      <c r="GX1928" s="155"/>
      <c r="IJ1928" s="2"/>
      <c r="KN1928" s="2"/>
      <c r="KO1928" s="2"/>
      <c r="KP1928" s="2"/>
      <c r="KQ1928" s="2"/>
    </row>
    <row r="1929" spans="17:303" ht="15" customHeight="1" x14ac:dyDescent="0.25">
      <c r="Q1929" s="1"/>
      <c r="R1929" s="1"/>
      <c r="T1929" s="1"/>
      <c r="Y1929" s="2"/>
      <c r="AP1929" s="2"/>
      <c r="GX1929" s="155"/>
      <c r="IJ1929" s="2"/>
      <c r="KN1929" s="2"/>
    </row>
    <row r="1930" spans="17:303" ht="15" customHeight="1" x14ac:dyDescent="0.25">
      <c r="Q1930" s="1"/>
      <c r="R1930" s="1"/>
      <c r="T1930" s="1"/>
      <c r="Y1930" s="2"/>
      <c r="AP1930" s="2"/>
      <c r="GX1930" s="155"/>
      <c r="IJ1930" s="2"/>
      <c r="KN1930" s="2"/>
    </row>
    <row r="1931" spans="17:303" ht="15" customHeight="1" x14ac:dyDescent="0.25">
      <c r="Q1931" s="1"/>
      <c r="R1931" s="1"/>
      <c r="T1931" s="1"/>
      <c r="Y1931" s="2"/>
      <c r="AP1931" s="2"/>
      <c r="GX1931" s="155"/>
      <c r="IJ1931" s="2"/>
      <c r="KN1931" s="2"/>
    </row>
    <row r="1932" spans="17:303" ht="15" customHeight="1" x14ac:dyDescent="0.25">
      <c r="Q1932" s="1"/>
      <c r="Y1932" s="2"/>
      <c r="AP1932" s="2"/>
      <c r="GX1932" s="155"/>
      <c r="IJ1932" s="2"/>
      <c r="KN1932" s="2"/>
      <c r="KO1932" s="2"/>
    </row>
    <row r="1933" spans="17:303" ht="15" customHeight="1" x14ac:dyDescent="0.25">
      <c r="Q1933" s="1"/>
      <c r="R1933" s="1"/>
      <c r="T1933" s="1"/>
      <c r="Y1933" s="2"/>
      <c r="AP1933" s="2"/>
      <c r="GX1933" s="155"/>
      <c r="IJ1933" s="2"/>
      <c r="KN1933" s="2"/>
      <c r="KO1933" s="2"/>
    </row>
    <row r="1934" spans="17:303" ht="15" customHeight="1" x14ac:dyDescent="0.25">
      <c r="Q1934" s="1"/>
      <c r="R1934" s="1"/>
      <c r="T1934" s="1"/>
      <c r="Y1934" s="2"/>
      <c r="AP1934" s="2"/>
      <c r="GX1934" s="155"/>
      <c r="IJ1934" s="2"/>
      <c r="KN1934" s="2"/>
      <c r="KO1934" s="2"/>
    </row>
    <row r="1935" spans="17:303" ht="15" customHeight="1" x14ac:dyDescent="0.25">
      <c r="Q1935" s="1"/>
      <c r="R1935" s="1"/>
      <c r="T1935" s="1"/>
      <c r="Y1935" s="2"/>
      <c r="AP1935" s="2"/>
      <c r="GX1935" s="155"/>
      <c r="IJ1935" s="2"/>
    </row>
    <row r="1936" spans="17:303" ht="15" customHeight="1" x14ac:dyDescent="0.25">
      <c r="Q1936" s="1"/>
      <c r="R1936" s="1"/>
      <c r="T1936" s="1"/>
      <c r="Y1936" s="2"/>
      <c r="AP1936" s="2"/>
      <c r="GX1936" s="155"/>
      <c r="IJ1936" s="2"/>
      <c r="KN1936" s="2"/>
    </row>
    <row r="1937" spans="17:302" ht="15" customHeight="1" x14ac:dyDescent="0.25">
      <c r="Q1937" s="1"/>
      <c r="R1937" s="1"/>
      <c r="T1937" s="1"/>
      <c r="Y1937" s="2"/>
      <c r="AP1937" s="2"/>
      <c r="GX1937" s="155"/>
      <c r="IJ1937" s="2"/>
      <c r="KN1937" s="2"/>
    </row>
    <row r="1938" spans="17:302" ht="15" customHeight="1" x14ac:dyDescent="0.25">
      <c r="Q1938" s="1"/>
      <c r="Y1938" s="2"/>
      <c r="AP1938" s="2"/>
      <c r="GX1938" s="155"/>
      <c r="IJ1938" s="2"/>
      <c r="KN1938" s="2"/>
      <c r="KO1938" s="2"/>
    </row>
    <row r="1939" spans="17:302" ht="15" customHeight="1" x14ac:dyDescent="0.25">
      <c r="Q1939" s="1"/>
      <c r="R1939" s="1"/>
      <c r="T1939" s="1"/>
      <c r="Y1939" s="2"/>
      <c r="AP1939" s="2"/>
      <c r="GX1939" s="155"/>
      <c r="IJ1939" s="2"/>
      <c r="KN1939" s="2"/>
    </row>
    <row r="1940" spans="17:302" ht="15" customHeight="1" x14ac:dyDescent="0.25">
      <c r="Q1940" s="1"/>
      <c r="R1940" s="1"/>
      <c r="T1940" s="1"/>
      <c r="Y1940" s="2"/>
      <c r="AP1940" s="2"/>
      <c r="GX1940" s="155"/>
      <c r="IJ1940" s="2"/>
      <c r="KN1940" s="2"/>
    </row>
    <row r="1941" spans="17:302" ht="15" customHeight="1" x14ac:dyDescent="0.25">
      <c r="Q1941" s="1"/>
      <c r="R1941" s="1"/>
      <c r="T1941" s="1"/>
      <c r="Y1941" s="2"/>
      <c r="AP1941" s="2"/>
      <c r="GX1941" s="155"/>
      <c r="IJ1941" s="2"/>
      <c r="KN1941" s="2"/>
    </row>
    <row r="1942" spans="17:302" ht="15" customHeight="1" x14ac:dyDescent="0.25">
      <c r="Q1942" s="1"/>
      <c r="R1942" s="1"/>
      <c r="T1942" s="1"/>
      <c r="Y1942" s="2"/>
      <c r="AP1942" s="2"/>
      <c r="GX1942" s="155"/>
      <c r="IJ1942" s="2"/>
      <c r="KN1942" s="2"/>
      <c r="KO1942" s="2"/>
    </row>
    <row r="1943" spans="17:302" ht="15" customHeight="1" x14ac:dyDescent="0.25">
      <c r="Q1943" s="1"/>
      <c r="R1943" s="1"/>
      <c r="T1943" s="1"/>
      <c r="Y1943" s="2"/>
      <c r="AP1943" s="2"/>
      <c r="GX1943" s="155"/>
      <c r="IJ1943" s="2"/>
      <c r="KN1943" s="2"/>
      <c r="KO1943" s="2"/>
    </row>
    <row r="1944" spans="17:302" ht="15" customHeight="1" x14ac:dyDescent="0.25">
      <c r="Q1944" s="1"/>
      <c r="R1944" s="1"/>
      <c r="T1944" s="1"/>
      <c r="Y1944" s="2"/>
      <c r="AP1944" s="2"/>
      <c r="GX1944" s="155"/>
      <c r="IJ1944" s="2"/>
      <c r="KN1944" s="2"/>
      <c r="KO1944" s="2"/>
    </row>
    <row r="1945" spans="17:302" ht="15" customHeight="1" x14ac:dyDescent="0.25">
      <c r="Q1945" s="1"/>
      <c r="R1945" s="1"/>
      <c r="T1945" s="1"/>
      <c r="Y1945" s="2"/>
      <c r="AP1945" s="2"/>
      <c r="GX1945" s="155"/>
      <c r="IJ1945" s="2"/>
    </row>
    <row r="1946" spans="17:302" ht="15" customHeight="1" x14ac:dyDescent="0.25">
      <c r="Q1946" s="1"/>
      <c r="R1946" s="1"/>
      <c r="T1946" s="1"/>
      <c r="Y1946" s="2"/>
      <c r="AP1946" s="2"/>
      <c r="GX1946" s="155"/>
      <c r="IJ1946" s="2"/>
    </row>
    <row r="1947" spans="17:302" ht="15" customHeight="1" x14ac:dyDescent="0.25">
      <c r="Q1947" s="1"/>
      <c r="R1947" s="1"/>
      <c r="T1947" s="1"/>
      <c r="Y1947" s="2"/>
      <c r="AP1947" s="2"/>
      <c r="GX1947" s="155"/>
      <c r="IJ1947" s="2"/>
      <c r="KN1947" s="2"/>
      <c r="KO1947" s="2"/>
      <c r="KP1947" s="2"/>
    </row>
    <row r="1948" spans="17:302" ht="15" customHeight="1" x14ac:dyDescent="0.25">
      <c r="Q1948" s="1"/>
      <c r="R1948" s="1"/>
      <c r="T1948" s="1"/>
      <c r="Y1948" s="2"/>
      <c r="AP1948" s="2"/>
      <c r="GX1948" s="155"/>
      <c r="IJ1948" s="2"/>
      <c r="KN1948" s="2"/>
      <c r="KO1948" s="2"/>
    </row>
    <row r="1949" spans="17:302" ht="15" customHeight="1" x14ac:dyDescent="0.25">
      <c r="Q1949" s="1"/>
      <c r="R1949" s="1"/>
      <c r="T1949" s="1"/>
      <c r="Y1949" s="2"/>
      <c r="AP1949" s="2"/>
      <c r="GX1949" s="155"/>
      <c r="IJ1949" s="2"/>
      <c r="KN1949" s="2"/>
    </row>
    <row r="1950" spans="17:302" ht="15" customHeight="1" x14ac:dyDescent="0.25">
      <c r="Q1950" s="1"/>
      <c r="R1950" s="1"/>
      <c r="T1950" s="1"/>
      <c r="Y1950" s="2"/>
      <c r="AP1950" s="2"/>
      <c r="GX1950" s="155"/>
      <c r="IJ1950" s="2"/>
      <c r="KN1950" s="2"/>
    </row>
    <row r="1951" spans="17:302" ht="15" customHeight="1" x14ac:dyDescent="0.25">
      <c r="Q1951" s="1"/>
      <c r="R1951" s="1"/>
      <c r="T1951" s="1"/>
      <c r="Y1951" s="2"/>
      <c r="AP1951" s="2"/>
      <c r="GX1951" s="155"/>
      <c r="IJ1951" s="2"/>
      <c r="KN1951" s="2"/>
    </row>
    <row r="1952" spans="17:302" ht="15" customHeight="1" x14ac:dyDescent="0.25">
      <c r="Q1952" s="1"/>
      <c r="R1952" s="1"/>
      <c r="T1952" s="1"/>
      <c r="Y1952" s="2"/>
      <c r="AP1952" s="2"/>
      <c r="GX1952" s="155"/>
      <c r="IJ1952" s="2"/>
      <c r="KN1952" s="2"/>
      <c r="KO1952" s="2"/>
    </row>
    <row r="1953" spans="17:303" ht="15" customHeight="1" x14ac:dyDescent="0.25">
      <c r="Q1953" s="1"/>
      <c r="R1953" s="1"/>
      <c r="T1953" s="1"/>
      <c r="Y1953" s="2"/>
      <c r="AP1953" s="2"/>
      <c r="GX1953" s="155"/>
      <c r="IJ1953" s="2"/>
      <c r="KN1953" s="2"/>
    </row>
    <row r="1954" spans="17:303" ht="15" customHeight="1" x14ac:dyDescent="0.25">
      <c r="Q1954" s="1"/>
      <c r="R1954" s="1"/>
      <c r="T1954" s="1"/>
      <c r="Y1954" s="2"/>
      <c r="AP1954" s="2"/>
      <c r="GX1954" s="155"/>
      <c r="IJ1954" s="2"/>
      <c r="KN1954" s="2"/>
    </row>
    <row r="1955" spans="17:303" ht="15" customHeight="1" x14ac:dyDescent="0.25">
      <c r="Q1955" s="1"/>
      <c r="R1955" s="1"/>
      <c r="T1955" s="1"/>
      <c r="Y1955" s="2"/>
      <c r="AP1955" s="2"/>
      <c r="GX1955" s="155"/>
      <c r="IJ1955" s="2"/>
    </row>
    <row r="1956" spans="17:303" ht="15" customHeight="1" x14ac:dyDescent="0.25">
      <c r="Q1956" s="1"/>
      <c r="R1956" s="1"/>
      <c r="T1956" s="1"/>
      <c r="Y1956" s="2"/>
      <c r="AP1956" s="2"/>
      <c r="GX1956" s="155"/>
      <c r="IJ1956" s="2"/>
      <c r="KN1956" s="2"/>
      <c r="KO1956" s="2"/>
    </row>
    <row r="1957" spans="17:303" ht="15" customHeight="1" x14ac:dyDescent="0.25">
      <c r="Q1957" s="1"/>
      <c r="R1957" s="1"/>
      <c r="T1957" s="1"/>
      <c r="Y1957" s="2"/>
      <c r="AP1957" s="2"/>
      <c r="GX1957" s="155"/>
      <c r="IJ1957" s="2"/>
      <c r="KN1957" s="2"/>
    </row>
    <row r="1958" spans="17:303" ht="15" customHeight="1" x14ac:dyDescent="0.25">
      <c r="Q1958" s="1"/>
      <c r="R1958" s="1"/>
      <c r="T1958" s="1"/>
      <c r="Y1958" s="2"/>
      <c r="AP1958" s="2"/>
      <c r="GX1958" s="155"/>
      <c r="IJ1958" s="2"/>
      <c r="KN1958" s="2"/>
    </row>
    <row r="1959" spans="17:303" ht="15" customHeight="1" x14ac:dyDescent="0.25">
      <c r="Q1959" s="1"/>
      <c r="R1959" s="1"/>
      <c r="T1959" s="1"/>
      <c r="Y1959" s="2"/>
      <c r="AP1959" s="2"/>
      <c r="GX1959" s="155"/>
      <c r="IJ1959" s="2"/>
      <c r="KN1959" s="2"/>
    </row>
    <row r="1960" spans="17:303" ht="15" customHeight="1" x14ac:dyDescent="0.25">
      <c r="Q1960" s="1"/>
      <c r="R1960" s="1"/>
      <c r="T1960" s="1"/>
      <c r="Y1960" s="2"/>
      <c r="AP1960" s="2"/>
      <c r="GX1960" s="155"/>
      <c r="IJ1960" s="2"/>
      <c r="KN1960" s="2"/>
    </row>
    <row r="1961" spans="17:303" ht="15" customHeight="1" x14ac:dyDescent="0.25">
      <c r="Q1961" s="1"/>
      <c r="R1961" s="1"/>
      <c r="T1961" s="1"/>
      <c r="Y1961" s="2"/>
      <c r="AP1961" s="2"/>
      <c r="GX1961" s="155"/>
      <c r="IJ1961" s="2"/>
    </row>
    <row r="1962" spans="17:303" ht="15" customHeight="1" x14ac:dyDescent="0.25">
      <c r="Q1962" s="1"/>
      <c r="R1962" s="1"/>
      <c r="T1962" s="1"/>
      <c r="Y1962" s="2"/>
      <c r="AP1962" s="2"/>
      <c r="GX1962" s="155"/>
      <c r="IJ1962" s="2"/>
      <c r="KN1962" s="2"/>
      <c r="KO1962" s="2"/>
    </row>
    <row r="1963" spans="17:303" ht="15" customHeight="1" x14ac:dyDescent="0.25">
      <c r="Q1963" s="1"/>
      <c r="R1963" s="1"/>
      <c r="T1963" s="1"/>
      <c r="Y1963" s="2"/>
      <c r="AP1963" s="2"/>
      <c r="GX1963" s="155"/>
      <c r="IJ1963" s="2"/>
      <c r="KN1963" s="2"/>
      <c r="KO1963" s="2"/>
      <c r="KP1963" s="2"/>
      <c r="KQ1963" s="2"/>
    </row>
    <row r="1964" spans="17:303" ht="15" customHeight="1" x14ac:dyDescent="0.25">
      <c r="Q1964" s="1"/>
      <c r="R1964" s="1"/>
      <c r="T1964" s="1"/>
      <c r="Y1964" s="2"/>
      <c r="AP1964" s="2"/>
      <c r="GX1964" s="155"/>
      <c r="IJ1964" s="2"/>
      <c r="KN1964" s="2"/>
    </row>
    <row r="1965" spans="17:303" ht="15" customHeight="1" x14ac:dyDescent="0.25">
      <c r="Q1965" s="1"/>
      <c r="R1965" s="1"/>
      <c r="T1965" s="1"/>
      <c r="Y1965" s="2"/>
      <c r="AP1965" s="2"/>
      <c r="GX1965" s="155"/>
      <c r="IJ1965" s="2"/>
      <c r="KN1965" s="2"/>
    </row>
    <row r="1966" spans="17:303" ht="15" customHeight="1" x14ac:dyDescent="0.25">
      <c r="Q1966" s="1"/>
      <c r="R1966" s="1"/>
      <c r="T1966" s="1"/>
      <c r="Y1966" s="2"/>
      <c r="AP1966" s="2"/>
      <c r="GX1966" s="155"/>
      <c r="IJ1966" s="2"/>
      <c r="KN1966" s="2"/>
      <c r="KO1966" s="2"/>
      <c r="KP1966" s="2"/>
    </row>
    <row r="1967" spans="17:303" ht="15" customHeight="1" x14ac:dyDescent="0.25">
      <c r="Q1967" s="1"/>
      <c r="R1967" s="1"/>
      <c r="T1967" s="1"/>
      <c r="Y1967" s="2"/>
      <c r="AP1967" s="2"/>
      <c r="GX1967" s="155"/>
      <c r="IJ1967" s="2"/>
      <c r="KN1967" s="2"/>
    </row>
    <row r="1968" spans="17:303" ht="15" customHeight="1" x14ac:dyDescent="0.25">
      <c r="Q1968" s="1"/>
      <c r="R1968" s="1"/>
      <c r="T1968" s="1"/>
      <c r="Y1968" s="2"/>
      <c r="AP1968" s="2"/>
      <c r="GX1968" s="155"/>
      <c r="IJ1968" s="2"/>
    </row>
    <row r="1969" spans="17:302" ht="15" customHeight="1" x14ac:dyDescent="0.25">
      <c r="Q1969" s="1"/>
      <c r="R1969" s="1"/>
      <c r="T1969" s="1"/>
      <c r="Y1969" s="2"/>
      <c r="AP1969" s="2"/>
      <c r="GX1969" s="155"/>
      <c r="IJ1969" s="2"/>
      <c r="KN1969" s="2"/>
    </row>
    <row r="1970" spans="17:302" ht="15" customHeight="1" x14ac:dyDescent="0.25">
      <c r="Q1970" s="1"/>
      <c r="R1970" s="1"/>
      <c r="T1970" s="1"/>
      <c r="Y1970" s="2"/>
      <c r="AP1970" s="2"/>
      <c r="GX1970" s="155"/>
      <c r="IJ1970" s="2"/>
      <c r="KN1970" s="2"/>
    </row>
    <row r="1971" spans="17:302" ht="15" customHeight="1" x14ac:dyDescent="0.25">
      <c r="Q1971" s="1"/>
      <c r="R1971" s="1"/>
      <c r="Y1971" s="2"/>
      <c r="AP1971" s="2"/>
      <c r="GX1971" s="155"/>
      <c r="IJ1971" s="2"/>
      <c r="KN1971" s="2"/>
    </row>
    <row r="1972" spans="17:302" ht="15" customHeight="1" x14ac:dyDescent="0.25">
      <c r="Q1972" s="1"/>
      <c r="R1972" s="1"/>
      <c r="T1972" s="1"/>
      <c r="Y1972" s="2"/>
      <c r="AP1972" s="2"/>
      <c r="GX1972" s="155"/>
      <c r="IJ1972" s="2"/>
      <c r="KN1972" s="2"/>
    </row>
    <row r="1973" spans="17:302" ht="15" customHeight="1" x14ac:dyDescent="0.25">
      <c r="Q1973" s="1"/>
      <c r="R1973" s="1"/>
      <c r="T1973" s="1"/>
      <c r="Y1973" s="2"/>
      <c r="AP1973" s="2"/>
      <c r="GX1973" s="155"/>
      <c r="IJ1973" s="2"/>
    </row>
    <row r="1974" spans="17:302" ht="15" customHeight="1" x14ac:dyDescent="0.25">
      <c r="Q1974" s="1"/>
      <c r="R1974" s="1"/>
      <c r="T1974" s="1"/>
      <c r="Y1974" s="2"/>
      <c r="AP1974" s="2"/>
      <c r="GX1974" s="155"/>
      <c r="IJ1974" s="2"/>
      <c r="KN1974" s="2"/>
    </row>
    <row r="1975" spans="17:302" ht="15" customHeight="1" x14ac:dyDescent="0.25">
      <c r="Q1975" s="1"/>
      <c r="R1975" s="1"/>
      <c r="T1975" s="1"/>
      <c r="Y1975" s="2"/>
      <c r="AP1975" s="2"/>
      <c r="GX1975" s="155"/>
      <c r="IJ1975" s="2"/>
      <c r="KN1975" s="2"/>
    </row>
    <row r="1976" spans="17:302" ht="15" customHeight="1" x14ac:dyDescent="0.25">
      <c r="Q1976" s="1"/>
      <c r="R1976" s="1"/>
      <c r="T1976" s="1"/>
      <c r="Y1976" s="2"/>
      <c r="AP1976" s="2"/>
      <c r="GX1976" s="155"/>
      <c r="IJ1976" s="2"/>
    </row>
    <row r="1977" spans="17:302" ht="15" customHeight="1" x14ac:dyDescent="0.25">
      <c r="Q1977" s="1"/>
      <c r="R1977" s="1"/>
      <c r="T1977" s="1"/>
      <c r="Y1977" s="2"/>
      <c r="AP1977" s="2"/>
      <c r="GX1977" s="155"/>
      <c r="IJ1977" s="2"/>
    </row>
    <row r="1978" spans="17:302" ht="15" customHeight="1" x14ac:dyDescent="0.25">
      <c r="Q1978" s="1"/>
      <c r="R1978" s="1"/>
      <c r="T1978" s="1"/>
      <c r="Y1978" s="2"/>
      <c r="AP1978" s="2"/>
      <c r="GX1978" s="155"/>
      <c r="IJ1978" s="2"/>
    </row>
    <row r="1979" spans="17:302" ht="15" customHeight="1" x14ac:dyDescent="0.25">
      <c r="Q1979" s="1"/>
      <c r="R1979" s="1"/>
      <c r="T1979" s="1"/>
      <c r="Y1979" s="2"/>
      <c r="AP1979" s="2"/>
      <c r="GX1979" s="155"/>
      <c r="IJ1979" s="2"/>
      <c r="KN1979" s="2"/>
      <c r="KO1979" s="2"/>
    </row>
    <row r="1980" spans="17:302" ht="15" customHeight="1" x14ac:dyDescent="0.25">
      <c r="Q1980" s="1"/>
      <c r="R1980" s="1"/>
      <c r="T1980" s="1"/>
      <c r="Y1980" s="2"/>
      <c r="AP1980" s="2"/>
      <c r="GX1980" s="155"/>
      <c r="IJ1980" s="2"/>
      <c r="KN1980" s="2"/>
      <c r="KO1980" s="2"/>
      <c r="KP1980" s="2"/>
    </row>
    <row r="1981" spans="17:302" ht="15" customHeight="1" x14ac:dyDescent="0.25">
      <c r="Q1981" s="1"/>
      <c r="R1981" s="1"/>
      <c r="T1981" s="1"/>
      <c r="Y1981" s="2"/>
      <c r="AP1981" s="2"/>
      <c r="GX1981" s="155"/>
      <c r="IJ1981" s="2"/>
      <c r="KN1981" s="2"/>
    </row>
    <row r="1982" spans="17:302" ht="15" customHeight="1" x14ac:dyDescent="0.25">
      <c r="Q1982" s="1"/>
      <c r="R1982" s="1"/>
      <c r="T1982" s="1"/>
      <c r="Y1982" s="2"/>
      <c r="AP1982" s="2"/>
      <c r="GX1982" s="155"/>
      <c r="IJ1982" s="2"/>
      <c r="KN1982" s="2"/>
    </row>
    <row r="1983" spans="17:302" ht="15" customHeight="1" x14ac:dyDescent="0.25">
      <c r="Q1983" s="1"/>
      <c r="R1983" s="1"/>
      <c r="T1983" s="1"/>
      <c r="Y1983" s="2"/>
      <c r="AP1983" s="2"/>
      <c r="GX1983" s="155"/>
      <c r="IJ1983" s="2"/>
    </row>
    <row r="1984" spans="17:302" ht="15" customHeight="1" x14ac:dyDescent="0.25">
      <c r="Q1984" s="1"/>
      <c r="R1984" s="1"/>
      <c r="T1984" s="1"/>
      <c r="Y1984" s="2"/>
      <c r="AP1984" s="2"/>
      <c r="GX1984" s="155"/>
      <c r="IJ1984" s="2"/>
    </row>
    <row r="1985" spans="17:301" ht="15" customHeight="1" x14ac:dyDescent="0.25">
      <c r="Q1985" s="1"/>
      <c r="R1985" s="1"/>
      <c r="T1985" s="1"/>
      <c r="Y1985" s="2"/>
      <c r="AP1985" s="2"/>
      <c r="GX1985" s="155"/>
      <c r="IJ1985" s="2"/>
    </row>
    <row r="1986" spans="17:301" ht="15" customHeight="1" x14ac:dyDescent="0.25">
      <c r="Q1986" s="1"/>
      <c r="R1986" s="1"/>
      <c r="T1986" s="1"/>
      <c r="Y1986" s="2"/>
      <c r="AP1986" s="2"/>
      <c r="GX1986" s="155"/>
      <c r="IJ1986" s="2"/>
    </row>
    <row r="1987" spans="17:301" ht="15" customHeight="1" x14ac:dyDescent="0.25">
      <c r="Q1987" s="1"/>
      <c r="R1987" s="1"/>
      <c r="T1987" s="1"/>
      <c r="Y1987" s="2"/>
      <c r="AP1987" s="2"/>
      <c r="GX1987" s="155"/>
      <c r="IJ1987" s="2"/>
    </row>
    <row r="1988" spans="17:301" ht="15" customHeight="1" x14ac:dyDescent="0.25">
      <c r="Q1988" s="1"/>
      <c r="R1988" s="1"/>
      <c r="T1988" s="1"/>
      <c r="Y1988" s="2"/>
      <c r="AP1988" s="2"/>
      <c r="GX1988" s="155"/>
      <c r="IJ1988" s="2"/>
    </row>
    <row r="1989" spans="17:301" ht="15" customHeight="1" x14ac:dyDescent="0.25">
      <c r="Q1989" s="1"/>
      <c r="R1989" s="1"/>
      <c r="T1989" s="1"/>
      <c r="Y1989" s="2"/>
      <c r="AP1989" s="2"/>
      <c r="GX1989" s="155"/>
      <c r="IJ1989" s="2"/>
    </row>
    <row r="1990" spans="17:301" ht="15" customHeight="1" x14ac:dyDescent="0.25">
      <c r="Q1990" s="1"/>
      <c r="R1990" s="1"/>
      <c r="T1990" s="1"/>
      <c r="Y1990" s="2"/>
      <c r="AP1990" s="2"/>
      <c r="GX1990" s="155"/>
      <c r="IJ1990" s="2"/>
    </row>
    <row r="1991" spans="17:301" ht="15" customHeight="1" x14ac:dyDescent="0.25">
      <c r="Q1991" s="1"/>
      <c r="R1991" s="1"/>
      <c r="T1991" s="1"/>
      <c r="Y1991" s="2"/>
      <c r="AP1991" s="2"/>
      <c r="GX1991" s="155"/>
      <c r="IJ1991" s="2"/>
    </row>
    <row r="1992" spans="17:301" ht="15" customHeight="1" x14ac:dyDescent="0.25">
      <c r="Q1992" s="1"/>
      <c r="R1992" s="1"/>
      <c r="T1992" s="1"/>
      <c r="Y1992" s="2"/>
      <c r="AP1992" s="2"/>
      <c r="GX1992" s="155"/>
      <c r="IJ1992" s="2"/>
      <c r="KN1992" s="2"/>
    </row>
    <row r="1993" spans="17:301" ht="15" customHeight="1" x14ac:dyDescent="0.25">
      <c r="Q1993" s="1"/>
      <c r="R1993" s="1"/>
      <c r="T1993" s="1"/>
      <c r="Y1993" s="2"/>
      <c r="AP1993" s="2"/>
      <c r="GX1993" s="155"/>
      <c r="IJ1993" s="2"/>
      <c r="KN1993" s="2"/>
      <c r="KO1993" s="2"/>
    </row>
    <row r="1994" spans="17:301" ht="15" customHeight="1" x14ac:dyDescent="0.25">
      <c r="Q1994" s="1"/>
      <c r="R1994" s="1"/>
      <c r="T1994" s="1"/>
      <c r="Y1994" s="2"/>
      <c r="AP1994" s="2"/>
      <c r="GX1994" s="155"/>
      <c r="IJ1994" s="2"/>
      <c r="KN1994" s="2"/>
      <c r="KO1994" s="2"/>
    </row>
    <row r="1995" spans="17:301" ht="15" customHeight="1" x14ac:dyDescent="0.25">
      <c r="Q1995" s="1"/>
      <c r="R1995" s="1"/>
      <c r="T1995" s="1"/>
      <c r="Y1995" s="2"/>
      <c r="AP1995" s="2"/>
      <c r="GX1995" s="155"/>
      <c r="IJ1995" s="2"/>
    </row>
    <row r="1996" spans="17:301" ht="15" customHeight="1" x14ac:dyDescent="0.25">
      <c r="Q1996" s="1"/>
      <c r="R1996" s="1"/>
      <c r="T1996" s="1"/>
      <c r="Y1996" s="2"/>
      <c r="AP1996" s="2"/>
      <c r="GX1996" s="155"/>
      <c r="IJ1996" s="2"/>
    </row>
    <row r="1997" spans="17:301" ht="15" customHeight="1" x14ac:dyDescent="0.25">
      <c r="Q1997" s="1"/>
      <c r="R1997" s="1"/>
      <c r="Y1997" s="2"/>
      <c r="AP1997" s="2"/>
      <c r="GX1997" s="155"/>
      <c r="IJ1997" s="2"/>
      <c r="KN1997" s="2"/>
    </row>
    <row r="1998" spans="17:301" ht="15" customHeight="1" x14ac:dyDescent="0.25">
      <c r="Q1998" s="1"/>
      <c r="R1998" s="1"/>
      <c r="T1998" s="1"/>
      <c r="Y1998" s="2"/>
      <c r="AP1998" s="2"/>
      <c r="GX1998" s="155"/>
      <c r="IJ1998" s="2"/>
      <c r="KN1998" s="2"/>
      <c r="KO1998" s="2"/>
    </row>
    <row r="1999" spans="17:301" ht="15" customHeight="1" x14ac:dyDescent="0.25">
      <c r="Q1999" s="1"/>
      <c r="R1999" s="1"/>
      <c r="T1999" s="1"/>
      <c r="Y1999" s="2"/>
      <c r="AP1999" s="2"/>
      <c r="GX1999" s="155"/>
      <c r="IJ1999" s="2"/>
      <c r="KN1999" s="2"/>
    </row>
    <row r="2000" spans="17:301" ht="15" customHeight="1" x14ac:dyDescent="0.25">
      <c r="Q2000" s="1"/>
      <c r="R2000" s="1"/>
      <c r="T2000" s="1"/>
      <c r="Y2000" s="2"/>
      <c r="AP2000" s="2"/>
      <c r="GX2000" s="155"/>
      <c r="IJ2000" s="2"/>
      <c r="KN2000" s="2"/>
    </row>
    <row r="2001" spans="17:301" ht="15" customHeight="1" x14ac:dyDescent="0.25">
      <c r="Q2001" s="1"/>
      <c r="R2001" s="1"/>
      <c r="T2001" s="1"/>
      <c r="Y2001" s="2"/>
      <c r="AP2001" s="2"/>
      <c r="GX2001" s="155"/>
      <c r="IJ2001" s="2"/>
    </row>
    <row r="2002" spans="17:301" ht="15" customHeight="1" x14ac:dyDescent="0.25">
      <c r="Q2002" s="1"/>
      <c r="R2002" s="1"/>
      <c r="T2002" s="1"/>
      <c r="Y2002" s="2"/>
      <c r="AP2002" s="2"/>
      <c r="GX2002" s="155"/>
      <c r="IJ2002" s="2"/>
    </row>
    <row r="2003" spans="17:301" ht="15" customHeight="1" x14ac:dyDescent="0.25">
      <c r="Q2003" s="1"/>
      <c r="R2003" s="1"/>
      <c r="T2003" s="1"/>
      <c r="Y2003" s="2"/>
      <c r="AP2003" s="2"/>
      <c r="GX2003" s="155"/>
      <c r="IJ2003" s="2"/>
    </row>
    <row r="2004" spans="17:301" ht="15" customHeight="1" x14ac:dyDescent="0.25">
      <c r="Q2004" s="1"/>
      <c r="R2004" s="1"/>
      <c r="T2004" s="1"/>
      <c r="Y2004" s="2"/>
      <c r="AP2004" s="2"/>
      <c r="GX2004" s="155"/>
      <c r="IJ2004" s="2"/>
    </row>
    <row r="2005" spans="17:301" ht="15" customHeight="1" x14ac:dyDescent="0.25">
      <c r="Q2005" s="1"/>
      <c r="R2005" s="1"/>
      <c r="T2005" s="1"/>
      <c r="Y2005" s="2"/>
      <c r="AP2005" s="2"/>
      <c r="GX2005" s="155"/>
      <c r="IJ2005" s="2"/>
    </row>
    <row r="2006" spans="17:301" ht="15" customHeight="1" x14ac:dyDescent="0.25">
      <c r="Q2006" s="1"/>
      <c r="R2006" s="1"/>
      <c r="T2006" s="1"/>
      <c r="Y2006" s="2"/>
      <c r="AP2006" s="2"/>
      <c r="GX2006" s="155"/>
      <c r="IJ2006" s="2"/>
    </row>
    <row r="2007" spans="17:301" ht="15" customHeight="1" x14ac:dyDescent="0.25">
      <c r="Q2007" s="1"/>
      <c r="R2007" s="1"/>
      <c r="T2007" s="1"/>
      <c r="Y2007" s="2"/>
      <c r="AP2007" s="2"/>
      <c r="GX2007" s="155"/>
      <c r="IJ2007" s="2"/>
      <c r="KN2007" s="2"/>
      <c r="KO2007" s="2"/>
    </row>
    <row r="2008" spans="17:301" ht="15" customHeight="1" x14ac:dyDescent="0.25">
      <c r="Q2008" s="1"/>
      <c r="R2008" s="1"/>
      <c r="T2008" s="1"/>
      <c r="Y2008" s="2"/>
      <c r="AP2008" s="2"/>
      <c r="GX2008" s="155"/>
      <c r="IJ2008" s="2"/>
    </row>
    <row r="2009" spans="17:301" ht="15" customHeight="1" x14ac:dyDescent="0.25">
      <c r="Q2009" s="1"/>
      <c r="R2009" s="1"/>
      <c r="T2009" s="1"/>
      <c r="Y2009" s="2"/>
      <c r="AP2009" s="2"/>
      <c r="GX2009" s="155"/>
      <c r="IJ2009" s="2"/>
    </row>
    <row r="2010" spans="17:301" ht="15" customHeight="1" x14ac:dyDescent="0.25">
      <c r="Q2010" s="1"/>
      <c r="R2010" s="1"/>
      <c r="T2010" s="1"/>
      <c r="Y2010" s="2"/>
      <c r="AP2010" s="2"/>
      <c r="GX2010" s="155"/>
      <c r="IJ2010" s="2"/>
      <c r="KN2010" s="2"/>
      <c r="KO2010" s="2"/>
    </row>
    <row r="2011" spans="17:301" ht="15" customHeight="1" x14ac:dyDescent="0.25">
      <c r="Q2011" s="1"/>
      <c r="R2011" s="1"/>
      <c r="T2011" s="1"/>
      <c r="Y2011" s="2"/>
      <c r="AP2011" s="2"/>
      <c r="GX2011" s="155"/>
      <c r="IJ2011" s="2"/>
      <c r="KN2011" s="2"/>
    </row>
    <row r="2012" spans="17:301" ht="15" customHeight="1" x14ac:dyDescent="0.25">
      <c r="Q2012" s="1"/>
      <c r="R2012" s="1"/>
      <c r="T2012" s="1"/>
      <c r="Y2012" s="2"/>
      <c r="AP2012" s="2"/>
      <c r="GX2012" s="155"/>
      <c r="IJ2012" s="2"/>
    </row>
    <row r="2013" spans="17:301" ht="15" customHeight="1" x14ac:dyDescent="0.25">
      <c r="Q2013" s="1"/>
      <c r="R2013" s="1"/>
      <c r="T2013" s="1"/>
      <c r="Y2013" s="2"/>
      <c r="AP2013" s="2"/>
      <c r="GX2013" s="155"/>
      <c r="IJ2013" s="2"/>
    </row>
    <row r="2014" spans="17:301" ht="15" customHeight="1" x14ac:dyDescent="0.25">
      <c r="Q2014" s="1"/>
      <c r="R2014" s="1"/>
      <c r="Y2014" s="2"/>
      <c r="AP2014" s="2"/>
      <c r="GX2014" s="155"/>
      <c r="IJ2014" s="2"/>
    </row>
    <row r="2015" spans="17:301" ht="15" customHeight="1" x14ac:dyDescent="0.25">
      <c r="Q2015" s="1"/>
      <c r="R2015" s="1"/>
      <c r="T2015" s="1"/>
      <c r="Y2015" s="2"/>
      <c r="AP2015" s="2"/>
      <c r="GX2015" s="155"/>
      <c r="IJ2015" s="2"/>
      <c r="KN2015" s="2"/>
      <c r="KO2015" s="2"/>
    </row>
    <row r="2016" spans="17:301" ht="15" customHeight="1" x14ac:dyDescent="0.25">
      <c r="Q2016" s="1"/>
      <c r="R2016" s="1"/>
      <c r="T2016" s="1"/>
      <c r="Y2016" s="2"/>
      <c r="AP2016" s="2"/>
      <c r="GX2016" s="155"/>
      <c r="IJ2016" s="2"/>
      <c r="KN2016" s="2"/>
      <c r="KO2016" s="2"/>
    </row>
    <row r="2017" spans="17:301" ht="15" customHeight="1" x14ac:dyDescent="0.25">
      <c r="Q2017" s="1"/>
      <c r="R2017" s="1"/>
      <c r="T2017" s="1"/>
      <c r="Y2017" s="2"/>
      <c r="AP2017" s="2"/>
      <c r="GX2017" s="155"/>
      <c r="IJ2017" s="2"/>
      <c r="KN2017" s="2"/>
      <c r="KO2017" s="2"/>
    </row>
    <row r="2018" spans="17:301" ht="15" customHeight="1" x14ac:dyDescent="0.25">
      <c r="Q2018" s="1"/>
      <c r="R2018" s="1"/>
      <c r="T2018" s="1"/>
      <c r="Y2018" s="2"/>
      <c r="AP2018" s="2"/>
      <c r="GX2018" s="155"/>
      <c r="IJ2018" s="2"/>
    </row>
    <row r="2019" spans="17:301" ht="15" customHeight="1" x14ac:dyDescent="0.25">
      <c r="Q2019" s="1"/>
      <c r="Y2019" s="2"/>
      <c r="AP2019" s="2"/>
      <c r="GX2019" s="155"/>
      <c r="IJ2019" s="2"/>
    </row>
    <row r="2020" spans="17:301" ht="15" customHeight="1" x14ac:dyDescent="0.25">
      <c r="Q2020" s="1"/>
      <c r="R2020" s="1"/>
      <c r="T2020" s="1"/>
      <c r="Y2020" s="2"/>
      <c r="AP2020" s="2"/>
      <c r="GX2020" s="155"/>
      <c r="IJ2020" s="2"/>
    </row>
    <row r="2021" spans="17:301" ht="15" customHeight="1" x14ac:dyDescent="0.25">
      <c r="Q2021" s="1"/>
      <c r="R2021" s="1"/>
      <c r="T2021" s="1"/>
      <c r="Y2021" s="2"/>
      <c r="AP2021" s="2"/>
      <c r="GX2021" s="155"/>
      <c r="IJ2021" s="2"/>
      <c r="KN2021" s="2"/>
    </row>
    <row r="2022" spans="17:301" ht="15" customHeight="1" x14ac:dyDescent="0.25">
      <c r="Q2022" s="1"/>
      <c r="R2022" s="1"/>
      <c r="T2022" s="1"/>
      <c r="Y2022" s="2"/>
      <c r="AP2022" s="2"/>
      <c r="GX2022" s="155"/>
      <c r="IJ2022" s="2"/>
      <c r="KN2022" s="2"/>
    </row>
    <row r="2023" spans="17:301" ht="15" customHeight="1" x14ac:dyDescent="0.25">
      <c r="Q2023" s="1"/>
      <c r="R2023" s="1"/>
      <c r="T2023" s="1"/>
      <c r="Y2023" s="2"/>
      <c r="AP2023" s="2"/>
      <c r="GX2023" s="155"/>
      <c r="IJ2023" s="2"/>
    </row>
    <row r="2024" spans="17:301" ht="15" customHeight="1" x14ac:dyDescent="0.25">
      <c r="Q2024" s="1"/>
      <c r="R2024" s="1"/>
      <c r="T2024" s="1"/>
      <c r="Y2024" s="2"/>
      <c r="AP2024" s="2"/>
      <c r="GX2024" s="155"/>
      <c r="IJ2024" s="2"/>
      <c r="KN2024" s="2"/>
      <c r="KO2024" s="2"/>
    </row>
    <row r="2025" spans="17:301" ht="15" customHeight="1" x14ac:dyDescent="0.25">
      <c r="Q2025" s="1"/>
      <c r="R2025" s="1"/>
      <c r="T2025" s="1"/>
      <c r="Y2025" s="2"/>
      <c r="AP2025" s="2"/>
      <c r="GX2025" s="155"/>
      <c r="IJ2025" s="2"/>
      <c r="KN2025" s="2"/>
    </row>
    <row r="2026" spans="17:301" ht="15" customHeight="1" x14ac:dyDescent="0.25">
      <c r="Q2026" s="1"/>
      <c r="R2026" s="1"/>
      <c r="T2026" s="1"/>
      <c r="Y2026" s="2"/>
      <c r="AP2026" s="2"/>
      <c r="GX2026" s="155"/>
      <c r="IJ2026" s="2"/>
      <c r="KN2026" s="2"/>
    </row>
    <row r="2027" spans="17:301" ht="15" customHeight="1" x14ac:dyDescent="0.25">
      <c r="Q2027" s="1"/>
      <c r="R2027" s="1"/>
      <c r="T2027" s="1"/>
      <c r="Y2027" s="2"/>
      <c r="AP2027" s="2"/>
      <c r="GX2027" s="155"/>
      <c r="IJ2027" s="2"/>
      <c r="KN2027" s="2"/>
      <c r="KO2027" s="2"/>
    </row>
    <row r="2028" spans="17:301" ht="15" customHeight="1" x14ac:dyDescent="0.25">
      <c r="Q2028" s="1"/>
      <c r="R2028" s="1"/>
      <c r="T2028" s="1"/>
      <c r="Y2028" s="2"/>
      <c r="AP2028" s="2"/>
      <c r="GX2028" s="155"/>
      <c r="IJ2028" s="2"/>
    </row>
    <row r="2029" spans="17:301" ht="15" customHeight="1" x14ac:dyDescent="0.25">
      <c r="Q2029" s="1"/>
      <c r="R2029" s="1"/>
      <c r="T2029" s="1"/>
      <c r="Y2029" s="2"/>
      <c r="AP2029" s="2"/>
      <c r="GX2029" s="155"/>
      <c r="IJ2029" s="2"/>
      <c r="KN2029" s="2"/>
    </row>
    <row r="2030" spans="17:301" ht="15" customHeight="1" x14ac:dyDescent="0.25">
      <c r="Q2030" s="1"/>
      <c r="R2030" s="1"/>
      <c r="T2030" s="1"/>
      <c r="Y2030" s="2"/>
      <c r="AP2030" s="2"/>
      <c r="GX2030" s="155"/>
      <c r="IJ2030" s="2"/>
      <c r="KN2030" s="2"/>
    </row>
    <row r="2031" spans="17:301" ht="15" customHeight="1" x14ac:dyDescent="0.25">
      <c r="Q2031" s="1"/>
      <c r="R2031" s="1"/>
      <c r="T2031" s="1"/>
      <c r="Y2031" s="2"/>
      <c r="AP2031" s="2"/>
      <c r="GX2031" s="155"/>
      <c r="IJ2031" s="2"/>
      <c r="KN2031" s="2"/>
    </row>
    <row r="2032" spans="17:301" ht="15" customHeight="1" x14ac:dyDescent="0.25">
      <c r="Q2032" s="1"/>
      <c r="R2032" s="1"/>
      <c r="T2032" s="1"/>
      <c r="Y2032" s="2"/>
      <c r="AP2032" s="2"/>
      <c r="GX2032" s="155"/>
      <c r="IJ2032" s="2"/>
    </row>
    <row r="2033" spans="17:301" ht="15" customHeight="1" x14ac:dyDescent="0.25">
      <c r="Q2033" s="1"/>
      <c r="R2033" s="1"/>
      <c r="T2033" s="1"/>
      <c r="Y2033" s="2"/>
      <c r="AP2033" s="2"/>
      <c r="GX2033" s="155"/>
      <c r="IJ2033" s="2"/>
    </row>
    <row r="2034" spans="17:301" ht="15" customHeight="1" x14ac:dyDescent="0.25">
      <c r="Q2034" s="1"/>
      <c r="R2034" s="1"/>
      <c r="T2034" s="1"/>
      <c r="Y2034" s="2"/>
      <c r="AP2034" s="2"/>
      <c r="GX2034" s="155"/>
      <c r="IJ2034" s="2"/>
      <c r="KN2034" s="2"/>
      <c r="KO2034" s="2"/>
    </row>
    <row r="2035" spans="17:301" ht="15" customHeight="1" x14ac:dyDescent="0.25">
      <c r="Q2035" s="1"/>
      <c r="R2035" s="1"/>
      <c r="T2035" s="1"/>
      <c r="Y2035" s="2"/>
      <c r="AP2035" s="2"/>
      <c r="GX2035" s="155"/>
      <c r="IJ2035" s="2"/>
    </row>
    <row r="2036" spans="17:301" ht="15" customHeight="1" x14ac:dyDescent="0.25">
      <c r="Q2036" s="1"/>
      <c r="R2036" s="1"/>
      <c r="T2036" s="1"/>
      <c r="Y2036" s="2"/>
      <c r="AP2036" s="2"/>
      <c r="GX2036" s="155"/>
      <c r="IJ2036" s="2"/>
    </row>
    <row r="2037" spans="17:301" ht="15" customHeight="1" x14ac:dyDescent="0.25">
      <c r="Q2037" s="1"/>
      <c r="R2037" s="1"/>
      <c r="T2037" s="1"/>
      <c r="Y2037" s="2"/>
      <c r="AP2037" s="2"/>
      <c r="GX2037" s="155"/>
      <c r="IJ2037" s="2"/>
    </row>
    <row r="2038" spans="17:301" ht="15" customHeight="1" x14ac:dyDescent="0.25">
      <c r="Q2038" s="1"/>
      <c r="R2038" s="1"/>
      <c r="T2038" s="1"/>
      <c r="Y2038" s="2"/>
      <c r="AP2038" s="2"/>
      <c r="GX2038" s="155"/>
      <c r="IJ2038" s="2"/>
    </row>
    <row r="2039" spans="17:301" ht="15" customHeight="1" x14ac:dyDescent="0.25">
      <c r="Q2039" s="1"/>
      <c r="Y2039" s="2"/>
      <c r="AP2039" s="2"/>
      <c r="GX2039" s="155"/>
      <c r="IJ2039" s="2"/>
      <c r="KN2039" s="2"/>
    </row>
    <row r="2040" spans="17:301" ht="15" customHeight="1" x14ac:dyDescent="0.25">
      <c r="Q2040" s="1"/>
      <c r="R2040" s="1"/>
      <c r="T2040" s="1"/>
      <c r="Y2040" s="2"/>
      <c r="AP2040" s="2"/>
      <c r="GX2040" s="155"/>
      <c r="IJ2040" s="2"/>
    </row>
    <row r="2041" spans="17:301" ht="15" customHeight="1" x14ac:dyDescent="0.25">
      <c r="Q2041" s="1"/>
      <c r="R2041" s="1"/>
      <c r="T2041" s="1"/>
      <c r="Y2041" s="2"/>
      <c r="AP2041" s="2"/>
      <c r="GX2041" s="155"/>
      <c r="IJ2041" s="2"/>
    </row>
    <row r="2042" spans="17:301" ht="15" customHeight="1" x14ac:dyDescent="0.25">
      <c r="Q2042" s="1"/>
      <c r="R2042" s="1"/>
      <c r="T2042" s="1"/>
      <c r="Y2042" s="2"/>
      <c r="AP2042" s="2"/>
      <c r="GX2042" s="155"/>
      <c r="IJ2042" s="2"/>
      <c r="KN2042" s="2"/>
      <c r="KO2042" s="2"/>
    </row>
    <row r="2043" spans="17:301" ht="15" customHeight="1" x14ac:dyDescent="0.25">
      <c r="Q2043" s="1"/>
      <c r="R2043" s="1"/>
      <c r="T2043" s="1"/>
      <c r="Y2043" s="2"/>
      <c r="AP2043" s="2"/>
      <c r="GX2043" s="155"/>
      <c r="IJ2043" s="2"/>
      <c r="KN2043" s="2"/>
    </row>
    <row r="2044" spans="17:301" ht="15" customHeight="1" x14ac:dyDescent="0.25">
      <c r="Q2044" s="1"/>
      <c r="R2044" s="1"/>
      <c r="T2044" s="1"/>
      <c r="Y2044" s="2"/>
      <c r="AP2044" s="2"/>
      <c r="GX2044" s="155"/>
      <c r="IJ2044" s="2"/>
      <c r="KN2044" s="2"/>
      <c r="KO2044" s="2"/>
    </row>
    <row r="2045" spans="17:301" ht="15" customHeight="1" x14ac:dyDescent="0.25">
      <c r="Q2045" s="1"/>
      <c r="R2045" s="1"/>
      <c r="T2045" s="1"/>
      <c r="Y2045" s="2"/>
      <c r="AP2045" s="2"/>
      <c r="GX2045" s="155"/>
      <c r="IJ2045" s="2"/>
      <c r="KN2045" s="2"/>
      <c r="KO2045" s="2"/>
    </row>
    <row r="2046" spans="17:301" ht="15" customHeight="1" x14ac:dyDescent="0.25">
      <c r="Q2046" s="1"/>
      <c r="R2046" s="1"/>
      <c r="T2046" s="1"/>
      <c r="Y2046" s="2"/>
      <c r="AP2046" s="2"/>
      <c r="GX2046" s="155"/>
      <c r="IJ2046" s="2"/>
      <c r="KN2046" s="2"/>
    </row>
    <row r="2047" spans="17:301" ht="15" customHeight="1" x14ac:dyDescent="0.25">
      <c r="Q2047" s="1"/>
      <c r="R2047" s="1"/>
      <c r="T2047" s="1"/>
      <c r="Y2047" s="2"/>
      <c r="AP2047" s="2"/>
      <c r="GX2047" s="155"/>
      <c r="IJ2047" s="2"/>
      <c r="KN2047" s="2"/>
      <c r="KO2047" s="2"/>
    </row>
    <row r="2048" spans="17:301" ht="15" customHeight="1" x14ac:dyDescent="0.25">
      <c r="Q2048" s="1"/>
      <c r="R2048" s="1"/>
      <c r="T2048" s="1"/>
      <c r="Y2048" s="2"/>
      <c r="AP2048" s="2"/>
      <c r="GX2048" s="155"/>
      <c r="IJ2048" s="2"/>
    </row>
    <row r="2049" spans="17:302" ht="15" customHeight="1" x14ac:dyDescent="0.25">
      <c r="Q2049" s="1"/>
      <c r="R2049" s="1"/>
      <c r="T2049" s="1"/>
      <c r="Y2049" s="2"/>
      <c r="AP2049" s="2"/>
      <c r="GX2049" s="155"/>
      <c r="IJ2049" s="2"/>
    </row>
    <row r="2050" spans="17:302" ht="15" customHeight="1" x14ac:dyDescent="0.25">
      <c r="Q2050" s="1"/>
      <c r="R2050" s="1"/>
      <c r="T2050" s="1"/>
      <c r="Y2050" s="2"/>
      <c r="AP2050" s="2"/>
      <c r="GX2050" s="155"/>
      <c r="IJ2050" s="2"/>
      <c r="KN2050" s="2"/>
    </row>
    <row r="2051" spans="17:302" ht="15" customHeight="1" x14ac:dyDescent="0.25">
      <c r="Q2051" s="1"/>
      <c r="R2051" s="1"/>
      <c r="Y2051" s="2"/>
      <c r="AP2051" s="2"/>
      <c r="GX2051" s="155"/>
      <c r="IJ2051" s="2"/>
    </row>
    <row r="2052" spans="17:302" ht="15" customHeight="1" x14ac:dyDescent="0.25">
      <c r="Q2052" s="1"/>
      <c r="R2052" s="1"/>
      <c r="T2052" s="1"/>
      <c r="Y2052" s="2"/>
      <c r="AP2052" s="2"/>
      <c r="GX2052" s="155"/>
      <c r="IJ2052" s="2"/>
      <c r="KN2052" s="2"/>
      <c r="KO2052" s="2"/>
      <c r="KP2052" s="2"/>
    </row>
    <row r="2053" spans="17:302" ht="15" customHeight="1" x14ac:dyDescent="0.25">
      <c r="Q2053" s="1"/>
      <c r="R2053" s="1"/>
      <c r="T2053" s="1"/>
      <c r="Y2053" s="2"/>
      <c r="AP2053" s="2"/>
      <c r="GX2053" s="155"/>
      <c r="IJ2053" s="2"/>
      <c r="KN2053" s="2"/>
    </row>
    <row r="2054" spans="17:302" ht="15" customHeight="1" x14ac:dyDescent="0.25">
      <c r="Q2054" s="1"/>
      <c r="R2054" s="1"/>
      <c r="T2054" s="1"/>
      <c r="Y2054" s="2"/>
      <c r="AP2054" s="2"/>
      <c r="GX2054" s="155"/>
      <c r="IJ2054" s="2"/>
      <c r="KN2054" s="2"/>
    </row>
    <row r="2055" spans="17:302" ht="15" customHeight="1" x14ac:dyDescent="0.25">
      <c r="Q2055" s="1"/>
      <c r="R2055" s="1"/>
      <c r="T2055" s="1"/>
      <c r="Y2055" s="2"/>
      <c r="AP2055" s="2"/>
      <c r="GX2055" s="155"/>
      <c r="IJ2055" s="2"/>
      <c r="KN2055" s="2"/>
      <c r="KO2055" s="2"/>
    </row>
    <row r="2056" spans="17:302" ht="15" customHeight="1" x14ac:dyDescent="0.25">
      <c r="Q2056" s="1"/>
      <c r="R2056" s="1"/>
      <c r="T2056" s="1"/>
      <c r="Y2056" s="2"/>
      <c r="AP2056" s="2"/>
      <c r="GX2056" s="155"/>
      <c r="IJ2056" s="2"/>
      <c r="KN2056" s="2"/>
    </row>
    <row r="2057" spans="17:302" ht="15" customHeight="1" x14ac:dyDescent="0.25">
      <c r="Q2057" s="1"/>
      <c r="R2057" s="1"/>
      <c r="T2057" s="1"/>
      <c r="Y2057" s="2"/>
      <c r="AP2057" s="2"/>
      <c r="GX2057" s="155"/>
      <c r="IJ2057" s="2"/>
      <c r="KN2057" s="2"/>
    </row>
    <row r="2058" spans="17:302" ht="15" customHeight="1" x14ac:dyDescent="0.25">
      <c r="Q2058" s="1"/>
      <c r="R2058" s="1"/>
      <c r="T2058" s="1"/>
      <c r="Y2058" s="2"/>
      <c r="AP2058" s="2"/>
      <c r="GX2058" s="155"/>
      <c r="IJ2058" s="2"/>
      <c r="KN2058" s="2"/>
    </row>
    <row r="2059" spans="17:302" ht="15" customHeight="1" x14ac:dyDescent="0.25">
      <c r="Q2059" s="1"/>
      <c r="R2059" s="1"/>
      <c r="T2059" s="1"/>
      <c r="Y2059" s="2"/>
      <c r="AP2059" s="2"/>
      <c r="GX2059" s="155"/>
      <c r="IJ2059" s="2"/>
      <c r="KN2059" s="2"/>
    </row>
    <row r="2060" spans="17:302" ht="15" customHeight="1" x14ac:dyDescent="0.25">
      <c r="Q2060" s="1"/>
      <c r="R2060" s="1"/>
      <c r="Y2060" s="2"/>
      <c r="AP2060" s="2"/>
      <c r="GX2060" s="155"/>
      <c r="IJ2060" s="2"/>
    </row>
    <row r="2061" spans="17:302" ht="15" customHeight="1" x14ac:dyDescent="0.25">
      <c r="Q2061" s="1"/>
      <c r="R2061" s="1"/>
      <c r="T2061" s="1"/>
      <c r="Y2061" s="2"/>
      <c r="AP2061" s="2"/>
      <c r="GX2061" s="155"/>
      <c r="IJ2061" s="2"/>
    </row>
    <row r="2062" spans="17:302" ht="15" customHeight="1" x14ac:dyDescent="0.25">
      <c r="Q2062" s="1"/>
      <c r="R2062" s="1"/>
      <c r="T2062" s="1"/>
      <c r="Y2062" s="2"/>
      <c r="AP2062" s="2"/>
      <c r="GX2062" s="155"/>
      <c r="IJ2062" s="2"/>
      <c r="KN2062" s="2"/>
    </row>
    <row r="2063" spans="17:302" ht="15" customHeight="1" x14ac:dyDescent="0.25">
      <c r="Q2063" s="1"/>
      <c r="R2063" s="1"/>
      <c r="T2063" s="1"/>
      <c r="Y2063" s="2"/>
      <c r="AP2063" s="2"/>
      <c r="GX2063" s="155"/>
      <c r="IJ2063" s="2"/>
      <c r="KN2063" s="2"/>
    </row>
    <row r="2064" spans="17:302" ht="15" customHeight="1" x14ac:dyDescent="0.25">
      <c r="Q2064" s="1"/>
      <c r="R2064" s="1"/>
      <c r="T2064" s="1"/>
      <c r="Y2064" s="2"/>
      <c r="AP2064" s="2"/>
      <c r="GX2064" s="155"/>
      <c r="IJ2064" s="2"/>
      <c r="KN2064" s="2"/>
    </row>
    <row r="2065" spans="17:304" ht="15" customHeight="1" x14ac:dyDescent="0.25">
      <c r="Q2065" s="1"/>
      <c r="R2065" s="1"/>
      <c r="T2065" s="1"/>
      <c r="Y2065" s="2"/>
      <c r="AP2065" s="2"/>
      <c r="GX2065" s="155"/>
      <c r="IJ2065" s="2"/>
      <c r="KN2065" s="2"/>
    </row>
    <row r="2066" spans="17:304" ht="15" customHeight="1" x14ac:dyDescent="0.25">
      <c r="Q2066" s="1"/>
      <c r="R2066" s="1"/>
      <c r="T2066" s="1"/>
      <c r="Y2066" s="2"/>
      <c r="AP2066" s="2"/>
      <c r="GX2066" s="155"/>
      <c r="IJ2066" s="2"/>
      <c r="KN2066" s="2"/>
      <c r="KO2066" s="2"/>
      <c r="KP2066" s="2"/>
      <c r="KQ2066" s="2"/>
    </row>
    <row r="2067" spans="17:304" ht="15" customHeight="1" x14ac:dyDescent="0.25">
      <c r="Q2067" s="1"/>
      <c r="Y2067" s="2"/>
      <c r="AP2067" s="2"/>
      <c r="GX2067" s="155"/>
      <c r="IJ2067" s="2"/>
      <c r="KN2067" s="2"/>
      <c r="KO2067" s="2"/>
      <c r="KP2067" s="2"/>
    </row>
    <row r="2068" spans="17:304" ht="15" customHeight="1" x14ac:dyDescent="0.25">
      <c r="Q2068" s="1"/>
      <c r="R2068" s="1"/>
      <c r="T2068" s="1"/>
      <c r="Y2068" s="2"/>
      <c r="AP2068" s="2"/>
      <c r="GX2068" s="155"/>
      <c r="IJ2068" s="2"/>
    </row>
    <row r="2069" spans="17:304" ht="15" customHeight="1" x14ac:dyDescent="0.25">
      <c r="Q2069" s="1"/>
      <c r="R2069" s="1"/>
      <c r="T2069" s="1"/>
      <c r="Y2069" s="2"/>
      <c r="AP2069" s="2"/>
      <c r="GX2069" s="155"/>
      <c r="IJ2069" s="2"/>
    </row>
    <row r="2070" spans="17:304" ht="15" customHeight="1" x14ac:dyDescent="0.25">
      <c r="Q2070" s="1"/>
      <c r="R2070" s="1"/>
      <c r="T2070" s="1"/>
      <c r="Y2070" s="2"/>
      <c r="AP2070" s="2"/>
      <c r="GX2070" s="155"/>
      <c r="IJ2070" s="2"/>
      <c r="KN2070" s="2"/>
      <c r="KO2070" s="2"/>
    </row>
    <row r="2071" spans="17:304" ht="15" customHeight="1" x14ac:dyDescent="0.25">
      <c r="Q2071" s="1"/>
      <c r="R2071" s="1"/>
      <c r="T2071" s="1"/>
      <c r="Y2071" s="2"/>
      <c r="AP2071" s="2"/>
      <c r="GX2071" s="155"/>
      <c r="IJ2071" s="2"/>
    </row>
    <row r="2072" spans="17:304" ht="15" customHeight="1" x14ac:dyDescent="0.25">
      <c r="Q2072" s="1"/>
      <c r="R2072" s="1"/>
      <c r="T2072" s="1"/>
      <c r="Y2072" s="2"/>
      <c r="AP2072" s="2"/>
      <c r="GX2072" s="155"/>
      <c r="IJ2072" s="2"/>
      <c r="KN2072" s="2"/>
      <c r="KO2072" s="2"/>
      <c r="KP2072" s="2"/>
      <c r="KQ2072" s="2"/>
      <c r="KR2072" s="2"/>
    </row>
    <row r="2073" spans="17:304" ht="15" customHeight="1" x14ac:dyDescent="0.25">
      <c r="Q2073" s="1"/>
      <c r="R2073" s="1"/>
      <c r="T2073" s="1"/>
      <c r="Y2073" s="2"/>
      <c r="AP2073" s="2"/>
      <c r="GX2073" s="155"/>
      <c r="IJ2073" s="2"/>
      <c r="KN2073" s="2"/>
    </row>
    <row r="2074" spans="17:304" ht="15" customHeight="1" x14ac:dyDescent="0.25">
      <c r="Q2074" s="1"/>
      <c r="R2074" s="1"/>
      <c r="T2074" s="1"/>
      <c r="Y2074" s="2"/>
      <c r="AP2074" s="2"/>
      <c r="GX2074" s="155"/>
      <c r="IJ2074" s="2"/>
      <c r="KN2074" s="2"/>
      <c r="KO2074" s="2"/>
    </row>
    <row r="2075" spans="17:304" ht="15" customHeight="1" x14ac:dyDescent="0.25">
      <c r="Q2075" s="1"/>
      <c r="R2075" s="1"/>
      <c r="T2075" s="1"/>
      <c r="Y2075" s="2"/>
      <c r="AP2075" s="2"/>
      <c r="GX2075" s="155"/>
      <c r="IJ2075" s="2"/>
      <c r="KN2075" s="2"/>
    </row>
    <row r="2076" spans="17:304" ht="15" customHeight="1" x14ac:dyDescent="0.25">
      <c r="Q2076" s="1"/>
      <c r="R2076" s="1"/>
      <c r="T2076" s="1"/>
      <c r="Y2076" s="2"/>
      <c r="AP2076" s="2"/>
      <c r="GX2076" s="155"/>
      <c r="IJ2076" s="2"/>
      <c r="KN2076" s="2"/>
      <c r="KO2076" s="2"/>
      <c r="KP2076" s="2"/>
    </row>
    <row r="2077" spans="17:304" ht="15" customHeight="1" x14ac:dyDescent="0.25">
      <c r="Q2077" s="1"/>
      <c r="R2077" s="1"/>
      <c r="T2077" s="1"/>
      <c r="Y2077" s="2"/>
      <c r="AP2077" s="2"/>
      <c r="GX2077" s="155"/>
      <c r="IJ2077" s="2"/>
      <c r="KN2077" s="2"/>
    </row>
    <row r="2078" spans="17:304" ht="15" customHeight="1" x14ac:dyDescent="0.25">
      <c r="Q2078" s="1"/>
      <c r="R2078" s="1"/>
      <c r="T2078" s="1"/>
      <c r="Y2078" s="2"/>
      <c r="AP2078" s="2"/>
      <c r="GX2078" s="155"/>
      <c r="IJ2078" s="2"/>
    </row>
    <row r="2079" spans="17:304" ht="15" customHeight="1" x14ac:dyDescent="0.25">
      <c r="Q2079" s="1"/>
      <c r="R2079" s="1"/>
      <c r="T2079" s="1"/>
      <c r="Y2079" s="2"/>
      <c r="AP2079" s="2"/>
      <c r="GX2079" s="155"/>
      <c r="IJ2079" s="2"/>
    </row>
    <row r="2080" spans="17:304" ht="15" customHeight="1" x14ac:dyDescent="0.25">
      <c r="Q2080" s="1"/>
      <c r="R2080" s="1"/>
      <c r="T2080" s="1"/>
      <c r="Y2080" s="2"/>
      <c r="AP2080" s="2"/>
      <c r="GX2080" s="155"/>
      <c r="IJ2080" s="2"/>
      <c r="KN2080" s="2"/>
      <c r="KO2080" s="2"/>
    </row>
    <row r="2081" spans="17:302" ht="15" customHeight="1" x14ac:dyDescent="0.25">
      <c r="Q2081" s="1"/>
      <c r="R2081" s="1"/>
      <c r="T2081" s="1"/>
      <c r="Y2081" s="2"/>
      <c r="AP2081" s="2"/>
      <c r="GX2081" s="155"/>
      <c r="IJ2081" s="2"/>
    </row>
    <row r="2082" spans="17:302" ht="15" customHeight="1" x14ac:dyDescent="0.25">
      <c r="Q2082" s="1"/>
      <c r="Y2082" s="2"/>
      <c r="AP2082" s="2"/>
      <c r="GX2082" s="155"/>
      <c r="IJ2082" s="2"/>
      <c r="KN2082" s="2"/>
      <c r="KO2082" s="2"/>
      <c r="KP2082" s="2"/>
    </row>
    <row r="2083" spans="17:302" ht="15" customHeight="1" x14ac:dyDescent="0.25">
      <c r="Q2083" s="1"/>
      <c r="Y2083" s="2"/>
      <c r="AP2083" s="2"/>
      <c r="GX2083" s="155"/>
      <c r="IJ2083" s="2"/>
    </row>
    <row r="2084" spans="17:302" ht="15" customHeight="1" x14ac:dyDescent="0.25">
      <c r="Y2084" s="2"/>
      <c r="AP2084" s="2"/>
      <c r="GX2084" s="155"/>
      <c r="IJ2084" s="2"/>
      <c r="KN2084" s="2"/>
      <c r="KO2084" s="2"/>
    </row>
    <row r="2085" spans="17:302" ht="15" customHeight="1" x14ac:dyDescent="0.25">
      <c r="Y2085" s="2"/>
      <c r="AP2085" s="2"/>
      <c r="GX2085" s="155"/>
      <c r="IJ2085" s="2"/>
      <c r="KN2085" s="2"/>
    </row>
    <row r="2086" spans="17:302" ht="15" customHeight="1" x14ac:dyDescent="0.25">
      <c r="Y2086" s="2"/>
      <c r="AP2086" s="2"/>
      <c r="GX2086" s="155"/>
      <c r="IJ2086" s="2"/>
      <c r="KN2086" s="2"/>
      <c r="KO2086" s="2"/>
    </row>
    <row r="2087" spans="17:302" ht="15" customHeight="1" x14ac:dyDescent="0.25">
      <c r="Y2087" s="2"/>
      <c r="AP2087" s="2"/>
      <c r="GX2087" s="155"/>
      <c r="IJ2087" s="2"/>
      <c r="KN2087" s="2"/>
    </row>
    <row r="2088" spans="17:302" ht="15" customHeight="1" x14ac:dyDescent="0.25">
      <c r="Y2088" s="2"/>
      <c r="AP2088" s="2"/>
      <c r="GX2088" s="155"/>
      <c r="IJ2088" s="2"/>
      <c r="KN2088" s="2"/>
    </row>
    <row r="2089" spans="17:302" ht="15" customHeight="1" x14ac:dyDescent="0.25">
      <c r="Y2089" s="2"/>
      <c r="AP2089" s="2"/>
      <c r="GX2089" s="155"/>
      <c r="IJ2089" s="2"/>
      <c r="KN2089" s="2"/>
    </row>
    <row r="2090" spans="17:302" ht="15" customHeight="1" x14ac:dyDescent="0.25">
      <c r="Y2090" s="2"/>
      <c r="AP2090" s="2"/>
      <c r="GX2090" s="155"/>
      <c r="IJ2090" s="2"/>
      <c r="KN2090" s="2"/>
      <c r="KO2090" s="2"/>
      <c r="KP2090" s="2"/>
    </row>
    <row r="2091" spans="17:302" ht="15" customHeight="1" x14ac:dyDescent="0.25">
      <c r="Y2091" s="2"/>
      <c r="AP2091" s="2"/>
      <c r="GX2091" s="155"/>
      <c r="IJ2091" s="2"/>
      <c r="KN2091" s="2"/>
      <c r="KO2091" s="2"/>
    </row>
    <row r="2092" spans="17:302" ht="15" customHeight="1" x14ac:dyDescent="0.25">
      <c r="Y2092" s="2"/>
      <c r="AP2092" s="2"/>
      <c r="GX2092" s="155"/>
      <c r="IJ2092" s="2"/>
      <c r="KN2092" s="2"/>
    </row>
    <row r="2093" spans="17:302" ht="15" customHeight="1" x14ac:dyDescent="0.25">
      <c r="Y2093" s="2"/>
      <c r="AP2093" s="2"/>
      <c r="GX2093" s="155"/>
      <c r="IJ2093" s="2"/>
      <c r="KN2093" s="2"/>
    </row>
    <row r="2094" spans="17:302" ht="15" customHeight="1" x14ac:dyDescent="0.25">
      <c r="Y2094" s="2"/>
      <c r="AP2094" s="2"/>
      <c r="GX2094" s="155"/>
      <c r="IJ2094" s="2"/>
      <c r="KN2094" s="2"/>
    </row>
    <row r="2095" spans="17:302" ht="15" customHeight="1" x14ac:dyDescent="0.25">
      <c r="X2095" s="2"/>
      <c r="AM2095" s="2"/>
      <c r="EO2095" s="2"/>
      <c r="GT2095" s="155"/>
      <c r="HZ2095" s="2"/>
      <c r="KD2095" s="2"/>
      <c r="KE2095" s="2"/>
    </row>
    <row r="2096" spans="17:302" ht="15" customHeight="1" x14ac:dyDescent="0.25">
      <c r="X2096" s="2"/>
      <c r="AM2096" s="2"/>
      <c r="EO2096" s="2"/>
      <c r="GT2096" s="155"/>
      <c r="HZ2096" s="2"/>
      <c r="KD2096" s="2"/>
    </row>
    <row r="2097" spans="24:291" ht="15" customHeight="1" x14ac:dyDescent="0.25">
      <c r="X2097" s="2"/>
      <c r="AM2097" s="2"/>
      <c r="EO2097" s="2"/>
      <c r="GT2097" s="155"/>
      <c r="HZ2097" s="2"/>
      <c r="KD2097" s="2"/>
    </row>
    <row r="2098" spans="24:291" ht="15" customHeight="1" x14ac:dyDescent="0.25">
      <c r="X2098" s="2"/>
      <c r="AM2098" s="2"/>
      <c r="EO2098" s="2"/>
      <c r="GT2098" s="155"/>
      <c r="HZ2098" s="2"/>
      <c r="KD2098" s="2"/>
    </row>
    <row r="2099" spans="24:291" ht="15" customHeight="1" x14ac:dyDescent="0.25">
      <c r="X2099" s="2"/>
      <c r="AM2099" s="2"/>
      <c r="EO2099" s="2"/>
      <c r="GT2099" s="155"/>
      <c r="HZ2099" s="2"/>
      <c r="KD2099" s="2"/>
    </row>
    <row r="2100" spans="24:291" ht="15" customHeight="1" x14ac:dyDescent="0.25">
      <c r="X2100" s="2"/>
      <c r="AM2100" s="2"/>
      <c r="EO2100" s="2"/>
      <c r="GT2100" s="155"/>
      <c r="HZ2100" s="2"/>
      <c r="KD2100" s="2"/>
    </row>
    <row r="2101" spans="24:291" ht="15" customHeight="1" x14ac:dyDescent="0.25">
      <c r="X2101" s="2"/>
      <c r="AM2101" s="2"/>
      <c r="EO2101" s="2"/>
      <c r="GT2101" s="155"/>
      <c r="HZ2101" s="2"/>
    </row>
    <row r="2102" spans="24:291" ht="15" customHeight="1" x14ac:dyDescent="0.25">
      <c r="X2102" s="2"/>
      <c r="AM2102" s="2"/>
      <c r="EO2102" s="2"/>
      <c r="GT2102" s="155"/>
      <c r="HZ2102" s="2"/>
    </row>
    <row r="2103" spans="24:291" ht="15" customHeight="1" x14ac:dyDescent="0.25">
      <c r="X2103" s="2"/>
      <c r="AM2103" s="2"/>
      <c r="EO2103" s="2"/>
      <c r="GT2103" s="155"/>
      <c r="HZ2103" s="2"/>
    </row>
    <row r="2104" spans="24:291" ht="15" customHeight="1" x14ac:dyDescent="0.25">
      <c r="X2104" s="2"/>
      <c r="AM2104" s="2"/>
      <c r="EO2104" s="2"/>
      <c r="GT2104" s="155"/>
      <c r="HZ2104" s="2"/>
    </row>
    <row r="2105" spans="24:291" ht="15" customHeight="1" x14ac:dyDescent="0.25">
      <c r="X2105" s="2"/>
      <c r="AM2105" s="2"/>
      <c r="EO2105" s="2"/>
      <c r="GT2105" s="155"/>
      <c r="HZ2105" s="2"/>
    </row>
    <row r="2106" spans="24:291" ht="15" customHeight="1" x14ac:dyDescent="0.25">
      <c r="X2106" s="2"/>
      <c r="AM2106" s="2"/>
      <c r="EO2106" s="2"/>
      <c r="GT2106" s="155"/>
      <c r="HZ2106" s="2"/>
      <c r="KD2106" s="2"/>
    </row>
    <row r="2107" spans="24:291" ht="15" customHeight="1" x14ac:dyDescent="0.25">
      <c r="X2107" s="2"/>
      <c r="AM2107" s="2"/>
      <c r="EO2107" s="2"/>
      <c r="GT2107" s="155"/>
      <c r="HZ2107" s="2"/>
      <c r="KD2107" s="2"/>
    </row>
    <row r="2108" spans="24:291" ht="15" customHeight="1" x14ac:dyDescent="0.25">
      <c r="X2108" s="2"/>
      <c r="AM2108" s="2"/>
      <c r="EO2108" s="2"/>
      <c r="GT2108" s="155"/>
      <c r="HZ2108" s="2"/>
    </row>
    <row r="2109" spans="24:291" ht="15" customHeight="1" x14ac:dyDescent="0.25">
      <c r="X2109" s="2"/>
      <c r="AM2109" s="2"/>
      <c r="EO2109" s="2"/>
      <c r="GT2109" s="155"/>
      <c r="HZ2109" s="2"/>
      <c r="KD2109" s="2"/>
      <c r="KE2109" s="2"/>
    </row>
    <row r="2110" spans="24:291" ht="15" customHeight="1" x14ac:dyDescent="0.25">
      <c r="X2110" s="2"/>
      <c r="AM2110" s="2"/>
      <c r="EO2110" s="2"/>
      <c r="GT2110" s="155"/>
      <c r="HZ2110" s="2"/>
    </row>
    <row r="2111" spans="24:291" ht="15" customHeight="1" x14ac:dyDescent="0.25">
      <c r="X2111" s="2"/>
      <c r="AM2111" s="2"/>
      <c r="EO2111" s="2"/>
      <c r="GT2111" s="155"/>
      <c r="HZ2111" s="2"/>
      <c r="KD2111" s="2"/>
      <c r="KE2111" s="2"/>
    </row>
    <row r="2112" spans="24:291" ht="15" customHeight="1" x14ac:dyDescent="0.25">
      <c r="X2112" s="2"/>
      <c r="AM2112" s="2"/>
      <c r="EO2112" s="2"/>
      <c r="GT2112" s="155"/>
      <c r="HZ2112" s="2"/>
    </row>
    <row r="2113" spans="24:292" ht="15" customHeight="1" x14ac:dyDescent="0.25">
      <c r="X2113" s="2"/>
      <c r="AM2113" s="2"/>
      <c r="EO2113" s="2"/>
      <c r="GT2113" s="155"/>
      <c r="HZ2113" s="2"/>
      <c r="KD2113" s="2"/>
      <c r="KE2113" s="2"/>
    </row>
    <row r="2114" spans="24:292" ht="15" customHeight="1" x14ac:dyDescent="0.25">
      <c r="X2114" s="2"/>
      <c r="AM2114" s="2"/>
      <c r="EO2114" s="2"/>
      <c r="GT2114" s="155"/>
      <c r="HZ2114" s="2"/>
    </row>
    <row r="2115" spans="24:292" ht="15" customHeight="1" x14ac:dyDescent="0.25">
      <c r="X2115" s="2"/>
      <c r="AM2115" s="2"/>
      <c r="EO2115" s="2"/>
      <c r="GT2115" s="155"/>
      <c r="HZ2115" s="2"/>
    </row>
    <row r="2116" spans="24:292" ht="15" customHeight="1" x14ac:dyDescent="0.25">
      <c r="X2116" s="2"/>
      <c r="AM2116" s="2"/>
      <c r="EO2116" s="2"/>
      <c r="GT2116" s="155"/>
      <c r="HZ2116" s="2"/>
      <c r="KD2116" s="2"/>
    </row>
    <row r="2117" spans="24:292" ht="15" customHeight="1" x14ac:dyDescent="0.25">
      <c r="X2117" s="2"/>
      <c r="AM2117" s="2"/>
      <c r="EO2117" s="2"/>
      <c r="GT2117" s="155"/>
      <c r="HZ2117" s="2"/>
      <c r="KD2117" s="2"/>
      <c r="KE2117" s="2"/>
    </row>
    <row r="2118" spans="24:292" ht="15" customHeight="1" x14ac:dyDescent="0.25">
      <c r="X2118" s="2"/>
      <c r="AM2118" s="2"/>
      <c r="EO2118" s="2"/>
      <c r="GT2118" s="155"/>
      <c r="HZ2118" s="2"/>
      <c r="KD2118" s="2"/>
      <c r="KE2118" s="2"/>
    </row>
    <row r="2119" spans="24:292" ht="15" customHeight="1" x14ac:dyDescent="0.25">
      <c r="X2119" s="2"/>
      <c r="AM2119" s="2"/>
      <c r="EO2119" s="2"/>
      <c r="GT2119" s="155"/>
      <c r="HZ2119" s="2"/>
      <c r="KD2119" s="2"/>
    </row>
    <row r="2120" spans="24:292" ht="15" customHeight="1" x14ac:dyDescent="0.25">
      <c r="X2120" s="2"/>
      <c r="AM2120" s="2"/>
      <c r="EO2120" s="2"/>
      <c r="GT2120" s="155"/>
      <c r="HZ2120" s="2"/>
      <c r="KD2120" s="2"/>
    </row>
    <row r="2121" spans="24:292" ht="15" customHeight="1" x14ac:dyDescent="0.25">
      <c r="X2121" s="2"/>
      <c r="AM2121" s="2"/>
      <c r="EO2121" s="2"/>
      <c r="GT2121" s="155"/>
      <c r="HZ2121" s="2"/>
      <c r="KD2121" s="2"/>
    </row>
    <row r="2122" spans="24:292" ht="15" customHeight="1" x14ac:dyDescent="0.25">
      <c r="X2122" s="2"/>
      <c r="AM2122" s="2"/>
      <c r="EO2122" s="2"/>
      <c r="GT2122" s="155"/>
      <c r="HZ2122" s="2"/>
      <c r="KD2122" s="2"/>
      <c r="KE2122" s="2"/>
    </row>
    <row r="2123" spans="24:292" ht="15" customHeight="1" x14ac:dyDescent="0.25">
      <c r="X2123" s="2"/>
      <c r="AM2123" s="2"/>
      <c r="EO2123" s="2"/>
      <c r="GT2123" s="155"/>
      <c r="HZ2123" s="2"/>
      <c r="KD2123" s="2"/>
      <c r="KE2123" s="2"/>
      <c r="KF2123" s="2"/>
    </row>
    <row r="2124" spans="24:292" ht="15" customHeight="1" x14ac:dyDescent="0.25">
      <c r="X2124" s="2"/>
      <c r="AM2124" s="2"/>
      <c r="EO2124" s="2"/>
      <c r="GT2124" s="155"/>
      <c r="HZ2124" s="2"/>
      <c r="KD2124" s="2"/>
      <c r="KE2124" s="2"/>
    </row>
    <row r="2125" spans="24:292" ht="15" customHeight="1" x14ac:dyDescent="0.25">
      <c r="X2125" s="2"/>
      <c r="AM2125" s="2"/>
      <c r="EO2125" s="2"/>
      <c r="GT2125" s="155"/>
      <c r="HZ2125" s="2"/>
      <c r="KD2125" s="2"/>
    </row>
    <row r="2126" spans="24:292" ht="15" customHeight="1" x14ac:dyDescent="0.25">
      <c r="X2126" s="2"/>
      <c r="AM2126" s="2"/>
      <c r="EO2126" s="2"/>
      <c r="GT2126" s="155"/>
      <c r="HZ2126" s="2"/>
      <c r="KD2126" s="2"/>
      <c r="KE2126" s="2"/>
    </row>
    <row r="2127" spans="24:292" ht="15" customHeight="1" x14ac:dyDescent="0.25">
      <c r="X2127" s="2"/>
      <c r="AM2127" s="2"/>
      <c r="EO2127" s="2"/>
      <c r="GT2127" s="155"/>
      <c r="HZ2127" s="2"/>
      <c r="KD2127" s="2"/>
    </row>
    <row r="2128" spans="24:292" ht="15" customHeight="1" x14ac:dyDescent="0.25">
      <c r="X2128" s="2"/>
      <c r="AM2128" s="2"/>
      <c r="EO2128" s="2"/>
      <c r="GT2128" s="155"/>
      <c r="HZ2128" s="2"/>
      <c r="KD2128" s="2"/>
    </row>
    <row r="2129" spans="24:296" ht="15" customHeight="1" x14ac:dyDescent="0.25">
      <c r="X2129" s="2"/>
      <c r="AM2129" s="2"/>
      <c r="EO2129" s="2"/>
      <c r="GT2129" s="155"/>
      <c r="HZ2129" s="2"/>
      <c r="KD2129" s="2"/>
      <c r="KE2129" s="2"/>
      <c r="KF2129" s="2"/>
      <c r="KG2129" s="2"/>
      <c r="KH2129" s="2"/>
      <c r="KI2129" s="2"/>
      <c r="KJ2129" s="2"/>
    </row>
    <row r="2130" spans="24:296" ht="15" customHeight="1" x14ac:dyDescent="0.25">
      <c r="X2130" s="2"/>
      <c r="AM2130" s="2"/>
      <c r="EO2130" s="2"/>
      <c r="GT2130" s="155"/>
      <c r="HZ2130" s="2"/>
      <c r="KD2130" s="2"/>
      <c r="KE2130" s="2"/>
    </row>
    <row r="2131" spans="24:296" ht="15" customHeight="1" x14ac:dyDescent="0.25">
      <c r="X2131" s="2"/>
      <c r="AM2131" s="2"/>
      <c r="EO2131" s="2"/>
      <c r="GT2131" s="155"/>
      <c r="HZ2131" s="2"/>
      <c r="KD2131" s="2"/>
      <c r="KE2131" s="2"/>
    </row>
    <row r="2132" spans="24:296" ht="15" customHeight="1" x14ac:dyDescent="0.25">
      <c r="X2132" s="2"/>
      <c r="AM2132" s="2"/>
      <c r="EO2132" s="2"/>
      <c r="GT2132" s="155"/>
      <c r="HZ2132" s="2"/>
      <c r="KD2132" s="2"/>
      <c r="KE2132" s="2"/>
    </row>
    <row r="2133" spans="24:296" ht="15" customHeight="1" x14ac:dyDescent="0.25">
      <c r="X2133" s="2"/>
      <c r="AM2133" s="2"/>
      <c r="EO2133" s="2"/>
      <c r="GT2133" s="155"/>
      <c r="HZ2133" s="2"/>
      <c r="KD2133" s="2"/>
    </row>
    <row r="2134" spans="24:296" ht="15" customHeight="1" x14ac:dyDescent="0.25">
      <c r="X2134" s="2"/>
      <c r="AM2134" s="2"/>
      <c r="EO2134" s="2"/>
      <c r="GT2134" s="155"/>
      <c r="HZ2134" s="2"/>
    </row>
    <row r="2135" spans="24:296" ht="15" customHeight="1" x14ac:dyDescent="0.25">
      <c r="X2135" s="2"/>
      <c r="AM2135" s="2"/>
      <c r="EO2135" s="2"/>
      <c r="GT2135" s="155"/>
      <c r="HZ2135" s="2"/>
      <c r="KD2135" s="2"/>
    </row>
    <row r="2136" spans="24:296" ht="15" customHeight="1" x14ac:dyDescent="0.25">
      <c r="X2136" s="2"/>
      <c r="AM2136" s="2"/>
      <c r="EO2136" s="2"/>
      <c r="GT2136" s="155"/>
      <c r="HZ2136" s="2"/>
      <c r="KD2136" s="2"/>
    </row>
    <row r="2137" spans="24:296" ht="15" customHeight="1" x14ac:dyDescent="0.25">
      <c r="X2137" s="2"/>
      <c r="AM2137" s="2"/>
      <c r="EO2137" s="2"/>
      <c r="GT2137" s="155"/>
      <c r="HZ2137" s="2"/>
      <c r="KD2137" s="2"/>
    </row>
    <row r="2138" spans="24:296" ht="15" customHeight="1" x14ac:dyDescent="0.25">
      <c r="X2138" s="2"/>
      <c r="AM2138" s="2"/>
      <c r="EO2138" s="2"/>
      <c r="GT2138" s="155"/>
      <c r="HZ2138" s="2"/>
    </row>
    <row r="2139" spans="24:296" ht="15" customHeight="1" x14ac:dyDescent="0.25">
      <c r="X2139" s="2"/>
      <c r="AM2139" s="2"/>
      <c r="EO2139" s="2"/>
      <c r="GT2139" s="155"/>
      <c r="HZ2139" s="2"/>
      <c r="KD2139" s="2"/>
      <c r="KE2139" s="2"/>
    </row>
    <row r="2140" spans="24:296" ht="15" customHeight="1" x14ac:dyDescent="0.25">
      <c r="X2140" s="2"/>
      <c r="AM2140" s="2"/>
      <c r="EO2140" s="2"/>
      <c r="GT2140" s="155"/>
      <c r="HZ2140" s="2"/>
      <c r="KD2140" s="2"/>
      <c r="KE2140" s="2"/>
      <c r="KF2140" s="2"/>
    </row>
    <row r="2141" spans="24:296" ht="15" customHeight="1" x14ac:dyDescent="0.25">
      <c r="X2141" s="2"/>
      <c r="AM2141" s="2"/>
      <c r="EO2141" s="2"/>
      <c r="GT2141" s="155"/>
      <c r="HZ2141" s="2"/>
      <c r="KD2141" s="2"/>
    </row>
    <row r="2142" spans="24:296" ht="15" customHeight="1" x14ac:dyDescent="0.25">
      <c r="X2142" s="2"/>
      <c r="AM2142" s="2"/>
      <c r="EO2142" s="2"/>
      <c r="GT2142" s="155"/>
      <c r="HZ2142" s="2"/>
      <c r="KD2142" s="2"/>
      <c r="KE2142" s="2"/>
      <c r="KF2142" s="2"/>
    </row>
    <row r="2143" spans="24:296" ht="15" customHeight="1" x14ac:dyDescent="0.25">
      <c r="X2143" s="2"/>
      <c r="AM2143" s="2"/>
      <c r="EO2143" s="2"/>
      <c r="GT2143" s="155"/>
      <c r="HZ2143" s="2"/>
      <c r="KD2143" s="2"/>
    </row>
    <row r="2144" spans="24:296" ht="15" customHeight="1" x14ac:dyDescent="0.25">
      <c r="X2144" s="2"/>
      <c r="AM2144" s="2"/>
      <c r="EO2144" s="2"/>
      <c r="GT2144" s="155"/>
      <c r="HZ2144" s="2"/>
      <c r="KD2144" s="2"/>
    </row>
    <row r="2145" spans="24:293" ht="15" customHeight="1" x14ac:dyDescent="0.25">
      <c r="X2145" s="2"/>
      <c r="AM2145" s="2"/>
      <c r="EO2145" s="2"/>
      <c r="GT2145" s="155"/>
      <c r="HZ2145" s="2"/>
      <c r="KD2145" s="2"/>
    </row>
    <row r="2146" spans="24:293" ht="15" customHeight="1" x14ac:dyDescent="0.25">
      <c r="X2146" s="2"/>
      <c r="AM2146" s="2"/>
      <c r="EO2146" s="2"/>
      <c r="GT2146" s="155"/>
      <c r="HZ2146" s="2"/>
      <c r="KD2146" s="2"/>
    </row>
    <row r="2147" spans="24:293" ht="15" customHeight="1" x14ac:dyDescent="0.25">
      <c r="X2147" s="2"/>
      <c r="AM2147" s="2"/>
      <c r="EO2147" s="2"/>
      <c r="GT2147" s="155"/>
      <c r="HZ2147" s="2"/>
      <c r="KD2147" s="2"/>
    </row>
    <row r="2148" spans="24:293" ht="15" customHeight="1" x14ac:dyDescent="0.25">
      <c r="X2148" s="2"/>
      <c r="AM2148" s="2"/>
      <c r="EO2148" s="2"/>
      <c r="GT2148" s="155"/>
      <c r="HZ2148" s="2"/>
      <c r="KD2148" s="2"/>
    </row>
    <row r="2149" spans="24:293" ht="15" customHeight="1" x14ac:dyDescent="0.25">
      <c r="X2149" s="2"/>
      <c r="AM2149" s="2"/>
      <c r="EO2149" s="2"/>
      <c r="GT2149" s="155"/>
      <c r="HZ2149" s="2"/>
      <c r="KD2149" s="2"/>
    </row>
    <row r="2150" spans="24:293" ht="15" customHeight="1" x14ac:dyDescent="0.25">
      <c r="X2150" s="2"/>
      <c r="AM2150" s="2"/>
      <c r="EO2150" s="2"/>
      <c r="GT2150" s="155"/>
      <c r="HZ2150" s="2"/>
    </row>
    <row r="2151" spans="24:293" ht="15" customHeight="1" x14ac:dyDescent="0.25">
      <c r="X2151" s="2"/>
      <c r="AM2151" s="2"/>
      <c r="EO2151" s="2"/>
      <c r="GT2151" s="155"/>
      <c r="HZ2151" s="2"/>
      <c r="KD2151" s="2"/>
      <c r="KE2151" s="2"/>
    </row>
    <row r="2152" spans="24:293" ht="15" customHeight="1" x14ac:dyDescent="0.25">
      <c r="X2152" s="2"/>
      <c r="AM2152" s="2"/>
      <c r="EO2152" s="2"/>
      <c r="GT2152" s="155"/>
      <c r="HZ2152" s="2"/>
      <c r="KD2152" s="2"/>
    </row>
    <row r="2153" spans="24:293" ht="15" customHeight="1" x14ac:dyDescent="0.25">
      <c r="X2153" s="2"/>
      <c r="AM2153" s="2"/>
      <c r="EO2153" s="2"/>
      <c r="GT2153" s="155"/>
      <c r="HZ2153" s="2"/>
      <c r="KD2153" s="2"/>
    </row>
    <row r="2154" spans="24:293" ht="15" customHeight="1" x14ac:dyDescent="0.25">
      <c r="X2154" s="2"/>
      <c r="AM2154" s="2"/>
      <c r="EO2154" s="2"/>
      <c r="GT2154" s="155"/>
      <c r="HZ2154" s="2"/>
      <c r="KD2154" s="2"/>
      <c r="KE2154" s="2"/>
      <c r="KF2154" s="2"/>
      <c r="KG2154" s="2"/>
    </row>
    <row r="2155" spans="24:293" ht="15" customHeight="1" x14ac:dyDescent="0.25">
      <c r="X2155" s="2"/>
      <c r="AM2155" s="2"/>
      <c r="EO2155" s="2"/>
      <c r="GT2155" s="155"/>
      <c r="HZ2155" s="2"/>
      <c r="KD2155" s="2"/>
      <c r="KE2155" s="2"/>
    </row>
    <row r="2156" spans="24:293" ht="15" customHeight="1" x14ac:dyDescent="0.25">
      <c r="X2156" s="2"/>
      <c r="AM2156" s="2"/>
      <c r="EO2156" s="2"/>
      <c r="GT2156" s="155"/>
      <c r="HZ2156" s="2"/>
      <c r="KD2156" s="2"/>
      <c r="KE2156" s="2"/>
    </row>
    <row r="2157" spans="24:293" ht="15" customHeight="1" x14ac:dyDescent="0.25">
      <c r="X2157" s="2"/>
      <c r="AM2157" s="2"/>
      <c r="EO2157" s="2"/>
      <c r="GT2157" s="155"/>
      <c r="HZ2157" s="2"/>
      <c r="KD2157" s="2"/>
      <c r="KE2157" s="2"/>
      <c r="KF2157" s="2"/>
      <c r="KG2157" s="2"/>
    </row>
    <row r="2158" spans="24:293" ht="15" customHeight="1" x14ac:dyDescent="0.25">
      <c r="X2158" s="2"/>
      <c r="AM2158" s="2"/>
      <c r="EO2158" s="2"/>
      <c r="GT2158" s="155"/>
      <c r="HZ2158" s="2"/>
      <c r="KD2158" s="2"/>
      <c r="KE2158" s="2"/>
    </row>
    <row r="2159" spans="24:293" ht="15" customHeight="1" x14ac:dyDescent="0.25">
      <c r="X2159" s="2"/>
      <c r="AM2159" s="2"/>
      <c r="EO2159" s="2"/>
      <c r="GT2159" s="155"/>
      <c r="HZ2159" s="2"/>
      <c r="KD2159" s="2"/>
      <c r="KE2159" s="2"/>
      <c r="KF2159" s="2"/>
    </row>
    <row r="2160" spans="24:293" ht="15" customHeight="1" x14ac:dyDescent="0.25">
      <c r="X2160" s="2"/>
      <c r="AM2160" s="2"/>
      <c r="EO2160" s="2"/>
      <c r="GT2160" s="155"/>
      <c r="HZ2160" s="2"/>
      <c r="KD2160" s="2"/>
    </row>
    <row r="2161" spans="24:293" ht="15" customHeight="1" x14ac:dyDescent="0.25">
      <c r="X2161" s="2"/>
      <c r="AM2161" s="2"/>
      <c r="EO2161" s="2"/>
      <c r="GT2161" s="155"/>
      <c r="HZ2161" s="2"/>
      <c r="KD2161" s="2"/>
      <c r="KE2161" s="2"/>
    </row>
    <row r="2162" spans="24:293" ht="15" customHeight="1" x14ac:dyDescent="0.25">
      <c r="X2162" s="2"/>
      <c r="AM2162" s="2"/>
      <c r="EO2162" s="2"/>
      <c r="GT2162" s="155"/>
      <c r="HZ2162" s="2"/>
      <c r="KD2162" s="2"/>
    </row>
    <row r="2163" spans="24:293" ht="15" customHeight="1" x14ac:dyDescent="0.25">
      <c r="X2163" s="2"/>
      <c r="AM2163" s="2"/>
      <c r="EO2163" s="2"/>
      <c r="GT2163" s="155"/>
      <c r="HZ2163" s="2"/>
      <c r="KD2163" s="2"/>
    </row>
    <row r="2164" spans="24:293" ht="15" customHeight="1" x14ac:dyDescent="0.25">
      <c r="X2164" s="2"/>
      <c r="AM2164" s="2"/>
      <c r="EO2164" s="2"/>
      <c r="GT2164" s="155"/>
      <c r="HZ2164" s="2"/>
      <c r="KD2164" s="2"/>
      <c r="KE2164" s="2"/>
    </row>
    <row r="2165" spans="24:293" ht="15" customHeight="1" x14ac:dyDescent="0.25">
      <c r="X2165" s="2"/>
      <c r="AM2165" s="2"/>
      <c r="EO2165" s="2"/>
      <c r="GT2165" s="155"/>
      <c r="HZ2165" s="2"/>
      <c r="KD2165" s="2"/>
    </row>
    <row r="2166" spans="24:293" ht="15" customHeight="1" x14ac:dyDescent="0.25">
      <c r="X2166" s="2"/>
      <c r="AM2166" s="2"/>
      <c r="EO2166" s="2"/>
      <c r="GT2166" s="155"/>
      <c r="HZ2166" s="2"/>
      <c r="KD2166" s="2"/>
    </row>
    <row r="2167" spans="24:293" ht="15" customHeight="1" x14ac:dyDescent="0.25">
      <c r="X2167" s="2"/>
      <c r="AM2167" s="2"/>
      <c r="EO2167" s="2"/>
      <c r="GT2167" s="155"/>
      <c r="HZ2167" s="2"/>
      <c r="KD2167" s="2"/>
    </row>
    <row r="2168" spans="24:293" ht="15" customHeight="1" x14ac:dyDescent="0.25">
      <c r="X2168" s="2"/>
      <c r="AM2168" s="2"/>
      <c r="EO2168" s="2"/>
      <c r="GT2168" s="155"/>
      <c r="HZ2168" s="2"/>
      <c r="KD2168" s="2"/>
      <c r="KE2168" s="2"/>
    </row>
    <row r="2169" spans="24:293" ht="15" customHeight="1" x14ac:dyDescent="0.25">
      <c r="X2169" s="2"/>
      <c r="AM2169" s="2"/>
      <c r="EO2169" s="2"/>
      <c r="GT2169" s="155"/>
      <c r="HZ2169" s="2"/>
      <c r="KD2169" s="2"/>
      <c r="KE2169" s="2"/>
    </row>
    <row r="2170" spans="24:293" ht="15" customHeight="1" x14ac:dyDescent="0.25">
      <c r="X2170" s="2"/>
      <c r="AM2170" s="2"/>
      <c r="EO2170" s="2"/>
      <c r="GT2170" s="155"/>
      <c r="HZ2170" s="2"/>
      <c r="KD2170" s="2"/>
      <c r="KE2170" s="2"/>
      <c r="KF2170" s="2"/>
      <c r="KG2170" s="2"/>
    </row>
    <row r="2171" spans="24:293" ht="15" customHeight="1" x14ac:dyDescent="0.25">
      <c r="X2171" s="2"/>
      <c r="AM2171" s="2"/>
      <c r="EO2171" s="2"/>
      <c r="GT2171" s="155"/>
      <c r="HZ2171" s="2"/>
      <c r="KD2171" s="2"/>
      <c r="KE2171" s="2"/>
    </row>
    <row r="2172" spans="24:293" ht="15" customHeight="1" x14ac:dyDescent="0.25">
      <c r="X2172" s="2"/>
      <c r="AM2172" s="2"/>
      <c r="EO2172" s="2"/>
      <c r="GT2172" s="155"/>
      <c r="HZ2172" s="2"/>
      <c r="KD2172" s="2"/>
    </row>
    <row r="2173" spans="24:293" ht="15" customHeight="1" x14ac:dyDescent="0.25">
      <c r="X2173" s="2"/>
      <c r="AM2173" s="2"/>
      <c r="EO2173" s="2"/>
      <c r="GT2173" s="155"/>
      <c r="HZ2173" s="2"/>
    </row>
    <row r="2174" spans="24:293" ht="15" customHeight="1" x14ac:dyDescent="0.25">
      <c r="X2174" s="2"/>
      <c r="AM2174" s="2"/>
      <c r="EO2174" s="2"/>
      <c r="GT2174" s="155"/>
      <c r="HZ2174" s="2"/>
    </row>
    <row r="2175" spans="24:293" ht="15" customHeight="1" x14ac:dyDescent="0.25">
      <c r="X2175" s="2"/>
      <c r="AM2175" s="2"/>
      <c r="EO2175" s="2"/>
      <c r="GT2175" s="155"/>
      <c r="HZ2175" s="2"/>
      <c r="KD2175" s="2"/>
    </row>
    <row r="2176" spans="24:293" ht="15" customHeight="1" x14ac:dyDescent="0.25">
      <c r="X2176" s="2"/>
      <c r="AM2176" s="2"/>
      <c r="EO2176" s="2"/>
      <c r="GT2176" s="155"/>
      <c r="HZ2176" s="2"/>
      <c r="KD2176" s="2"/>
    </row>
    <row r="2177" spans="24:296" ht="15" customHeight="1" x14ac:dyDescent="0.25">
      <c r="X2177" s="2"/>
      <c r="AM2177" s="2"/>
      <c r="EO2177" s="2"/>
      <c r="GT2177" s="155"/>
      <c r="HZ2177" s="2"/>
      <c r="KD2177" s="2"/>
    </row>
    <row r="2178" spans="24:296" ht="15" customHeight="1" x14ac:dyDescent="0.25">
      <c r="X2178" s="2"/>
      <c r="AM2178" s="2"/>
      <c r="EO2178" s="2"/>
      <c r="GT2178" s="155"/>
      <c r="HZ2178" s="2"/>
      <c r="KD2178" s="2"/>
      <c r="KE2178" s="2"/>
      <c r="KF2178" s="2"/>
    </row>
    <row r="2179" spans="24:296" ht="15" customHeight="1" x14ac:dyDescent="0.25">
      <c r="X2179" s="2"/>
      <c r="AM2179" s="2"/>
      <c r="EO2179" s="2"/>
      <c r="GT2179" s="155"/>
      <c r="HZ2179" s="2"/>
      <c r="KD2179" s="2"/>
      <c r="KE2179" s="2"/>
      <c r="KF2179" s="2"/>
    </row>
    <row r="2180" spans="24:296" ht="15" customHeight="1" x14ac:dyDescent="0.25">
      <c r="X2180" s="2"/>
      <c r="AM2180" s="2"/>
      <c r="EO2180" s="2"/>
      <c r="GT2180" s="155"/>
      <c r="HZ2180" s="2"/>
      <c r="KD2180" s="2"/>
      <c r="KE2180" s="2"/>
    </row>
    <row r="2181" spans="24:296" ht="15" customHeight="1" x14ac:dyDescent="0.25">
      <c r="X2181" s="2"/>
      <c r="AM2181" s="2"/>
      <c r="EO2181" s="2"/>
      <c r="GT2181" s="155"/>
      <c r="HZ2181" s="2"/>
      <c r="KD2181" s="2"/>
      <c r="KE2181" s="2"/>
    </row>
    <row r="2182" spans="24:296" ht="15" customHeight="1" x14ac:dyDescent="0.25">
      <c r="X2182" s="2"/>
      <c r="AM2182" s="2"/>
      <c r="EO2182" s="2"/>
      <c r="GT2182" s="155"/>
      <c r="HZ2182" s="2"/>
      <c r="KD2182" s="2"/>
      <c r="KE2182" s="2"/>
    </row>
    <row r="2183" spans="24:296" ht="15" customHeight="1" x14ac:dyDescent="0.25">
      <c r="X2183" s="2"/>
      <c r="AM2183" s="2"/>
      <c r="EO2183" s="2"/>
      <c r="GT2183" s="155"/>
      <c r="HZ2183" s="2"/>
      <c r="KD2183" s="2"/>
      <c r="KE2183" s="2"/>
    </row>
    <row r="2184" spans="24:296" ht="15" customHeight="1" x14ac:dyDescent="0.25">
      <c r="X2184" s="2"/>
      <c r="AM2184" s="2"/>
      <c r="EO2184" s="2"/>
      <c r="GT2184" s="155"/>
      <c r="HZ2184" s="2"/>
      <c r="KD2184" s="2"/>
    </row>
    <row r="2185" spans="24:296" ht="15" customHeight="1" x14ac:dyDescent="0.25">
      <c r="X2185" s="2"/>
      <c r="AM2185" s="2"/>
      <c r="EO2185" s="2"/>
      <c r="GT2185" s="155"/>
      <c r="HZ2185" s="2"/>
      <c r="KD2185" s="2"/>
    </row>
    <row r="2186" spans="24:296" ht="15" customHeight="1" x14ac:dyDescent="0.25">
      <c r="X2186" s="2"/>
      <c r="AM2186" s="2"/>
      <c r="EO2186" s="2"/>
      <c r="GT2186" s="155"/>
      <c r="HZ2186" s="2"/>
      <c r="KD2186" s="2"/>
      <c r="KE2186" s="2"/>
    </row>
    <row r="2187" spans="24:296" ht="15" customHeight="1" x14ac:dyDescent="0.25">
      <c r="X2187" s="2"/>
      <c r="AM2187" s="2"/>
      <c r="EO2187" s="2"/>
      <c r="GT2187" s="155"/>
      <c r="HZ2187" s="2"/>
      <c r="KD2187" s="2"/>
    </row>
    <row r="2188" spans="24:296" ht="15" customHeight="1" x14ac:dyDescent="0.25">
      <c r="X2188" s="2"/>
      <c r="AM2188" s="2"/>
      <c r="EO2188" s="2"/>
      <c r="GT2188" s="155"/>
      <c r="HZ2188" s="2"/>
    </row>
    <row r="2189" spans="24:296" ht="15" customHeight="1" x14ac:dyDescent="0.25">
      <c r="X2189" s="2"/>
      <c r="AM2189" s="2"/>
      <c r="EO2189" s="2"/>
      <c r="GT2189" s="155"/>
      <c r="HZ2189" s="2"/>
      <c r="KD2189" s="2"/>
      <c r="KE2189" s="2"/>
      <c r="KF2189" s="2"/>
    </row>
    <row r="2190" spans="24:296" ht="15" customHeight="1" x14ac:dyDescent="0.25">
      <c r="X2190" s="2"/>
      <c r="AM2190" s="2"/>
      <c r="EO2190" s="2"/>
      <c r="GT2190" s="155"/>
      <c r="HZ2190" s="2"/>
      <c r="KD2190" s="2"/>
      <c r="KE2190" s="2"/>
    </row>
    <row r="2191" spans="24:296" ht="15" customHeight="1" x14ac:dyDescent="0.25">
      <c r="X2191" s="2"/>
      <c r="AM2191" s="2"/>
      <c r="EO2191" s="2"/>
      <c r="GT2191" s="155"/>
      <c r="HZ2191" s="2"/>
      <c r="KD2191" s="2"/>
    </row>
    <row r="2192" spans="24:296" ht="15" customHeight="1" x14ac:dyDescent="0.25">
      <c r="X2192" s="2"/>
      <c r="AM2192" s="2"/>
      <c r="EO2192" s="2"/>
      <c r="GT2192" s="155"/>
      <c r="HZ2192" s="2"/>
      <c r="KD2192" s="2"/>
      <c r="KE2192" s="2"/>
      <c r="KF2192" s="2"/>
      <c r="KG2192" s="2"/>
      <c r="KH2192" s="2"/>
      <c r="KI2192" s="2"/>
      <c r="KJ2192" s="2"/>
    </row>
    <row r="2193" spans="24:296" ht="15" customHeight="1" x14ac:dyDescent="0.25">
      <c r="X2193" s="2"/>
      <c r="AM2193" s="2"/>
      <c r="EO2193" s="2"/>
      <c r="GT2193" s="155"/>
      <c r="HZ2193" s="2"/>
      <c r="KD2193" s="2"/>
      <c r="KE2193" s="2"/>
    </row>
    <row r="2194" spans="24:296" ht="15" customHeight="1" x14ac:dyDescent="0.25">
      <c r="X2194" s="2"/>
      <c r="AM2194" s="2"/>
      <c r="EO2194" s="2"/>
      <c r="GT2194" s="155"/>
      <c r="HZ2194" s="2"/>
      <c r="KD2194" s="2"/>
    </row>
    <row r="2195" spans="24:296" ht="15" customHeight="1" x14ac:dyDescent="0.25">
      <c r="X2195" s="2"/>
      <c r="AM2195" s="2"/>
      <c r="EO2195" s="2"/>
      <c r="GT2195" s="155"/>
      <c r="HZ2195" s="2"/>
      <c r="KD2195" s="2"/>
    </row>
    <row r="2196" spans="24:296" ht="15" customHeight="1" x14ac:dyDescent="0.25">
      <c r="X2196" s="2"/>
      <c r="AM2196" s="2"/>
      <c r="EO2196" s="2"/>
      <c r="GT2196" s="155"/>
      <c r="HZ2196" s="2"/>
      <c r="KD2196" s="2"/>
    </row>
    <row r="2197" spans="24:296" ht="15" customHeight="1" x14ac:dyDescent="0.25">
      <c r="X2197" s="2"/>
      <c r="AM2197" s="2"/>
      <c r="EO2197" s="2"/>
      <c r="GT2197" s="155"/>
      <c r="HZ2197" s="2"/>
      <c r="KD2197" s="2"/>
    </row>
    <row r="2198" spans="24:296" ht="15" customHeight="1" x14ac:dyDescent="0.25">
      <c r="X2198" s="2"/>
      <c r="AM2198" s="2"/>
      <c r="EO2198" s="2"/>
      <c r="GT2198" s="155"/>
      <c r="HZ2198" s="2"/>
      <c r="KD2198" s="2"/>
      <c r="KE2198" s="2"/>
      <c r="KF2198" s="2"/>
      <c r="KG2198" s="2"/>
    </row>
    <row r="2199" spans="24:296" ht="15" customHeight="1" x14ac:dyDescent="0.25">
      <c r="X2199" s="2"/>
      <c r="AM2199" s="2"/>
      <c r="EO2199" s="2"/>
      <c r="GT2199" s="155"/>
      <c r="HZ2199" s="2"/>
      <c r="KD2199" s="2"/>
      <c r="KE2199" s="2"/>
      <c r="KF2199" s="2"/>
    </row>
    <row r="2200" spans="24:296" ht="15" customHeight="1" x14ac:dyDescent="0.25">
      <c r="X2200" s="2"/>
      <c r="AM2200" s="2"/>
      <c r="EO2200" s="2"/>
      <c r="GT2200" s="155"/>
      <c r="HZ2200" s="2"/>
      <c r="KD2200" s="2"/>
      <c r="KE2200" s="2"/>
      <c r="KF2200" s="2"/>
    </row>
    <row r="2201" spans="24:296" ht="15" customHeight="1" x14ac:dyDescent="0.25">
      <c r="X2201" s="2"/>
      <c r="AM2201" s="2"/>
      <c r="EO2201" s="2"/>
      <c r="GT2201" s="155"/>
      <c r="HZ2201" s="2"/>
      <c r="KD2201" s="2"/>
    </row>
    <row r="2202" spans="24:296" ht="15" customHeight="1" x14ac:dyDescent="0.25">
      <c r="X2202" s="2"/>
      <c r="AM2202" s="2"/>
      <c r="EO2202" s="2"/>
      <c r="GT2202" s="155"/>
      <c r="HZ2202" s="2"/>
      <c r="KD2202" s="2"/>
      <c r="KE2202" s="2"/>
    </row>
    <row r="2203" spans="24:296" ht="15" customHeight="1" x14ac:dyDescent="0.25">
      <c r="X2203" s="2"/>
      <c r="AM2203" s="2"/>
      <c r="EO2203" s="2"/>
      <c r="GT2203" s="155"/>
      <c r="HZ2203" s="2"/>
      <c r="KD2203" s="2"/>
      <c r="KE2203" s="2"/>
      <c r="KF2203" s="2"/>
      <c r="KG2203" s="2"/>
      <c r="KH2203" s="2"/>
      <c r="KI2203" s="2"/>
      <c r="KJ2203" s="2"/>
    </row>
    <row r="2204" spans="24:296" ht="15" customHeight="1" x14ac:dyDescent="0.25">
      <c r="X2204" s="2"/>
      <c r="AM2204" s="2"/>
      <c r="EO2204" s="2"/>
      <c r="GT2204" s="155"/>
      <c r="HZ2204" s="2"/>
      <c r="KD2204" s="2"/>
    </row>
    <row r="2205" spans="24:296" ht="15" customHeight="1" x14ac:dyDescent="0.25">
      <c r="X2205" s="2"/>
      <c r="AM2205" s="2"/>
      <c r="EO2205" s="2"/>
      <c r="GT2205" s="155"/>
      <c r="HZ2205" s="2"/>
    </row>
    <row r="2206" spans="24:296" ht="15" customHeight="1" x14ac:dyDescent="0.25">
      <c r="X2206" s="2"/>
      <c r="AM2206" s="2"/>
      <c r="EO2206" s="2"/>
      <c r="GT2206" s="155"/>
      <c r="HZ2206" s="2"/>
      <c r="KD2206" s="2"/>
      <c r="KE2206" s="2"/>
    </row>
    <row r="2207" spans="24:296" ht="15" customHeight="1" x14ac:dyDescent="0.25">
      <c r="X2207" s="2"/>
      <c r="AM2207" s="2"/>
      <c r="EO2207" s="2"/>
      <c r="GT2207" s="155"/>
      <c r="HZ2207" s="2"/>
      <c r="KD2207" s="2"/>
      <c r="KE2207" s="2"/>
    </row>
    <row r="2208" spans="24:296" ht="15" customHeight="1" x14ac:dyDescent="0.25">
      <c r="X2208" s="2"/>
      <c r="AM2208" s="2"/>
      <c r="EO2208" s="2"/>
      <c r="GT2208" s="155"/>
      <c r="HZ2208" s="2"/>
      <c r="KD2208" s="2"/>
      <c r="KE2208" s="2"/>
    </row>
    <row r="2209" spans="24:292" ht="15" customHeight="1" x14ac:dyDescent="0.25">
      <c r="X2209" s="2"/>
      <c r="AM2209" s="2"/>
      <c r="EO2209" s="2"/>
      <c r="GT2209" s="155"/>
      <c r="HZ2209" s="2"/>
      <c r="KD2209" s="2"/>
    </row>
    <row r="2210" spans="24:292" ht="15" customHeight="1" x14ac:dyDescent="0.25">
      <c r="X2210" s="2"/>
      <c r="AM2210" s="2"/>
      <c r="EO2210" s="2"/>
      <c r="GT2210" s="155"/>
      <c r="HZ2210" s="2"/>
      <c r="KD2210" s="2"/>
      <c r="KE2210" s="2"/>
      <c r="KF2210" s="2"/>
    </row>
    <row r="2211" spans="24:292" ht="15" customHeight="1" x14ac:dyDescent="0.25">
      <c r="X2211" s="2"/>
      <c r="AM2211" s="2"/>
      <c r="EO2211" s="2"/>
      <c r="GT2211" s="155"/>
      <c r="HZ2211" s="2"/>
      <c r="KD2211" s="2"/>
    </row>
    <row r="2212" spans="24:292" ht="15" customHeight="1" x14ac:dyDescent="0.25">
      <c r="X2212" s="2"/>
      <c r="AM2212" s="2"/>
      <c r="EO2212" s="2"/>
      <c r="GT2212" s="155"/>
      <c r="HZ2212" s="2"/>
      <c r="KD2212" s="2"/>
    </row>
    <row r="2213" spans="24:292" ht="15" customHeight="1" x14ac:dyDescent="0.25">
      <c r="X2213" s="2"/>
      <c r="AM2213" s="2"/>
      <c r="EO2213" s="2"/>
      <c r="GT2213" s="155"/>
      <c r="HZ2213" s="2"/>
      <c r="KD2213" s="2"/>
      <c r="KE2213" s="2"/>
      <c r="KF2213" s="2"/>
    </row>
    <row r="2214" spans="24:292" ht="15" customHeight="1" x14ac:dyDescent="0.25">
      <c r="X2214" s="2"/>
      <c r="AM2214" s="2"/>
      <c r="EO2214" s="2"/>
      <c r="GT2214" s="155"/>
      <c r="HZ2214" s="2"/>
      <c r="KD2214" s="2"/>
    </row>
    <row r="2215" spans="24:292" ht="15" customHeight="1" x14ac:dyDescent="0.25">
      <c r="X2215" s="2"/>
      <c r="AM2215" s="2"/>
      <c r="EO2215" s="2"/>
      <c r="GT2215" s="155"/>
      <c r="HZ2215" s="2"/>
      <c r="KD2215" s="2"/>
    </row>
    <row r="2216" spans="24:292" ht="15" customHeight="1" x14ac:dyDescent="0.25">
      <c r="X2216" s="2"/>
      <c r="AM2216" s="2"/>
      <c r="EO2216" s="2"/>
      <c r="GT2216" s="155"/>
      <c r="HZ2216" s="2"/>
      <c r="KD2216" s="2"/>
    </row>
    <row r="2217" spans="24:292" ht="15" customHeight="1" x14ac:dyDescent="0.25">
      <c r="X2217" s="2"/>
      <c r="AM2217" s="2"/>
      <c r="EO2217" s="2"/>
      <c r="GT2217" s="155"/>
      <c r="HZ2217" s="2"/>
      <c r="KD2217" s="2"/>
      <c r="KE2217" s="2"/>
    </row>
    <row r="2218" spans="24:292" ht="15" customHeight="1" x14ac:dyDescent="0.25">
      <c r="X2218" s="2"/>
      <c r="AM2218" s="2"/>
      <c r="EO2218" s="2"/>
      <c r="GT2218" s="155"/>
      <c r="HZ2218" s="2"/>
      <c r="KD2218" s="2"/>
    </row>
    <row r="2219" spans="24:292" ht="15" customHeight="1" x14ac:dyDescent="0.25">
      <c r="X2219" s="2"/>
      <c r="AM2219" s="2"/>
      <c r="EO2219" s="2"/>
      <c r="GT2219" s="155"/>
      <c r="HZ2219" s="2"/>
      <c r="KD2219" s="2"/>
      <c r="KE2219" s="2"/>
    </row>
    <row r="2220" spans="24:292" ht="15" customHeight="1" x14ac:dyDescent="0.25">
      <c r="X2220" s="2"/>
      <c r="AM2220" s="2"/>
      <c r="EO2220" s="2"/>
      <c r="GT2220" s="155"/>
      <c r="HZ2220" s="2"/>
      <c r="KD2220" s="2"/>
    </row>
    <row r="2221" spans="24:292" ht="15" customHeight="1" x14ac:dyDescent="0.25">
      <c r="X2221" s="2"/>
      <c r="AM2221" s="2"/>
      <c r="EO2221" s="2"/>
      <c r="GT2221" s="155"/>
      <c r="HZ2221" s="2"/>
      <c r="KD2221" s="2"/>
    </row>
    <row r="2222" spans="24:292" ht="15" customHeight="1" x14ac:dyDescent="0.25">
      <c r="X2222" s="2"/>
      <c r="AM2222" s="2"/>
      <c r="EO2222" s="2"/>
      <c r="GT2222" s="155"/>
      <c r="HZ2222" s="2"/>
      <c r="KD2222" s="2"/>
      <c r="KE2222" s="2"/>
      <c r="KF2222" s="2"/>
    </row>
    <row r="2223" spans="24:292" ht="15" customHeight="1" x14ac:dyDescent="0.25">
      <c r="X2223" s="2"/>
      <c r="AM2223" s="2"/>
      <c r="EO2223" s="2"/>
      <c r="GT2223" s="155"/>
      <c r="HZ2223" s="2"/>
      <c r="KD2223" s="2"/>
      <c r="KE2223" s="2"/>
    </row>
    <row r="2224" spans="24:292" ht="15" customHeight="1" x14ac:dyDescent="0.25">
      <c r="X2224" s="2"/>
      <c r="AM2224" s="2"/>
      <c r="EO2224" s="2"/>
      <c r="GT2224" s="155"/>
      <c r="HZ2224" s="2"/>
      <c r="KD2224" s="2"/>
      <c r="KE2224" s="2"/>
    </row>
    <row r="2225" spans="24:293" ht="15" customHeight="1" x14ac:dyDescent="0.25">
      <c r="X2225" s="2"/>
      <c r="AM2225" s="2"/>
      <c r="EO2225" s="2"/>
      <c r="GT2225" s="155"/>
      <c r="HZ2225" s="2"/>
      <c r="KD2225" s="2"/>
      <c r="KE2225" s="2"/>
    </row>
    <row r="2226" spans="24:293" ht="15" customHeight="1" x14ac:dyDescent="0.25">
      <c r="X2226" s="2"/>
      <c r="AM2226" s="2"/>
      <c r="EO2226" s="2"/>
      <c r="GT2226" s="155"/>
      <c r="HZ2226" s="2"/>
      <c r="KD2226" s="2"/>
    </row>
    <row r="2227" spans="24:293" ht="15" customHeight="1" x14ac:dyDescent="0.25">
      <c r="X2227" s="2"/>
      <c r="AM2227" s="2"/>
      <c r="EO2227" s="2"/>
      <c r="GT2227" s="155"/>
      <c r="HZ2227" s="2"/>
      <c r="KD2227" s="2"/>
      <c r="KE2227" s="2"/>
      <c r="KF2227" s="2"/>
      <c r="KG2227" s="2"/>
    </row>
    <row r="2228" spans="24:293" ht="15" customHeight="1" x14ac:dyDescent="0.25">
      <c r="X2228" s="2"/>
      <c r="AM2228" s="2"/>
      <c r="EO2228" s="2"/>
      <c r="GT2228" s="155"/>
      <c r="HZ2228" s="2"/>
    </row>
    <row r="2229" spans="24:293" ht="15" customHeight="1" x14ac:dyDescent="0.25">
      <c r="X2229" s="2"/>
      <c r="AM2229" s="2"/>
      <c r="EO2229" s="2"/>
      <c r="GT2229" s="155"/>
      <c r="HZ2229" s="2"/>
      <c r="KD2229" s="2"/>
    </row>
    <row r="2230" spans="24:293" ht="15" customHeight="1" x14ac:dyDescent="0.25">
      <c r="X2230" s="2"/>
      <c r="AM2230" s="2"/>
      <c r="EO2230" s="2"/>
      <c r="GT2230" s="155"/>
      <c r="HZ2230" s="2"/>
      <c r="KD2230" s="2"/>
      <c r="KE2230" s="2"/>
    </row>
    <row r="2231" spans="24:293" ht="15" customHeight="1" x14ac:dyDescent="0.25">
      <c r="X2231" s="2"/>
      <c r="AM2231" s="2"/>
      <c r="EO2231" s="2"/>
      <c r="GT2231" s="155"/>
      <c r="HZ2231" s="2"/>
      <c r="KD2231" s="2"/>
    </row>
    <row r="2232" spans="24:293" ht="15" customHeight="1" x14ac:dyDescent="0.25">
      <c r="X2232" s="2"/>
      <c r="AM2232" s="2"/>
      <c r="EO2232" s="2"/>
      <c r="GT2232" s="155"/>
      <c r="HZ2232" s="2"/>
      <c r="KD2232" s="2"/>
    </row>
    <row r="2233" spans="24:293" ht="15" customHeight="1" x14ac:dyDescent="0.25">
      <c r="X2233" s="2"/>
      <c r="AM2233" s="2"/>
      <c r="EO2233" s="2"/>
      <c r="GT2233" s="155"/>
      <c r="HZ2233" s="2"/>
    </row>
    <row r="2234" spans="24:293" ht="15" customHeight="1" x14ac:dyDescent="0.25">
      <c r="X2234" s="2"/>
      <c r="AM2234" s="2"/>
      <c r="EO2234" s="2"/>
      <c r="GT2234" s="155"/>
      <c r="HZ2234" s="2"/>
      <c r="KD2234" s="2"/>
      <c r="KE2234" s="2"/>
    </row>
    <row r="2235" spans="24:293" ht="15" customHeight="1" x14ac:dyDescent="0.25">
      <c r="X2235" s="2"/>
      <c r="AM2235" s="2"/>
      <c r="EO2235" s="2"/>
      <c r="GT2235" s="155"/>
      <c r="HZ2235" s="2"/>
      <c r="KD2235" s="2"/>
      <c r="KE2235" s="2"/>
      <c r="KF2235" s="2"/>
      <c r="KG2235" s="2"/>
    </row>
    <row r="2236" spans="24:293" ht="15" customHeight="1" x14ac:dyDescent="0.25">
      <c r="X2236" s="2"/>
      <c r="AM2236" s="2"/>
      <c r="EO2236" s="2"/>
      <c r="GT2236" s="155"/>
      <c r="HZ2236" s="2"/>
      <c r="KD2236" s="2"/>
    </row>
    <row r="2237" spans="24:293" ht="15" customHeight="1" x14ac:dyDescent="0.25">
      <c r="X2237" s="2"/>
      <c r="AM2237" s="2"/>
      <c r="EO2237" s="2"/>
      <c r="GT2237" s="155"/>
      <c r="HZ2237" s="2"/>
      <c r="KD2237" s="2"/>
      <c r="KE2237" s="2"/>
    </row>
    <row r="2238" spans="24:293" ht="15" customHeight="1" x14ac:dyDescent="0.25">
      <c r="X2238" s="2"/>
      <c r="AM2238" s="2"/>
      <c r="EO2238" s="2"/>
      <c r="GT2238" s="155"/>
      <c r="HZ2238" s="2"/>
    </row>
    <row r="2239" spans="24:293" ht="15" customHeight="1" x14ac:dyDescent="0.25">
      <c r="X2239" s="2"/>
      <c r="AM2239" s="2"/>
      <c r="EO2239" s="2"/>
      <c r="GT2239" s="155"/>
      <c r="HZ2239" s="2"/>
      <c r="KD2239" s="2"/>
      <c r="KE2239" s="2"/>
      <c r="KF2239" s="2"/>
    </row>
    <row r="2240" spans="24:293" ht="15" customHeight="1" x14ac:dyDescent="0.25">
      <c r="X2240" s="2"/>
      <c r="AM2240" s="2"/>
      <c r="EO2240" s="2"/>
      <c r="GT2240" s="155"/>
      <c r="HZ2240" s="2"/>
      <c r="KD2240" s="2"/>
    </row>
    <row r="2241" spans="24:293" ht="15" customHeight="1" x14ac:dyDescent="0.25">
      <c r="X2241" s="2"/>
      <c r="AM2241" s="2"/>
      <c r="EO2241" s="2"/>
      <c r="GT2241" s="155"/>
      <c r="HZ2241" s="2"/>
      <c r="KD2241" s="2"/>
    </row>
    <row r="2242" spans="24:293" ht="15" customHeight="1" x14ac:dyDescent="0.25">
      <c r="X2242" s="2"/>
      <c r="AM2242" s="2"/>
      <c r="EO2242" s="2"/>
      <c r="GT2242" s="155"/>
      <c r="HZ2242" s="2"/>
      <c r="KD2242" s="2"/>
    </row>
    <row r="2243" spans="24:293" ht="15" customHeight="1" x14ac:dyDescent="0.25">
      <c r="X2243" s="2"/>
      <c r="AM2243" s="2"/>
      <c r="EO2243" s="2"/>
      <c r="GT2243" s="155"/>
      <c r="HZ2243" s="2"/>
      <c r="KD2243" s="2"/>
    </row>
    <row r="2244" spans="24:293" ht="15" customHeight="1" x14ac:dyDescent="0.25">
      <c r="X2244" s="2"/>
      <c r="AM2244" s="2"/>
      <c r="EO2244" s="2"/>
      <c r="GT2244" s="155"/>
      <c r="HZ2244" s="2"/>
      <c r="KD2244" s="2"/>
      <c r="KE2244" s="2"/>
      <c r="KF2244" s="2"/>
    </row>
    <row r="2245" spans="24:293" ht="15" customHeight="1" x14ac:dyDescent="0.25">
      <c r="X2245" s="2"/>
      <c r="AM2245" s="2"/>
      <c r="EO2245" s="2"/>
      <c r="GT2245" s="155"/>
      <c r="HZ2245" s="2"/>
      <c r="KD2245" s="2"/>
      <c r="KE2245" s="2"/>
    </row>
    <row r="2246" spans="24:293" ht="15" customHeight="1" x14ac:dyDescent="0.25">
      <c r="X2246" s="2"/>
      <c r="AM2246" s="2"/>
      <c r="EO2246" s="2"/>
      <c r="GT2246" s="155"/>
      <c r="HZ2246" s="2"/>
    </row>
    <row r="2247" spans="24:293" ht="15" customHeight="1" x14ac:dyDescent="0.25">
      <c r="X2247" s="2"/>
      <c r="AM2247" s="2"/>
      <c r="EO2247" s="2"/>
      <c r="GT2247" s="155"/>
      <c r="HZ2247" s="2"/>
      <c r="KD2247" s="2"/>
    </row>
    <row r="2248" spans="24:293" ht="15" customHeight="1" x14ac:dyDescent="0.25">
      <c r="X2248" s="2"/>
      <c r="AM2248" s="2"/>
      <c r="EO2248" s="2"/>
      <c r="GT2248" s="155"/>
      <c r="HZ2248" s="2"/>
      <c r="KD2248" s="2"/>
      <c r="KE2248" s="2"/>
      <c r="KF2248" s="2"/>
      <c r="KG2248" s="2"/>
    </row>
    <row r="2249" spans="24:293" ht="15" customHeight="1" x14ac:dyDescent="0.25">
      <c r="X2249" s="2"/>
      <c r="AM2249" s="2"/>
      <c r="EO2249" s="2"/>
      <c r="GT2249" s="155"/>
      <c r="HZ2249" s="2"/>
      <c r="KD2249" s="2"/>
    </row>
    <row r="2250" spans="24:293" ht="15" customHeight="1" x14ac:dyDescent="0.25">
      <c r="X2250" s="2"/>
      <c r="AM2250" s="2"/>
      <c r="EO2250" s="2"/>
      <c r="GT2250" s="155"/>
      <c r="HZ2250" s="2"/>
      <c r="KD2250" s="2"/>
    </row>
    <row r="2251" spans="24:293" ht="15" customHeight="1" x14ac:dyDescent="0.25">
      <c r="X2251" s="2"/>
      <c r="AM2251" s="2"/>
      <c r="EO2251" s="2"/>
      <c r="GT2251" s="155"/>
      <c r="HZ2251" s="2"/>
    </row>
    <row r="2252" spans="24:293" ht="15" customHeight="1" x14ac:dyDescent="0.25">
      <c r="X2252" s="2"/>
      <c r="AM2252" s="2"/>
      <c r="EO2252" s="2"/>
      <c r="GT2252" s="155"/>
      <c r="HZ2252" s="2"/>
    </row>
    <row r="2253" spans="24:293" ht="15" customHeight="1" x14ac:dyDescent="0.25">
      <c r="X2253" s="2"/>
      <c r="AM2253" s="2"/>
      <c r="EO2253" s="2"/>
      <c r="GT2253" s="155"/>
      <c r="HZ2253" s="2"/>
      <c r="KD2253" s="2"/>
      <c r="KE2253" s="2"/>
    </row>
    <row r="2254" spans="24:293" ht="15" customHeight="1" x14ac:dyDescent="0.25">
      <c r="X2254" s="2"/>
      <c r="AM2254" s="2"/>
      <c r="EO2254" s="2"/>
      <c r="GT2254" s="155"/>
      <c r="HZ2254" s="2"/>
      <c r="KD2254" s="2"/>
    </row>
    <row r="2255" spans="24:293" ht="15" customHeight="1" x14ac:dyDescent="0.25">
      <c r="X2255" s="2"/>
      <c r="AM2255" s="2"/>
      <c r="EO2255" s="2"/>
      <c r="GT2255" s="155"/>
      <c r="HZ2255" s="2"/>
      <c r="KD2255" s="2"/>
    </row>
    <row r="2256" spans="24:293" ht="15" customHeight="1" x14ac:dyDescent="0.25">
      <c r="X2256" s="2"/>
      <c r="AM2256" s="2"/>
      <c r="EO2256" s="2"/>
      <c r="GT2256" s="155"/>
      <c r="HZ2256" s="2"/>
      <c r="KD2256" s="2"/>
    </row>
    <row r="2257" spans="24:293" ht="15" customHeight="1" x14ac:dyDescent="0.25">
      <c r="X2257" s="2"/>
      <c r="AM2257" s="2"/>
      <c r="EO2257" s="2"/>
      <c r="GT2257" s="155"/>
      <c r="HZ2257" s="2"/>
      <c r="KD2257" s="2"/>
    </row>
    <row r="2258" spans="24:293" ht="15" customHeight="1" x14ac:dyDescent="0.25">
      <c r="X2258" s="2"/>
      <c r="AM2258" s="2"/>
      <c r="EO2258" s="2"/>
      <c r="GT2258" s="155"/>
      <c r="HZ2258" s="2"/>
      <c r="KD2258" s="2"/>
      <c r="KE2258" s="2"/>
      <c r="KF2258" s="2"/>
      <c r="KG2258" s="2"/>
    </row>
    <row r="2259" spans="24:293" ht="15" customHeight="1" x14ac:dyDescent="0.25">
      <c r="X2259" s="2"/>
      <c r="AM2259" s="2"/>
      <c r="EO2259" s="2"/>
      <c r="GT2259" s="155"/>
      <c r="HZ2259" s="2"/>
    </row>
    <row r="2260" spans="24:293" ht="15" customHeight="1" x14ac:dyDescent="0.25">
      <c r="X2260" s="2"/>
      <c r="AM2260" s="2"/>
      <c r="EO2260" s="2"/>
      <c r="GT2260" s="155"/>
      <c r="HZ2260" s="2"/>
      <c r="KD2260" s="2"/>
      <c r="KE2260" s="2"/>
      <c r="KF2260" s="2"/>
      <c r="KG2260" s="2"/>
    </row>
    <row r="2261" spans="24:293" ht="15" customHeight="1" x14ac:dyDescent="0.25">
      <c r="X2261" s="2"/>
      <c r="AM2261" s="2"/>
      <c r="EO2261" s="2"/>
      <c r="GT2261" s="155"/>
      <c r="HZ2261" s="2"/>
      <c r="KD2261" s="2"/>
      <c r="KE2261" s="2"/>
    </row>
    <row r="2262" spans="24:293" ht="15" customHeight="1" x14ac:dyDescent="0.25">
      <c r="X2262" s="2"/>
      <c r="AM2262" s="2"/>
      <c r="EO2262" s="2"/>
      <c r="GT2262" s="155"/>
      <c r="HZ2262" s="2"/>
    </row>
    <row r="2263" spans="24:293" ht="15" customHeight="1" x14ac:dyDescent="0.25">
      <c r="X2263" s="2"/>
      <c r="AM2263" s="2"/>
      <c r="EO2263" s="2"/>
      <c r="GT2263" s="155"/>
      <c r="HZ2263" s="2"/>
      <c r="KD2263" s="2"/>
      <c r="KE2263" s="2"/>
    </row>
    <row r="2264" spans="24:293" ht="15" customHeight="1" x14ac:dyDescent="0.25">
      <c r="X2264" s="2"/>
      <c r="AM2264" s="2"/>
      <c r="EO2264" s="2"/>
      <c r="GT2264" s="155"/>
      <c r="HZ2264" s="2"/>
      <c r="KD2264" s="2"/>
    </row>
    <row r="2265" spans="24:293" ht="15" customHeight="1" x14ac:dyDescent="0.25">
      <c r="X2265" s="2"/>
      <c r="AM2265" s="2"/>
      <c r="EO2265" s="2"/>
      <c r="GT2265" s="155"/>
      <c r="HZ2265" s="2"/>
      <c r="KD2265" s="2"/>
    </row>
    <row r="2266" spans="24:293" ht="15" customHeight="1" x14ac:dyDescent="0.25">
      <c r="X2266" s="2"/>
      <c r="AM2266" s="2"/>
      <c r="EO2266" s="2"/>
      <c r="GT2266" s="155"/>
      <c r="HZ2266" s="2"/>
      <c r="KD2266" s="2"/>
      <c r="KE2266" s="2"/>
    </row>
    <row r="2267" spans="24:293" ht="15" customHeight="1" x14ac:dyDescent="0.25">
      <c r="X2267" s="2"/>
      <c r="AM2267" s="2"/>
      <c r="EO2267" s="2"/>
      <c r="GT2267" s="155"/>
      <c r="HZ2267" s="2"/>
      <c r="KD2267" s="2"/>
    </row>
    <row r="2268" spans="24:293" ht="15" customHeight="1" x14ac:dyDescent="0.25">
      <c r="X2268" s="2"/>
      <c r="AM2268" s="2"/>
      <c r="EO2268" s="2"/>
      <c r="GT2268" s="155"/>
      <c r="HZ2268" s="2"/>
    </row>
    <row r="2269" spans="24:293" ht="15" customHeight="1" x14ac:dyDescent="0.25">
      <c r="X2269" s="2"/>
      <c r="AM2269" s="2"/>
      <c r="EO2269" s="2"/>
      <c r="GT2269" s="155"/>
      <c r="HZ2269" s="2"/>
      <c r="KD2269" s="2"/>
    </row>
    <row r="2270" spans="24:293" ht="15" customHeight="1" x14ac:dyDescent="0.25">
      <c r="X2270" s="2"/>
      <c r="AM2270" s="2"/>
      <c r="EO2270" s="2"/>
      <c r="GT2270" s="155"/>
      <c r="HZ2270" s="2"/>
    </row>
    <row r="2271" spans="24:293" ht="15" customHeight="1" x14ac:dyDescent="0.25">
      <c r="X2271" s="2"/>
      <c r="AM2271" s="2"/>
      <c r="EO2271" s="2"/>
      <c r="GT2271" s="155"/>
      <c r="HZ2271" s="2"/>
      <c r="KD2271" s="2"/>
    </row>
    <row r="2272" spans="24:293" ht="15" customHeight="1" x14ac:dyDescent="0.25">
      <c r="X2272" s="2"/>
      <c r="AM2272" s="2"/>
      <c r="EO2272" s="2"/>
      <c r="GT2272" s="155"/>
      <c r="HZ2272" s="2"/>
    </row>
    <row r="2273" spans="24:294" ht="15" customHeight="1" x14ac:dyDescent="0.25">
      <c r="X2273" s="2"/>
      <c r="AM2273" s="2"/>
      <c r="EO2273" s="2"/>
      <c r="GT2273" s="155"/>
      <c r="HZ2273" s="2"/>
      <c r="KD2273" s="2"/>
      <c r="KE2273" s="2"/>
      <c r="KF2273" s="2"/>
      <c r="KG2273" s="2"/>
    </row>
    <row r="2274" spans="24:294" ht="15" customHeight="1" x14ac:dyDescent="0.25">
      <c r="X2274" s="2"/>
      <c r="AM2274" s="2"/>
      <c r="EO2274" s="2"/>
      <c r="GT2274" s="155"/>
      <c r="HZ2274" s="2"/>
      <c r="KD2274" s="2"/>
    </row>
    <row r="2275" spans="24:294" ht="15" customHeight="1" x14ac:dyDescent="0.25">
      <c r="X2275" s="2"/>
      <c r="AM2275" s="2"/>
      <c r="EO2275" s="2"/>
      <c r="GT2275" s="155"/>
      <c r="HZ2275" s="2"/>
      <c r="KD2275" s="2"/>
    </row>
    <row r="2276" spans="24:294" ht="15" customHeight="1" x14ac:dyDescent="0.25">
      <c r="X2276" s="2"/>
      <c r="AM2276" s="2"/>
      <c r="EO2276" s="2"/>
      <c r="GT2276" s="155"/>
      <c r="HZ2276" s="2"/>
      <c r="KD2276" s="2"/>
    </row>
    <row r="2277" spans="24:294" ht="15" customHeight="1" x14ac:dyDescent="0.25">
      <c r="X2277" s="2"/>
      <c r="AM2277" s="2"/>
      <c r="EO2277" s="2"/>
      <c r="GT2277" s="155"/>
      <c r="HZ2277" s="2"/>
      <c r="KD2277" s="2"/>
      <c r="KE2277" s="2"/>
    </row>
    <row r="2278" spans="24:294" ht="15" customHeight="1" x14ac:dyDescent="0.25">
      <c r="X2278" s="2"/>
      <c r="AM2278" s="2"/>
      <c r="EO2278" s="2"/>
      <c r="GT2278" s="155"/>
      <c r="HZ2278" s="2"/>
      <c r="KD2278" s="2"/>
      <c r="KE2278" s="2"/>
      <c r="KF2278" s="2"/>
      <c r="KG2278" s="2"/>
    </row>
    <row r="2279" spans="24:294" ht="15" customHeight="1" x14ac:dyDescent="0.25">
      <c r="X2279" s="2"/>
      <c r="AM2279" s="2"/>
      <c r="EO2279" s="2"/>
      <c r="GT2279" s="155"/>
      <c r="HZ2279" s="2"/>
      <c r="KD2279" s="2"/>
      <c r="KE2279" s="2"/>
      <c r="KF2279" s="2"/>
      <c r="KG2279" s="2"/>
      <c r="KH2279" s="2"/>
    </row>
    <row r="2280" spans="24:294" ht="15" customHeight="1" x14ac:dyDescent="0.25">
      <c r="X2280" s="2"/>
      <c r="AM2280" s="2"/>
      <c r="EO2280" s="2"/>
      <c r="GT2280" s="155"/>
      <c r="HZ2280" s="2"/>
      <c r="KD2280" s="2"/>
    </row>
    <row r="2281" spans="24:294" ht="15" customHeight="1" x14ac:dyDescent="0.25">
      <c r="X2281" s="2"/>
      <c r="AM2281" s="2"/>
      <c r="EO2281" s="2"/>
      <c r="GT2281" s="155"/>
      <c r="HZ2281" s="2"/>
      <c r="KD2281" s="2"/>
      <c r="KE2281" s="2"/>
      <c r="KF2281" s="2"/>
    </row>
    <row r="2282" spans="24:294" ht="15" customHeight="1" x14ac:dyDescent="0.25">
      <c r="X2282" s="2"/>
      <c r="AM2282" s="2"/>
      <c r="EO2282" s="2"/>
      <c r="GT2282" s="155"/>
      <c r="HZ2282" s="2"/>
      <c r="KD2282" s="2"/>
      <c r="KE2282" s="2"/>
    </row>
    <row r="2283" spans="24:294" ht="15" customHeight="1" x14ac:dyDescent="0.25">
      <c r="X2283" s="2"/>
      <c r="AM2283" s="2"/>
      <c r="EO2283" s="2"/>
      <c r="GT2283" s="155"/>
      <c r="HZ2283" s="2"/>
      <c r="KD2283" s="2"/>
    </row>
    <row r="2284" spans="24:294" ht="15" customHeight="1" x14ac:dyDescent="0.25">
      <c r="X2284" s="2"/>
      <c r="AM2284" s="2"/>
      <c r="EO2284" s="2"/>
      <c r="GT2284" s="155"/>
      <c r="HZ2284" s="2"/>
      <c r="KD2284" s="2"/>
      <c r="KE2284" s="2"/>
      <c r="KF2284" s="2"/>
      <c r="KG2284" s="2"/>
    </row>
    <row r="2285" spans="24:294" ht="15" customHeight="1" x14ac:dyDescent="0.25">
      <c r="X2285" s="2"/>
      <c r="AM2285" s="2"/>
      <c r="EO2285" s="2"/>
      <c r="GT2285" s="155"/>
      <c r="HZ2285" s="2"/>
      <c r="KD2285" s="2"/>
      <c r="KE2285" s="2"/>
    </row>
    <row r="2286" spans="24:294" ht="15" customHeight="1" x14ac:dyDescent="0.25">
      <c r="X2286" s="2"/>
      <c r="AM2286" s="2"/>
      <c r="EO2286" s="2"/>
      <c r="GT2286" s="155"/>
      <c r="HZ2286" s="2"/>
      <c r="KD2286" s="2"/>
      <c r="KE2286" s="2"/>
    </row>
    <row r="2287" spans="24:294" ht="15" customHeight="1" x14ac:dyDescent="0.25">
      <c r="X2287" s="2"/>
      <c r="AM2287" s="2"/>
      <c r="EO2287" s="2"/>
      <c r="GT2287" s="155"/>
      <c r="HZ2287" s="2"/>
    </row>
    <row r="2288" spans="24:294" ht="15" customHeight="1" x14ac:dyDescent="0.25">
      <c r="X2288" s="2"/>
      <c r="AM2288" s="2"/>
      <c r="EO2288" s="2"/>
      <c r="GT2288" s="155"/>
      <c r="HZ2288" s="2"/>
      <c r="KD2288" s="2"/>
      <c r="KE2288" s="2"/>
      <c r="KF2288" s="2"/>
      <c r="KG2288" s="2"/>
      <c r="KH2288" s="2"/>
    </row>
    <row r="2289" spans="18:293" ht="15" customHeight="1" x14ac:dyDescent="0.25">
      <c r="X2289" s="2"/>
      <c r="AM2289" s="2"/>
      <c r="EO2289" s="2"/>
      <c r="GT2289" s="155"/>
      <c r="HZ2289" s="2"/>
      <c r="KD2289" s="2"/>
      <c r="KE2289" s="2"/>
    </row>
    <row r="2290" spans="18:293" ht="15" customHeight="1" x14ac:dyDescent="0.25">
      <c r="X2290" s="2"/>
      <c r="AM2290" s="2"/>
      <c r="EO2290" s="2"/>
      <c r="GT2290" s="155"/>
      <c r="HZ2290" s="2"/>
      <c r="KD2290" s="2"/>
      <c r="KE2290" s="2"/>
    </row>
    <row r="2291" spans="18:293" ht="15" customHeight="1" x14ac:dyDescent="0.25">
      <c r="X2291" s="2"/>
      <c r="AM2291" s="2"/>
      <c r="EO2291" s="2"/>
      <c r="GT2291" s="155"/>
      <c r="HZ2291" s="2"/>
      <c r="KD2291" s="2"/>
      <c r="KE2291" s="2"/>
      <c r="KF2291" s="2"/>
    </row>
    <row r="2292" spans="18:293" ht="15" customHeight="1" x14ac:dyDescent="0.25">
      <c r="X2292" s="2"/>
      <c r="AM2292" s="2"/>
      <c r="EO2292" s="2"/>
      <c r="GT2292" s="155"/>
      <c r="HZ2292" s="2"/>
      <c r="KD2292" s="2"/>
    </row>
    <row r="2293" spans="18:293" ht="15" customHeight="1" x14ac:dyDescent="0.25">
      <c r="R2293" s="1"/>
      <c r="T2293" s="1"/>
      <c r="X2293" s="2"/>
      <c r="AM2293" s="2"/>
      <c r="EO2293" s="2"/>
      <c r="GT2293" s="155"/>
      <c r="HZ2293" s="2"/>
      <c r="KD2293" s="2"/>
      <c r="KE2293" s="2"/>
      <c r="KF2293" s="2"/>
    </row>
    <row r="2294" spans="18:293" ht="15" customHeight="1" x14ac:dyDescent="0.25">
      <c r="X2294" s="2"/>
      <c r="AM2294" s="2"/>
      <c r="EO2294" s="2"/>
      <c r="GT2294" s="155"/>
      <c r="HZ2294" s="2"/>
      <c r="KD2294" s="2"/>
      <c r="KE2294" s="2"/>
      <c r="KF2294" s="2"/>
    </row>
    <row r="2295" spans="18:293" ht="15" customHeight="1" x14ac:dyDescent="0.25">
      <c r="X2295" s="2"/>
      <c r="AM2295" s="2"/>
      <c r="EO2295" s="2"/>
      <c r="GT2295" s="155"/>
      <c r="HZ2295" s="2"/>
    </row>
    <row r="2296" spans="18:293" ht="15" customHeight="1" x14ac:dyDescent="0.25">
      <c r="X2296" s="2"/>
      <c r="AM2296" s="2"/>
      <c r="EO2296" s="2"/>
      <c r="GT2296" s="155"/>
      <c r="HZ2296" s="2"/>
      <c r="KD2296" s="2"/>
      <c r="KE2296" s="2"/>
      <c r="KF2296" s="2"/>
    </row>
    <row r="2297" spans="18:293" ht="15" customHeight="1" x14ac:dyDescent="0.25">
      <c r="X2297" s="2"/>
      <c r="AM2297" s="2"/>
      <c r="EO2297" s="2"/>
      <c r="GT2297" s="155"/>
      <c r="HZ2297" s="2"/>
      <c r="KD2297" s="2"/>
      <c r="KE2297" s="2"/>
    </row>
    <row r="2298" spans="18:293" ht="15" customHeight="1" x14ac:dyDescent="0.25">
      <c r="X2298" s="2"/>
      <c r="AM2298" s="2"/>
      <c r="EO2298" s="2"/>
      <c r="GT2298" s="155"/>
      <c r="HZ2298" s="2"/>
      <c r="KD2298" s="2"/>
      <c r="KE2298" s="2"/>
    </row>
    <row r="2299" spans="18:293" ht="15" customHeight="1" x14ac:dyDescent="0.25">
      <c r="X2299" s="2"/>
      <c r="AM2299" s="2"/>
      <c r="EO2299" s="2"/>
      <c r="GT2299" s="155"/>
      <c r="HZ2299" s="2"/>
      <c r="KD2299" s="2"/>
    </row>
    <row r="2300" spans="18:293" ht="15" customHeight="1" x14ac:dyDescent="0.25">
      <c r="X2300" s="2"/>
      <c r="AM2300" s="2"/>
      <c r="EO2300" s="2"/>
      <c r="GT2300" s="155"/>
      <c r="HZ2300" s="2"/>
    </row>
    <row r="2301" spans="18:293" ht="15" customHeight="1" x14ac:dyDescent="0.25">
      <c r="X2301" s="2"/>
      <c r="AM2301" s="2"/>
      <c r="EO2301" s="2"/>
      <c r="GT2301" s="155"/>
      <c r="HZ2301" s="2"/>
      <c r="KD2301" s="2"/>
    </row>
    <row r="2302" spans="18:293" ht="15" customHeight="1" x14ac:dyDescent="0.25">
      <c r="X2302" s="2"/>
      <c r="AM2302" s="2"/>
      <c r="EO2302" s="2"/>
      <c r="GT2302" s="155"/>
      <c r="HZ2302" s="2"/>
      <c r="KD2302" s="2"/>
    </row>
    <row r="2303" spans="18:293" ht="15" customHeight="1" x14ac:dyDescent="0.25">
      <c r="X2303" s="2"/>
      <c r="AM2303" s="2"/>
      <c r="EO2303" s="2"/>
      <c r="GT2303" s="155"/>
      <c r="HZ2303" s="2"/>
      <c r="KD2303" s="2"/>
      <c r="KE2303" s="2"/>
      <c r="KF2303" s="2"/>
      <c r="KG2303" s="2"/>
    </row>
    <row r="2304" spans="18:293" ht="15" customHeight="1" x14ac:dyDescent="0.25">
      <c r="X2304" s="2"/>
      <c r="AM2304" s="2"/>
      <c r="EO2304" s="2"/>
      <c r="GT2304" s="155"/>
      <c r="HZ2304" s="2"/>
      <c r="KD2304" s="2"/>
      <c r="KE2304" s="2"/>
    </row>
    <row r="2305" spans="24:293" ht="15" customHeight="1" x14ac:dyDescent="0.25">
      <c r="X2305" s="2"/>
      <c r="AM2305" s="2"/>
      <c r="EO2305" s="2"/>
      <c r="GT2305" s="155"/>
      <c r="HZ2305" s="2"/>
      <c r="KD2305" s="2"/>
      <c r="KE2305" s="2"/>
      <c r="KF2305" s="2"/>
    </row>
    <row r="2306" spans="24:293" ht="15" customHeight="1" x14ac:dyDescent="0.25">
      <c r="X2306" s="2"/>
      <c r="AM2306" s="2"/>
      <c r="EO2306" s="2"/>
      <c r="GT2306" s="155"/>
      <c r="HZ2306" s="2"/>
      <c r="KD2306" s="2"/>
      <c r="KE2306" s="2"/>
      <c r="KF2306" s="2"/>
      <c r="KG2306" s="2"/>
    </row>
    <row r="2307" spans="24:293" ht="15" customHeight="1" x14ac:dyDescent="0.25">
      <c r="X2307" s="2"/>
      <c r="AM2307" s="2"/>
      <c r="EO2307" s="2"/>
      <c r="GT2307" s="155"/>
      <c r="HZ2307" s="2"/>
      <c r="KD2307" s="2"/>
    </row>
    <row r="2308" spans="24:293" ht="15" customHeight="1" x14ac:dyDescent="0.25">
      <c r="X2308" s="2"/>
      <c r="AM2308" s="2"/>
      <c r="EO2308" s="2"/>
      <c r="GT2308" s="155"/>
      <c r="HZ2308" s="2"/>
      <c r="KD2308" s="2"/>
    </row>
    <row r="2309" spans="24:293" ht="15" customHeight="1" x14ac:dyDescent="0.25">
      <c r="X2309" s="2"/>
      <c r="AM2309" s="2"/>
      <c r="EO2309" s="2"/>
      <c r="GT2309" s="155"/>
      <c r="HZ2309" s="2"/>
      <c r="KD2309" s="2"/>
      <c r="KE2309" s="2"/>
      <c r="KF2309" s="2"/>
    </row>
    <row r="2310" spans="24:293" ht="15" customHeight="1" x14ac:dyDescent="0.25">
      <c r="X2310" s="2"/>
      <c r="AM2310" s="2"/>
      <c r="EO2310" s="2"/>
      <c r="GT2310" s="155"/>
      <c r="HZ2310" s="2"/>
      <c r="KD2310" s="2"/>
    </row>
    <row r="2311" spans="24:293" ht="15" customHeight="1" x14ac:dyDescent="0.25">
      <c r="X2311" s="2"/>
      <c r="AM2311" s="2"/>
      <c r="EO2311" s="2"/>
      <c r="GT2311" s="155"/>
      <c r="HZ2311" s="2"/>
      <c r="KD2311" s="2"/>
      <c r="KE2311" s="2"/>
    </row>
    <row r="2312" spans="24:293" ht="15" customHeight="1" x14ac:dyDescent="0.25">
      <c r="X2312" s="2"/>
      <c r="AM2312" s="2"/>
      <c r="EO2312" s="2"/>
      <c r="GT2312" s="155"/>
      <c r="HZ2312" s="2"/>
      <c r="KD2312" s="2"/>
      <c r="KE2312" s="2"/>
    </row>
    <row r="2313" spans="24:293" ht="15" customHeight="1" x14ac:dyDescent="0.25">
      <c r="X2313" s="2"/>
      <c r="AM2313" s="2"/>
      <c r="EO2313" s="2"/>
      <c r="GT2313" s="155"/>
      <c r="HZ2313" s="2"/>
      <c r="KD2313" s="2"/>
      <c r="KE2313" s="2"/>
    </row>
    <row r="2314" spans="24:293" ht="15" customHeight="1" x14ac:dyDescent="0.25">
      <c r="X2314" s="2"/>
      <c r="AM2314" s="2"/>
      <c r="EO2314" s="2"/>
      <c r="GT2314" s="155"/>
      <c r="HZ2314" s="2"/>
      <c r="KD2314" s="2"/>
      <c r="KE2314" s="2"/>
    </row>
    <row r="2315" spans="24:293" ht="15" customHeight="1" x14ac:dyDescent="0.25">
      <c r="X2315" s="2"/>
      <c r="AM2315" s="2"/>
      <c r="EO2315" s="2"/>
      <c r="GT2315" s="155"/>
      <c r="HZ2315" s="2"/>
      <c r="KD2315" s="2"/>
      <c r="KE2315" s="2"/>
    </row>
    <row r="2316" spans="24:293" ht="15" customHeight="1" x14ac:dyDescent="0.25">
      <c r="X2316" s="2"/>
      <c r="AM2316" s="2"/>
      <c r="EO2316" s="2"/>
      <c r="GT2316" s="155"/>
      <c r="HZ2316" s="2"/>
      <c r="KD2316" s="2"/>
    </row>
    <row r="2317" spans="24:293" ht="15" customHeight="1" x14ac:dyDescent="0.25">
      <c r="X2317" s="2"/>
      <c r="AM2317" s="2"/>
      <c r="EO2317" s="2"/>
      <c r="GT2317" s="155"/>
      <c r="HZ2317" s="2"/>
      <c r="KD2317" s="2"/>
    </row>
    <row r="2318" spans="24:293" ht="15" customHeight="1" x14ac:dyDescent="0.25">
      <c r="X2318" s="2"/>
      <c r="AM2318" s="2"/>
      <c r="EO2318" s="2"/>
      <c r="GT2318" s="155"/>
      <c r="HZ2318" s="2"/>
      <c r="KD2318" s="2"/>
      <c r="KE2318" s="2"/>
      <c r="KF2318" s="2"/>
      <c r="KG2318" s="2"/>
    </row>
    <row r="2319" spans="24:293" ht="15" customHeight="1" x14ac:dyDescent="0.25">
      <c r="X2319" s="2"/>
      <c r="AM2319" s="2"/>
      <c r="EO2319" s="2"/>
      <c r="GT2319" s="155"/>
      <c r="HZ2319" s="2"/>
      <c r="KD2319" s="2"/>
      <c r="KE2319" s="2"/>
      <c r="KF2319" s="2"/>
    </row>
    <row r="2320" spans="24:293" ht="15" customHeight="1" x14ac:dyDescent="0.25">
      <c r="X2320" s="2"/>
      <c r="AM2320" s="2"/>
      <c r="EO2320" s="2"/>
      <c r="GT2320" s="155"/>
      <c r="HZ2320" s="2"/>
      <c r="KD2320" s="2"/>
      <c r="KE2320" s="2"/>
    </row>
    <row r="2321" spans="24:294" ht="15" customHeight="1" x14ac:dyDescent="0.25">
      <c r="X2321" s="2"/>
      <c r="AM2321" s="2"/>
      <c r="EO2321" s="2"/>
      <c r="GT2321" s="155"/>
      <c r="HZ2321" s="2"/>
      <c r="KD2321" s="2"/>
      <c r="KE2321" s="2"/>
    </row>
    <row r="2322" spans="24:294" ht="15" customHeight="1" x14ac:dyDescent="0.25">
      <c r="X2322" s="2"/>
      <c r="AM2322" s="2"/>
      <c r="EO2322" s="2"/>
      <c r="GT2322" s="155"/>
      <c r="HZ2322" s="2"/>
      <c r="KD2322" s="2"/>
      <c r="KE2322" s="2"/>
      <c r="KF2322" s="2"/>
    </row>
    <row r="2323" spans="24:294" ht="15" customHeight="1" x14ac:dyDescent="0.25">
      <c r="X2323" s="2"/>
      <c r="AM2323" s="2"/>
      <c r="EO2323" s="2"/>
      <c r="GT2323" s="155"/>
      <c r="HZ2323" s="2"/>
      <c r="KD2323" s="2"/>
    </row>
    <row r="2324" spans="24:294" ht="15" customHeight="1" x14ac:dyDescent="0.25">
      <c r="X2324" s="2"/>
      <c r="AM2324" s="2"/>
      <c r="EO2324" s="2"/>
      <c r="GT2324" s="155"/>
      <c r="HZ2324" s="2"/>
      <c r="KD2324" s="2"/>
    </row>
    <row r="2325" spans="24:294" ht="15" customHeight="1" x14ac:dyDescent="0.25">
      <c r="X2325" s="2"/>
      <c r="AM2325" s="2"/>
      <c r="EO2325" s="2"/>
      <c r="GT2325" s="155"/>
      <c r="HZ2325" s="2"/>
      <c r="KD2325" s="2"/>
    </row>
    <row r="2326" spans="24:294" ht="15" customHeight="1" x14ac:dyDescent="0.25">
      <c r="X2326" s="2"/>
      <c r="AM2326" s="2"/>
      <c r="EO2326" s="2"/>
      <c r="GT2326" s="155"/>
      <c r="HZ2326" s="2"/>
      <c r="KD2326" s="2"/>
      <c r="KE2326" s="2"/>
    </row>
    <row r="2327" spans="24:294" ht="15" customHeight="1" x14ac:dyDescent="0.25">
      <c r="X2327" s="2"/>
      <c r="AM2327" s="2"/>
      <c r="EO2327" s="2"/>
      <c r="GT2327" s="155"/>
      <c r="HZ2327" s="2"/>
    </row>
    <row r="2328" spans="24:294" ht="15" customHeight="1" x14ac:dyDescent="0.25">
      <c r="X2328" s="2"/>
      <c r="AM2328" s="2"/>
      <c r="EO2328" s="2"/>
      <c r="GT2328" s="155"/>
      <c r="HZ2328" s="2"/>
      <c r="KD2328" s="2"/>
      <c r="KE2328" s="2"/>
    </row>
    <row r="2329" spans="24:294" ht="15" customHeight="1" x14ac:dyDescent="0.25">
      <c r="X2329" s="2"/>
      <c r="AM2329" s="2"/>
      <c r="EO2329" s="2"/>
      <c r="GT2329" s="155"/>
      <c r="HZ2329" s="2"/>
      <c r="KD2329" s="2"/>
    </row>
    <row r="2330" spans="24:294" ht="15" customHeight="1" x14ac:dyDescent="0.25">
      <c r="X2330" s="2"/>
      <c r="AM2330" s="2"/>
      <c r="EO2330" s="2"/>
      <c r="GT2330" s="155"/>
      <c r="HZ2330" s="2"/>
      <c r="KD2330" s="2"/>
      <c r="KE2330" s="2"/>
    </row>
    <row r="2331" spans="24:294" ht="15" customHeight="1" x14ac:dyDescent="0.25">
      <c r="X2331" s="2"/>
      <c r="AM2331" s="2"/>
      <c r="EO2331" s="2"/>
      <c r="GT2331" s="155"/>
      <c r="HZ2331" s="2"/>
      <c r="KD2331" s="2"/>
      <c r="KE2331" s="2"/>
    </row>
    <row r="2332" spans="24:294" ht="15" customHeight="1" x14ac:dyDescent="0.25">
      <c r="X2332" s="2"/>
      <c r="AM2332" s="2"/>
      <c r="EO2332" s="2"/>
      <c r="GT2332" s="155"/>
      <c r="HZ2332" s="2"/>
      <c r="KD2332" s="2"/>
      <c r="KE2332" s="2"/>
      <c r="KF2332" s="2"/>
      <c r="KG2332" s="2"/>
      <c r="KH2332" s="2"/>
    </row>
    <row r="2333" spans="24:294" ht="15" customHeight="1" x14ac:dyDescent="0.25">
      <c r="X2333" s="2"/>
      <c r="AM2333" s="2"/>
      <c r="EO2333" s="2"/>
      <c r="GT2333" s="155"/>
      <c r="HZ2333" s="2"/>
      <c r="KD2333" s="2"/>
      <c r="KE2333" s="2"/>
    </row>
    <row r="2334" spans="24:294" ht="15" customHeight="1" x14ac:dyDescent="0.25">
      <c r="X2334" s="2"/>
      <c r="AM2334" s="2"/>
      <c r="EO2334" s="2"/>
      <c r="GT2334" s="155"/>
      <c r="HZ2334" s="2"/>
      <c r="KD2334" s="2"/>
      <c r="KE2334" s="2"/>
    </row>
    <row r="2335" spans="24:294" ht="15" customHeight="1" x14ac:dyDescent="0.25">
      <c r="X2335" s="2"/>
      <c r="AM2335" s="2"/>
      <c r="EO2335" s="2"/>
      <c r="GT2335" s="155"/>
      <c r="HZ2335" s="2"/>
      <c r="KD2335" s="2"/>
    </row>
    <row r="2336" spans="24:294" ht="15" customHeight="1" x14ac:dyDescent="0.25">
      <c r="X2336" s="2"/>
      <c r="AM2336" s="2"/>
      <c r="EO2336" s="2"/>
      <c r="GT2336" s="155"/>
      <c r="HZ2336" s="2"/>
      <c r="KD2336" s="2"/>
    </row>
    <row r="2337" spans="18:292" ht="15" customHeight="1" x14ac:dyDescent="0.25">
      <c r="X2337" s="2"/>
      <c r="AM2337" s="2"/>
      <c r="EO2337" s="2"/>
      <c r="GT2337" s="155"/>
      <c r="HZ2337" s="2"/>
      <c r="KD2337" s="2"/>
      <c r="KE2337" s="2"/>
    </row>
    <row r="2338" spans="18:292" ht="15" customHeight="1" x14ac:dyDescent="0.25">
      <c r="X2338" s="2"/>
      <c r="AM2338" s="2"/>
      <c r="EO2338" s="2"/>
      <c r="GT2338" s="155"/>
      <c r="HZ2338" s="2"/>
      <c r="KD2338" s="2"/>
      <c r="KE2338" s="2"/>
    </row>
    <row r="2339" spans="18:292" ht="15" customHeight="1" x14ac:dyDescent="0.25">
      <c r="X2339" s="2"/>
      <c r="AM2339" s="2"/>
      <c r="EO2339" s="2"/>
      <c r="GT2339" s="155"/>
      <c r="HZ2339" s="2"/>
      <c r="KD2339" s="2"/>
    </row>
    <row r="2340" spans="18:292" ht="15" customHeight="1" x14ac:dyDescent="0.25">
      <c r="X2340" s="2"/>
      <c r="AM2340" s="2"/>
      <c r="EO2340" s="2"/>
      <c r="GT2340" s="155"/>
      <c r="HZ2340" s="2"/>
      <c r="KD2340" s="2"/>
      <c r="KE2340" s="2"/>
    </row>
    <row r="2341" spans="18:292" ht="15" customHeight="1" x14ac:dyDescent="0.25">
      <c r="X2341" s="2"/>
      <c r="AM2341" s="2"/>
      <c r="EO2341" s="2"/>
      <c r="GT2341" s="155"/>
      <c r="HZ2341" s="2"/>
      <c r="KD2341" s="2"/>
    </row>
    <row r="2342" spans="18:292" ht="15" customHeight="1" x14ac:dyDescent="0.25">
      <c r="X2342" s="2"/>
      <c r="AM2342" s="2"/>
      <c r="EO2342" s="2"/>
      <c r="GT2342" s="155"/>
      <c r="HZ2342" s="2"/>
      <c r="KD2342" s="2"/>
    </row>
    <row r="2343" spans="18:292" ht="15" customHeight="1" x14ac:dyDescent="0.25">
      <c r="X2343" s="2"/>
      <c r="AM2343" s="2"/>
      <c r="EO2343" s="2"/>
      <c r="GT2343" s="155"/>
      <c r="HZ2343" s="2"/>
      <c r="KD2343" s="2"/>
    </row>
    <row r="2344" spans="18:292" ht="15" customHeight="1" x14ac:dyDescent="0.25">
      <c r="X2344" s="2"/>
      <c r="AM2344" s="2"/>
      <c r="EO2344" s="2"/>
      <c r="GT2344" s="155"/>
      <c r="HZ2344" s="2"/>
      <c r="KD2344" s="2"/>
      <c r="KE2344" s="2"/>
      <c r="KF2344" s="2"/>
    </row>
    <row r="2345" spans="18:292" ht="15" customHeight="1" x14ac:dyDescent="0.25">
      <c r="X2345" s="2"/>
      <c r="AM2345" s="2"/>
      <c r="EO2345" s="2"/>
      <c r="GT2345" s="155"/>
      <c r="HZ2345" s="2"/>
    </row>
    <row r="2346" spans="18:292" ht="15" customHeight="1" x14ac:dyDescent="0.25">
      <c r="X2346" s="2"/>
      <c r="AM2346" s="2"/>
      <c r="EO2346" s="2"/>
      <c r="GT2346" s="155"/>
      <c r="HZ2346" s="2"/>
      <c r="KD2346" s="2"/>
    </row>
    <row r="2347" spans="18:292" ht="15" customHeight="1" x14ac:dyDescent="0.25">
      <c r="R2347" s="1"/>
      <c r="T2347" s="1"/>
      <c r="X2347" s="2"/>
      <c r="AM2347" s="2"/>
      <c r="EO2347" s="2"/>
      <c r="GT2347" s="155"/>
      <c r="HZ2347" s="2"/>
      <c r="KD2347" s="2"/>
      <c r="KE2347" s="2"/>
      <c r="KF2347" s="2"/>
    </row>
    <row r="2348" spans="18:292" ht="15" customHeight="1" x14ac:dyDescent="0.25">
      <c r="X2348" s="2"/>
      <c r="AM2348" s="2"/>
      <c r="EO2348" s="2"/>
      <c r="GT2348" s="155"/>
      <c r="HZ2348" s="2"/>
      <c r="KD2348" s="2"/>
    </row>
    <row r="2349" spans="18:292" ht="15" customHeight="1" x14ac:dyDescent="0.25">
      <c r="X2349" s="2"/>
      <c r="AM2349" s="2"/>
      <c r="EO2349" s="2"/>
      <c r="GT2349" s="155"/>
      <c r="HZ2349" s="2"/>
      <c r="KD2349" s="2"/>
    </row>
    <row r="2350" spans="18:292" ht="15" customHeight="1" x14ac:dyDescent="0.25">
      <c r="X2350" s="2"/>
      <c r="AM2350" s="2"/>
      <c r="EO2350" s="2"/>
      <c r="GT2350" s="155"/>
      <c r="HZ2350" s="2"/>
      <c r="KD2350" s="2"/>
    </row>
    <row r="2351" spans="18:292" ht="15" customHeight="1" x14ac:dyDescent="0.25">
      <c r="X2351" s="2"/>
      <c r="AM2351" s="2"/>
      <c r="EO2351" s="2"/>
      <c r="GT2351" s="155"/>
      <c r="HZ2351" s="2"/>
      <c r="KD2351" s="2"/>
    </row>
    <row r="2352" spans="18:292" ht="15" customHeight="1" x14ac:dyDescent="0.25">
      <c r="X2352" s="2"/>
      <c r="AM2352" s="2"/>
      <c r="EO2352" s="2"/>
      <c r="GT2352" s="155"/>
      <c r="HZ2352" s="2"/>
      <c r="KD2352" s="2"/>
    </row>
    <row r="2353" spans="24:296" ht="15" customHeight="1" x14ac:dyDescent="0.25">
      <c r="X2353" s="2"/>
      <c r="AM2353" s="2"/>
      <c r="EO2353" s="2"/>
      <c r="GT2353" s="155"/>
      <c r="HZ2353" s="2"/>
      <c r="KD2353" s="2"/>
      <c r="KE2353" s="2"/>
    </row>
    <row r="2354" spans="24:296" ht="15" customHeight="1" x14ac:dyDescent="0.25">
      <c r="X2354" s="2"/>
      <c r="AM2354" s="2"/>
      <c r="EO2354" s="2"/>
      <c r="GT2354" s="155"/>
      <c r="HZ2354" s="2"/>
      <c r="KD2354" s="2"/>
      <c r="KE2354" s="2"/>
    </row>
    <row r="2355" spans="24:296" ht="15" customHeight="1" x14ac:dyDescent="0.25">
      <c r="X2355" s="2"/>
      <c r="AM2355" s="2"/>
      <c r="EO2355" s="2"/>
      <c r="GT2355" s="155"/>
      <c r="HZ2355" s="2"/>
      <c r="KD2355" s="2"/>
      <c r="KE2355" s="2"/>
      <c r="KF2355" s="2"/>
      <c r="KG2355" s="2"/>
      <c r="KH2355" s="2"/>
      <c r="KI2355" s="2"/>
      <c r="KJ2355" s="2"/>
    </row>
    <row r="2356" spans="24:296" ht="15" customHeight="1" x14ac:dyDescent="0.25">
      <c r="X2356" s="2"/>
      <c r="AM2356" s="2"/>
      <c r="EO2356" s="2"/>
      <c r="GT2356" s="155"/>
      <c r="HZ2356" s="2"/>
      <c r="KD2356" s="2"/>
    </row>
    <row r="2357" spans="24:296" ht="15" customHeight="1" x14ac:dyDescent="0.25">
      <c r="X2357" s="2"/>
      <c r="AM2357" s="2"/>
      <c r="EO2357" s="2"/>
      <c r="GT2357" s="155"/>
      <c r="HZ2357" s="2"/>
      <c r="KD2357" s="2"/>
    </row>
    <row r="2358" spans="24:296" ht="15" customHeight="1" x14ac:dyDescent="0.25">
      <c r="X2358" s="2"/>
      <c r="AM2358" s="2"/>
      <c r="EO2358" s="2"/>
      <c r="GT2358" s="155"/>
      <c r="HZ2358" s="2"/>
      <c r="KD2358" s="2"/>
    </row>
    <row r="2359" spans="24:296" ht="15" customHeight="1" x14ac:dyDescent="0.25">
      <c r="X2359" s="2"/>
      <c r="AM2359" s="2"/>
      <c r="EO2359" s="2"/>
      <c r="GT2359" s="155"/>
      <c r="HZ2359" s="2"/>
    </row>
    <row r="2360" spans="24:296" ht="15" customHeight="1" x14ac:dyDescent="0.25">
      <c r="X2360" s="2"/>
      <c r="AM2360" s="2"/>
      <c r="EO2360" s="2"/>
      <c r="GT2360" s="155"/>
      <c r="HZ2360" s="2"/>
    </row>
    <row r="2361" spans="24:296" ht="15" customHeight="1" x14ac:dyDescent="0.25">
      <c r="X2361" s="2"/>
      <c r="AM2361" s="2"/>
      <c r="EO2361" s="2"/>
      <c r="GT2361" s="155"/>
      <c r="HZ2361" s="2"/>
    </row>
    <row r="2362" spans="24:296" ht="15" customHeight="1" x14ac:dyDescent="0.25">
      <c r="X2362" s="2"/>
      <c r="AM2362" s="2"/>
      <c r="EO2362" s="2"/>
      <c r="GT2362" s="155"/>
      <c r="HZ2362" s="2"/>
    </row>
    <row r="2363" spans="24:296" ht="15" customHeight="1" x14ac:dyDescent="0.25">
      <c r="X2363" s="2"/>
      <c r="AM2363" s="2"/>
      <c r="EO2363" s="2"/>
      <c r="GT2363" s="155"/>
      <c r="HZ2363" s="2"/>
      <c r="KD2363" s="2"/>
    </row>
    <row r="2364" spans="24:296" ht="15" customHeight="1" x14ac:dyDescent="0.25">
      <c r="X2364" s="2"/>
      <c r="AM2364" s="2"/>
      <c r="EO2364" s="2"/>
      <c r="GT2364" s="155"/>
      <c r="HZ2364" s="2"/>
      <c r="KD2364" s="2"/>
    </row>
    <row r="2365" spans="24:296" ht="15" customHeight="1" x14ac:dyDescent="0.25">
      <c r="X2365" s="2"/>
      <c r="AM2365" s="2"/>
      <c r="EO2365" s="2"/>
      <c r="GT2365" s="155"/>
      <c r="HZ2365" s="2"/>
      <c r="KD2365" s="2"/>
    </row>
    <row r="2366" spans="24:296" ht="15" customHeight="1" x14ac:dyDescent="0.25">
      <c r="X2366" s="2"/>
      <c r="AM2366" s="2"/>
      <c r="EO2366" s="2"/>
      <c r="GT2366" s="155"/>
      <c r="HZ2366" s="2"/>
      <c r="KD2366" s="2"/>
      <c r="KE2366" s="2"/>
      <c r="KF2366" s="2"/>
    </row>
    <row r="2367" spans="24:296" ht="15" customHeight="1" x14ac:dyDescent="0.25">
      <c r="X2367" s="2"/>
      <c r="AM2367" s="2"/>
      <c r="EO2367" s="2"/>
      <c r="GT2367" s="155"/>
      <c r="HZ2367" s="2"/>
      <c r="KD2367" s="2"/>
    </row>
    <row r="2368" spans="24:296" ht="15" customHeight="1" x14ac:dyDescent="0.25">
      <c r="X2368" s="2"/>
      <c r="AM2368" s="2"/>
      <c r="EO2368" s="2"/>
      <c r="GT2368" s="155"/>
      <c r="HZ2368" s="2"/>
      <c r="KD2368" s="2"/>
      <c r="KE2368" s="2"/>
    </row>
    <row r="2369" spans="24:292" ht="15" customHeight="1" x14ac:dyDescent="0.25">
      <c r="X2369" s="2"/>
      <c r="AM2369" s="2"/>
      <c r="EO2369" s="2"/>
      <c r="GT2369" s="155"/>
      <c r="HZ2369" s="2"/>
      <c r="KD2369" s="2"/>
      <c r="KE2369" s="2"/>
    </row>
    <row r="2370" spans="24:292" ht="15" customHeight="1" x14ac:dyDescent="0.25">
      <c r="X2370" s="2"/>
      <c r="AM2370" s="2"/>
      <c r="EO2370" s="2"/>
      <c r="GT2370" s="155"/>
      <c r="HZ2370" s="2"/>
      <c r="KD2370" s="2"/>
      <c r="KE2370" s="2"/>
    </row>
    <row r="2371" spans="24:292" ht="15" customHeight="1" x14ac:dyDescent="0.25">
      <c r="X2371" s="2"/>
      <c r="AM2371" s="2"/>
      <c r="EO2371" s="2"/>
      <c r="GT2371" s="155"/>
      <c r="HZ2371" s="2"/>
      <c r="KD2371" s="2"/>
      <c r="KE2371" s="2"/>
    </row>
    <row r="2372" spans="24:292" ht="15" customHeight="1" x14ac:dyDescent="0.25">
      <c r="X2372" s="2"/>
      <c r="AM2372" s="2"/>
      <c r="EO2372" s="2"/>
      <c r="GT2372" s="155"/>
      <c r="HZ2372" s="2"/>
      <c r="KD2372" s="2"/>
      <c r="KE2372" s="2"/>
      <c r="KF2372" s="2"/>
    </row>
    <row r="2373" spans="24:292" ht="15" customHeight="1" x14ac:dyDescent="0.25">
      <c r="X2373" s="2"/>
      <c r="AM2373" s="2"/>
      <c r="EO2373" s="2"/>
      <c r="GT2373" s="155"/>
      <c r="HZ2373" s="2"/>
      <c r="KD2373" s="2"/>
      <c r="KE2373" s="2"/>
    </row>
    <row r="2374" spans="24:292" ht="15" customHeight="1" x14ac:dyDescent="0.25">
      <c r="X2374" s="2"/>
      <c r="AM2374" s="2"/>
      <c r="EO2374" s="2"/>
      <c r="GT2374" s="155"/>
      <c r="HZ2374" s="2"/>
    </row>
    <row r="2375" spans="24:292" ht="15" customHeight="1" x14ac:dyDescent="0.25">
      <c r="X2375" s="2"/>
      <c r="AM2375" s="2"/>
      <c r="EO2375" s="2"/>
      <c r="GT2375" s="155"/>
      <c r="HZ2375" s="2"/>
      <c r="KD2375" s="2"/>
    </row>
    <row r="2376" spans="24:292" ht="15" customHeight="1" x14ac:dyDescent="0.25">
      <c r="X2376" s="2"/>
      <c r="AM2376" s="2"/>
      <c r="EO2376" s="2"/>
      <c r="GT2376" s="155"/>
      <c r="HZ2376" s="2"/>
      <c r="KD2376" s="2"/>
    </row>
    <row r="2377" spans="24:292" ht="15" customHeight="1" x14ac:dyDescent="0.25">
      <c r="X2377" s="2"/>
      <c r="AM2377" s="2"/>
      <c r="EO2377" s="2"/>
      <c r="GT2377" s="155"/>
      <c r="HZ2377" s="2"/>
    </row>
    <row r="2378" spans="24:292" ht="15" customHeight="1" x14ac:dyDescent="0.25">
      <c r="X2378" s="2"/>
      <c r="AM2378" s="2"/>
      <c r="EO2378" s="2"/>
      <c r="GT2378" s="155"/>
      <c r="HZ2378" s="2"/>
      <c r="KD2378" s="2"/>
    </row>
    <row r="2379" spans="24:292" ht="15" customHeight="1" x14ac:dyDescent="0.25">
      <c r="X2379" s="2"/>
      <c r="AM2379" s="2"/>
      <c r="EO2379" s="2"/>
      <c r="GT2379" s="155"/>
      <c r="HZ2379" s="2"/>
    </row>
    <row r="2380" spans="24:292" ht="15" customHeight="1" x14ac:dyDescent="0.25">
      <c r="X2380" s="2"/>
      <c r="AM2380" s="2"/>
      <c r="EO2380" s="2"/>
      <c r="GT2380" s="155"/>
      <c r="HZ2380" s="2"/>
    </row>
    <row r="2381" spans="24:292" ht="15" customHeight="1" x14ac:dyDescent="0.25">
      <c r="X2381" s="2"/>
      <c r="AM2381" s="2"/>
      <c r="EO2381" s="2"/>
      <c r="GT2381" s="155"/>
      <c r="HZ2381" s="2"/>
      <c r="KD2381" s="2"/>
    </row>
    <row r="2382" spans="24:292" ht="15" customHeight="1" x14ac:dyDescent="0.25">
      <c r="X2382" s="2"/>
      <c r="AM2382" s="2"/>
      <c r="EO2382" s="2"/>
      <c r="GT2382" s="155"/>
      <c r="HZ2382" s="2"/>
      <c r="KD2382" s="2"/>
      <c r="KE2382" s="2"/>
    </row>
    <row r="2383" spans="24:292" ht="15" customHeight="1" x14ac:dyDescent="0.25">
      <c r="X2383" s="2"/>
      <c r="AM2383" s="2"/>
      <c r="EO2383" s="2"/>
      <c r="GT2383" s="155"/>
      <c r="HZ2383" s="2"/>
      <c r="KD2383" s="2"/>
      <c r="KE2383" s="2"/>
    </row>
    <row r="2384" spans="24:292" ht="15" customHeight="1" x14ac:dyDescent="0.25">
      <c r="X2384" s="2"/>
      <c r="AM2384" s="2"/>
      <c r="EO2384" s="2"/>
      <c r="GT2384" s="155"/>
      <c r="HZ2384" s="2"/>
      <c r="KD2384" s="2"/>
      <c r="KE2384" s="2"/>
    </row>
    <row r="2385" spans="24:303" ht="15" customHeight="1" x14ac:dyDescent="0.25">
      <c r="X2385" s="2"/>
      <c r="AM2385" s="2"/>
      <c r="EO2385" s="2"/>
      <c r="GT2385" s="155"/>
      <c r="HZ2385" s="2"/>
      <c r="KD2385" s="2"/>
      <c r="KE2385" s="2"/>
    </row>
    <row r="2386" spans="24:303" ht="15" customHeight="1" x14ac:dyDescent="0.25">
      <c r="X2386" s="2"/>
      <c r="AM2386" s="2"/>
      <c r="EO2386" s="2"/>
      <c r="GT2386" s="155"/>
      <c r="HZ2386" s="2"/>
      <c r="KD2386" s="2"/>
    </row>
    <row r="2387" spans="24:303" ht="15" customHeight="1" x14ac:dyDescent="0.25">
      <c r="X2387" s="2"/>
      <c r="AM2387" s="2"/>
      <c r="EO2387" s="2"/>
      <c r="GT2387" s="155"/>
      <c r="HZ2387" s="2"/>
      <c r="KD2387" s="2"/>
    </row>
    <row r="2388" spans="24:303" ht="15" customHeight="1" x14ac:dyDescent="0.25">
      <c r="X2388" s="2"/>
      <c r="AM2388" s="2"/>
      <c r="EO2388" s="2"/>
      <c r="GT2388" s="155"/>
      <c r="HZ2388" s="2"/>
      <c r="KD2388" s="2"/>
      <c r="KE2388" s="2"/>
    </row>
    <row r="2389" spans="24:303" ht="15" customHeight="1" x14ac:dyDescent="0.25">
      <c r="X2389" s="2"/>
      <c r="AM2389" s="2"/>
      <c r="EO2389" s="2"/>
      <c r="GT2389" s="155"/>
      <c r="HZ2389" s="2"/>
      <c r="KD2389" s="2"/>
    </row>
    <row r="2390" spans="24:303" ht="15" customHeight="1" x14ac:dyDescent="0.25">
      <c r="X2390" s="2"/>
      <c r="AM2390" s="2"/>
      <c r="EO2390" s="2"/>
      <c r="GT2390" s="155"/>
      <c r="HZ2390" s="2"/>
      <c r="KD2390" s="2"/>
    </row>
    <row r="2391" spans="24:303" ht="15" customHeight="1" x14ac:dyDescent="0.25">
      <c r="X2391" s="2"/>
      <c r="AM2391" s="2"/>
      <c r="EO2391" s="2"/>
      <c r="GT2391" s="155"/>
      <c r="HZ2391" s="2"/>
      <c r="KD2391" s="2"/>
      <c r="KE2391" s="2"/>
    </row>
    <row r="2392" spans="24:303" ht="15" customHeight="1" x14ac:dyDescent="0.25">
      <c r="X2392" s="2"/>
      <c r="AM2392" s="2"/>
      <c r="EO2392" s="2"/>
      <c r="GT2392" s="155"/>
      <c r="HZ2392" s="2"/>
      <c r="KD2392" s="2"/>
      <c r="KE2392" s="2"/>
    </row>
    <row r="2393" spans="24:303" ht="15" customHeight="1" x14ac:dyDescent="0.25">
      <c r="X2393" s="2"/>
      <c r="AM2393" s="2"/>
      <c r="EO2393" s="2"/>
      <c r="GT2393" s="155"/>
      <c r="HZ2393" s="2"/>
      <c r="KD2393" s="2"/>
    </row>
    <row r="2394" spans="24:303" ht="15" customHeight="1" x14ac:dyDescent="0.25">
      <c r="X2394" s="2"/>
      <c r="AM2394" s="2"/>
      <c r="EO2394" s="2"/>
      <c r="GT2394" s="155"/>
      <c r="HZ2394" s="2"/>
    </row>
    <row r="2395" spans="24:303" ht="15" customHeight="1" x14ac:dyDescent="0.25">
      <c r="X2395" s="2"/>
      <c r="AM2395" s="2"/>
      <c r="EO2395" s="2"/>
      <c r="GT2395" s="155"/>
      <c r="HZ2395" s="2"/>
      <c r="KD2395" s="2"/>
      <c r="KE2395" s="2"/>
    </row>
    <row r="2396" spans="24:303" ht="15" customHeight="1" x14ac:dyDescent="0.25">
      <c r="X2396" s="2"/>
      <c r="AM2396" s="2"/>
      <c r="EO2396" s="2"/>
      <c r="GT2396" s="155"/>
      <c r="HZ2396" s="2"/>
      <c r="KD2396" s="2"/>
      <c r="KE2396" s="2"/>
    </row>
    <row r="2397" spans="24:303" ht="15" customHeight="1" x14ac:dyDescent="0.25">
      <c r="X2397" s="2"/>
      <c r="AM2397" s="2"/>
      <c r="EO2397" s="2"/>
      <c r="GT2397" s="155"/>
      <c r="HZ2397" s="2"/>
      <c r="KD2397" s="2"/>
      <c r="KE2397" s="2"/>
      <c r="KF2397" s="2"/>
    </row>
    <row r="2398" spans="24:303" ht="15" customHeight="1" x14ac:dyDescent="0.25">
      <c r="Y2398" s="2"/>
      <c r="AO2398" s="2"/>
      <c r="ER2398" s="2"/>
      <c r="GY2398" s="155"/>
      <c r="IK2398" s="2"/>
      <c r="KP2398" s="2"/>
    </row>
    <row r="2399" spans="24:303" ht="15" customHeight="1" x14ac:dyDescent="0.25">
      <c r="Y2399" s="2"/>
      <c r="AO2399" s="2"/>
      <c r="ER2399" s="2"/>
      <c r="GY2399" s="155"/>
      <c r="IK2399" s="2"/>
      <c r="KP2399" s="2"/>
      <c r="KQ2399" s="2"/>
    </row>
    <row r="2400" spans="24:303" ht="15" customHeight="1" x14ac:dyDescent="0.25">
      <c r="Y2400" s="2"/>
      <c r="AO2400" s="2"/>
      <c r="ER2400" s="2"/>
      <c r="GY2400" s="155"/>
      <c r="IK2400" s="2"/>
      <c r="KP2400" s="2"/>
    </row>
    <row r="2401" spans="18:302" ht="15" customHeight="1" x14ac:dyDescent="0.25">
      <c r="Y2401" s="2"/>
      <c r="AO2401" s="2"/>
      <c r="ER2401" s="2"/>
      <c r="GY2401" s="155"/>
      <c r="IK2401" s="2"/>
      <c r="KP2401" s="2"/>
    </row>
    <row r="2402" spans="18:302" ht="15" customHeight="1" x14ac:dyDescent="0.25">
      <c r="Y2402" s="2"/>
      <c r="AO2402" s="2"/>
      <c r="ER2402" s="2"/>
      <c r="GY2402" s="155"/>
      <c r="IK2402" s="2"/>
      <c r="KP2402" s="2"/>
    </row>
    <row r="2403" spans="18:302" ht="15" customHeight="1" x14ac:dyDescent="0.25">
      <c r="Y2403" s="2"/>
      <c r="AO2403" s="2"/>
      <c r="ER2403" s="2"/>
      <c r="GY2403" s="155"/>
      <c r="IK2403" s="2"/>
      <c r="KP2403" s="2"/>
    </row>
    <row r="2404" spans="18:302" ht="15" customHeight="1" x14ac:dyDescent="0.25">
      <c r="Y2404" s="2"/>
      <c r="AO2404" s="2"/>
      <c r="ER2404" s="2"/>
      <c r="GY2404" s="155"/>
      <c r="IK2404" s="2"/>
      <c r="KP2404" s="2"/>
    </row>
    <row r="2405" spans="18:302" ht="15" customHeight="1" x14ac:dyDescent="0.25">
      <c r="Y2405" s="2"/>
      <c r="AO2405" s="2"/>
      <c r="ER2405" s="2"/>
      <c r="GY2405" s="155"/>
      <c r="IK2405" s="2"/>
      <c r="KP2405" s="2"/>
    </row>
    <row r="2406" spans="18:302" ht="15" customHeight="1" x14ac:dyDescent="0.25">
      <c r="X2406" s="2"/>
      <c r="AM2406" s="2"/>
      <c r="GT2406" s="155"/>
      <c r="HZ2406" s="2"/>
      <c r="KD2406" s="2"/>
    </row>
    <row r="2407" spans="18:302" ht="15" customHeight="1" x14ac:dyDescent="0.25">
      <c r="R2407" s="1"/>
      <c r="T2407" s="1"/>
      <c r="X2407" s="2"/>
      <c r="AM2407" s="2"/>
      <c r="GT2407" s="155"/>
      <c r="HZ2407" s="2"/>
      <c r="KD2407" s="2"/>
    </row>
    <row r="2408" spans="18:302" ht="15" customHeight="1" x14ac:dyDescent="0.25">
      <c r="X2408" s="2"/>
      <c r="AM2408" s="2"/>
      <c r="EO2408" s="2"/>
      <c r="GT2408" s="155"/>
      <c r="HZ2408" s="2"/>
      <c r="KD2408" s="2"/>
      <c r="KE2408" s="2"/>
    </row>
    <row r="2409" spans="18:302" ht="15" customHeight="1" x14ac:dyDescent="0.25">
      <c r="X2409" s="2"/>
      <c r="AM2409" s="2"/>
      <c r="EO2409" s="2"/>
      <c r="GT2409" s="155"/>
      <c r="HZ2409" s="2"/>
      <c r="KD2409" s="2"/>
      <c r="KE2409" s="2"/>
    </row>
    <row r="2410" spans="18:302" ht="15" customHeight="1" x14ac:dyDescent="0.25">
      <c r="X2410" s="2"/>
      <c r="AM2410" s="2"/>
      <c r="EO2410" s="2"/>
      <c r="GT2410" s="155"/>
      <c r="HZ2410" s="2"/>
      <c r="KD2410" s="2"/>
    </row>
    <row r="2411" spans="18:302" ht="15" customHeight="1" x14ac:dyDescent="0.25">
      <c r="X2411" s="2"/>
      <c r="AM2411" s="2"/>
      <c r="EO2411" s="2"/>
      <c r="GT2411" s="155"/>
      <c r="HZ2411" s="2"/>
      <c r="KD2411" s="2"/>
      <c r="KE2411" s="2"/>
    </row>
    <row r="2412" spans="18:302" ht="15" customHeight="1" x14ac:dyDescent="0.25">
      <c r="X2412" s="2"/>
      <c r="AM2412" s="2"/>
      <c r="EO2412" s="2"/>
      <c r="GT2412" s="155"/>
      <c r="HZ2412" s="2"/>
      <c r="KD2412" s="2"/>
      <c r="KE2412" s="2"/>
      <c r="KF2412" s="2"/>
    </row>
    <row r="2413" spans="18:302" ht="15" customHeight="1" x14ac:dyDescent="0.25">
      <c r="X2413" s="2"/>
      <c r="AM2413" s="2"/>
      <c r="EO2413" s="2"/>
      <c r="GT2413" s="155"/>
      <c r="HZ2413" s="2"/>
      <c r="KD2413" s="2"/>
      <c r="KE2413" s="2"/>
      <c r="KF2413" s="2"/>
    </row>
    <row r="2414" spans="18:302" ht="15" customHeight="1" x14ac:dyDescent="0.25">
      <c r="X2414" s="2"/>
      <c r="AM2414" s="2"/>
      <c r="EO2414" s="2"/>
      <c r="GT2414" s="155"/>
      <c r="HZ2414" s="2"/>
      <c r="KD2414" s="2"/>
    </row>
    <row r="2415" spans="18:302" ht="15" customHeight="1" x14ac:dyDescent="0.25">
      <c r="X2415" s="2"/>
      <c r="AM2415" s="2"/>
      <c r="EO2415" s="2"/>
      <c r="GT2415" s="155"/>
      <c r="HZ2415" s="2"/>
      <c r="KD2415" s="2"/>
      <c r="KE2415" s="2"/>
    </row>
    <row r="2416" spans="18:302" ht="15" customHeight="1" x14ac:dyDescent="0.25">
      <c r="X2416" s="2"/>
      <c r="AM2416" s="2"/>
      <c r="EO2416" s="2"/>
      <c r="GT2416" s="155"/>
      <c r="HZ2416" s="2"/>
      <c r="KD2416" s="2"/>
      <c r="KE2416" s="2"/>
    </row>
    <row r="2417" spans="24:293" ht="15" customHeight="1" x14ac:dyDescent="0.25">
      <c r="X2417" s="2"/>
      <c r="AM2417" s="2"/>
      <c r="EO2417" s="2"/>
      <c r="GT2417" s="155"/>
      <c r="HZ2417" s="2"/>
      <c r="KD2417" s="2"/>
      <c r="KE2417" s="2"/>
    </row>
    <row r="2418" spans="24:293" ht="15" customHeight="1" x14ac:dyDescent="0.25">
      <c r="X2418" s="2"/>
      <c r="AM2418" s="2"/>
      <c r="EO2418" s="2"/>
      <c r="GT2418" s="155"/>
      <c r="HZ2418" s="2"/>
      <c r="KD2418" s="2"/>
    </row>
    <row r="2419" spans="24:293" ht="15" customHeight="1" x14ac:dyDescent="0.25">
      <c r="X2419" s="2"/>
      <c r="AM2419" s="2"/>
      <c r="EO2419" s="2"/>
      <c r="GT2419" s="155"/>
      <c r="HZ2419" s="2"/>
      <c r="KD2419" s="2"/>
    </row>
    <row r="2420" spans="24:293" ht="15" customHeight="1" x14ac:dyDescent="0.25">
      <c r="X2420" s="2"/>
      <c r="AM2420" s="2"/>
      <c r="EO2420" s="2"/>
      <c r="GT2420" s="155"/>
      <c r="HZ2420" s="2"/>
    </row>
    <row r="2421" spans="24:293" ht="15" customHeight="1" x14ac:dyDescent="0.25">
      <c r="X2421" s="2"/>
      <c r="AM2421" s="2"/>
      <c r="EO2421" s="2"/>
      <c r="GT2421" s="155"/>
      <c r="HZ2421" s="2"/>
      <c r="KD2421" s="2"/>
      <c r="KE2421" s="2"/>
      <c r="KF2421" s="2"/>
    </row>
    <row r="2422" spans="24:293" ht="15" customHeight="1" x14ac:dyDescent="0.25">
      <c r="X2422" s="2"/>
      <c r="AM2422" s="2"/>
      <c r="EO2422" s="2"/>
      <c r="GT2422" s="155"/>
      <c r="HZ2422" s="2"/>
      <c r="KD2422" s="2"/>
    </row>
    <row r="2423" spans="24:293" ht="15" customHeight="1" x14ac:dyDescent="0.25">
      <c r="X2423" s="2"/>
      <c r="AM2423" s="2"/>
      <c r="EO2423" s="2"/>
      <c r="GT2423" s="155"/>
      <c r="HZ2423" s="2"/>
      <c r="KD2423" s="2"/>
    </row>
    <row r="2424" spans="24:293" ht="15" customHeight="1" x14ac:dyDescent="0.25">
      <c r="X2424" s="2"/>
      <c r="AM2424" s="2"/>
      <c r="EO2424" s="2"/>
      <c r="GT2424" s="155"/>
      <c r="HZ2424" s="2"/>
      <c r="KD2424" s="2"/>
      <c r="KE2424" s="2"/>
    </row>
    <row r="2425" spans="24:293" ht="15" customHeight="1" x14ac:dyDescent="0.25">
      <c r="X2425" s="2"/>
      <c r="AM2425" s="2"/>
      <c r="EO2425" s="2"/>
      <c r="GT2425" s="155"/>
      <c r="HZ2425" s="2"/>
      <c r="KD2425" s="2"/>
      <c r="KE2425" s="2"/>
      <c r="KF2425" s="2"/>
      <c r="KG2425" s="2"/>
    </row>
    <row r="2426" spans="24:293" ht="15" customHeight="1" x14ac:dyDescent="0.25">
      <c r="X2426" s="2"/>
      <c r="AM2426" s="2"/>
      <c r="EO2426" s="2"/>
      <c r="GT2426" s="155"/>
      <c r="HZ2426" s="2"/>
    </row>
    <row r="2427" spans="24:293" ht="15" customHeight="1" x14ac:dyDescent="0.25">
      <c r="X2427" s="2"/>
      <c r="AM2427" s="2"/>
      <c r="EO2427" s="2"/>
      <c r="GT2427" s="155"/>
      <c r="HZ2427" s="2"/>
    </row>
    <row r="2428" spans="24:293" ht="15" customHeight="1" x14ac:dyDescent="0.25">
      <c r="X2428" s="2"/>
      <c r="AM2428" s="2"/>
      <c r="EO2428" s="2"/>
      <c r="GT2428" s="155"/>
      <c r="HZ2428" s="2"/>
      <c r="KD2428" s="2"/>
      <c r="KE2428" s="2"/>
      <c r="KF2428" s="2"/>
    </row>
    <row r="2429" spans="24:293" ht="15" customHeight="1" x14ac:dyDescent="0.25">
      <c r="X2429" s="2"/>
      <c r="AM2429" s="2"/>
      <c r="EO2429" s="2"/>
      <c r="GT2429" s="155"/>
      <c r="HZ2429" s="2"/>
      <c r="KD2429" s="2"/>
      <c r="KE2429" s="2"/>
    </row>
    <row r="2430" spans="24:293" ht="15" customHeight="1" x14ac:dyDescent="0.25">
      <c r="X2430" s="2"/>
      <c r="AM2430" s="2"/>
      <c r="EO2430" s="2"/>
      <c r="GT2430" s="155"/>
      <c r="HZ2430" s="2"/>
      <c r="KD2430" s="2"/>
      <c r="KE2430" s="2"/>
    </row>
    <row r="2431" spans="24:293" ht="15" customHeight="1" x14ac:dyDescent="0.25">
      <c r="X2431" s="2"/>
      <c r="AM2431" s="2"/>
      <c r="EO2431" s="2"/>
      <c r="GT2431" s="155"/>
      <c r="HZ2431" s="2"/>
      <c r="KD2431" s="2"/>
      <c r="KE2431" s="2"/>
      <c r="KF2431" s="2"/>
    </row>
    <row r="2432" spans="24:293" ht="15" customHeight="1" x14ac:dyDescent="0.25">
      <c r="X2432" s="2"/>
      <c r="AM2432" s="2"/>
      <c r="EO2432" s="2"/>
      <c r="GT2432" s="155"/>
      <c r="HZ2432" s="2"/>
      <c r="KD2432" s="2"/>
      <c r="KE2432" s="2"/>
    </row>
    <row r="2433" spans="24:292" ht="15" customHeight="1" x14ac:dyDescent="0.25">
      <c r="X2433" s="2"/>
      <c r="AM2433" s="2"/>
      <c r="EO2433" s="2"/>
      <c r="GT2433" s="155"/>
      <c r="HZ2433" s="2"/>
      <c r="KD2433" s="2"/>
    </row>
    <row r="2434" spans="24:292" ht="15" customHeight="1" x14ac:dyDescent="0.25">
      <c r="X2434" s="2"/>
      <c r="AM2434" s="2"/>
      <c r="EO2434" s="2"/>
      <c r="GT2434" s="155"/>
      <c r="HZ2434" s="2"/>
      <c r="KD2434" s="2"/>
    </row>
    <row r="2435" spans="24:292" ht="15" customHeight="1" x14ac:dyDescent="0.25">
      <c r="X2435" s="2"/>
      <c r="AM2435" s="2"/>
      <c r="EO2435" s="2"/>
      <c r="GT2435" s="155"/>
      <c r="HZ2435" s="2"/>
    </row>
    <row r="2436" spans="24:292" ht="15" customHeight="1" x14ac:dyDescent="0.25">
      <c r="X2436" s="2"/>
      <c r="AM2436" s="2"/>
      <c r="EO2436" s="2"/>
      <c r="GT2436" s="155"/>
      <c r="HZ2436" s="2"/>
    </row>
    <row r="2437" spans="24:292" ht="15" customHeight="1" x14ac:dyDescent="0.25">
      <c r="X2437" s="2"/>
      <c r="AM2437" s="2"/>
      <c r="EO2437" s="2"/>
      <c r="GT2437" s="155"/>
      <c r="HZ2437" s="2"/>
      <c r="KD2437" s="2"/>
    </row>
    <row r="2438" spans="24:292" ht="15" customHeight="1" x14ac:dyDescent="0.25">
      <c r="X2438" s="2"/>
      <c r="AM2438" s="2"/>
      <c r="EO2438" s="2"/>
      <c r="GT2438" s="155"/>
      <c r="HZ2438" s="2"/>
      <c r="KD2438" s="2"/>
      <c r="KE2438" s="2"/>
    </row>
    <row r="2439" spans="24:292" ht="15" customHeight="1" x14ac:dyDescent="0.25">
      <c r="X2439" s="2"/>
      <c r="AM2439" s="2"/>
      <c r="EO2439" s="2"/>
      <c r="GT2439" s="155"/>
      <c r="HZ2439" s="2"/>
    </row>
    <row r="2440" spans="24:292" ht="15" customHeight="1" x14ac:dyDescent="0.25">
      <c r="X2440" s="2"/>
      <c r="AM2440" s="2"/>
      <c r="EO2440" s="2"/>
      <c r="GT2440" s="155"/>
      <c r="HZ2440" s="2"/>
      <c r="KD2440" s="2"/>
    </row>
    <row r="2441" spans="24:292" ht="15" customHeight="1" x14ac:dyDescent="0.25">
      <c r="X2441" s="2"/>
      <c r="AM2441" s="2"/>
      <c r="EO2441" s="2"/>
      <c r="GT2441" s="155"/>
      <c r="HZ2441" s="2"/>
      <c r="KD2441" s="2"/>
    </row>
    <row r="2442" spans="24:292" ht="15" customHeight="1" x14ac:dyDescent="0.25">
      <c r="X2442" s="2"/>
      <c r="AM2442" s="2"/>
      <c r="EO2442" s="2"/>
      <c r="GT2442" s="155"/>
      <c r="HZ2442" s="2"/>
      <c r="KD2442" s="2"/>
      <c r="KE2442" s="2"/>
    </row>
    <row r="2443" spans="24:292" ht="15" customHeight="1" x14ac:dyDescent="0.25">
      <c r="X2443" s="2"/>
      <c r="AM2443" s="2"/>
      <c r="EO2443" s="2"/>
      <c r="GT2443" s="155"/>
      <c r="HZ2443" s="2"/>
      <c r="KD2443" s="2"/>
    </row>
    <row r="2444" spans="24:292" ht="15" customHeight="1" x14ac:dyDescent="0.25">
      <c r="X2444" s="2"/>
      <c r="AM2444" s="2"/>
      <c r="EO2444" s="2"/>
      <c r="GT2444" s="155"/>
      <c r="HZ2444" s="2"/>
      <c r="KD2444" s="2"/>
    </row>
    <row r="2445" spans="24:292" ht="15" customHeight="1" x14ac:dyDescent="0.25">
      <c r="X2445" s="2"/>
      <c r="AM2445" s="2"/>
      <c r="EO2445" s="2"/>
      <c r="GT2445" s="155"/>
      <c r="HZ2445" s="2"/>
      <c r="KD2445" s="2"/>
      <c r="KE2445" s="2"/>
      <c r="KF2445" s="2"/>
    </row>
    <row r="2446" spans="24:292" ht="15" customHeight="1" x14ac:dyDescent="0.25">
      <c r="X2446" s="2"/>
      <c r="AM2446" s="2"/>
      <c r="EO2446" s="2"/>
      <c r="GT2446" s="155"/>
      <c r="HZ2446" s="2"/>
      <c r="KD2446" s="2"/>
    </row>
    <row r="2447" spans="24:292" ht="15" customHeight="1" x14ac:dyDescent="0.25">
      <c r="X2447" s="2"/>
      <c r="AM2447" s="2"/>
      <c r="EO2447" s="2"/>
      <c r="GT2447" s="155"/>
      <c r="HZ2447" s="2"/>
      <c r="KD2447" s="2"/>
    </row>
    <row r="2448" spans="24:292" ht="15" customHeight="1" x14ac:dyDescent="0.25">
      <c r="X2448" s="2"/>
      <c r="AM2448" s="2"/>
      <c r="EO2448" s="2"/>
      <c r="GT2448" s="155"/>
      <c r="HZ2448" s="2"/>
      <c r="KD2448" s="2"/>
      <c r="KE2448" s="2"/>
    </row>
    <row r="2449" spans="24:306" ht="15" customHeight="1" x14ac:dyDescent="0.25">
      <c r="X2449" s="2"/>
      <c r="AM2449" s="2"/>
      <c r="EO2449" s="2"/>
      <c r="GT2449" s="155"/>
      <c r="HZ2449" s="2"/>
      <c r="KD2449" s="2"/>
      <c r="KE2449" s="2"/>
      <c r="KF2449" s="2"/>
    </row>
    <row r="2450" spans="24:306" ht="15" customHeight="1" x14ac:dyDescent="0.25">
      <c r="X2450" s="2"/>
      <c r="AM2450" s="2"/>
      <c r="EO2450" s="2"/>
      <c r="GT2450" s="155"/>
      <c r="HZ2450" s="2"/>
      <c r="KD2450" s="2"/>
    </row>
    <row r="2451" spans="24:306" ht="15" customHeight="1" x14ac:dyDescent="0.25">
      <c r="X2451" s="2"/>
      <c r="AM2451" s="2"/>
      <c r="EO2451" s="2"/>
      <c r="GT2451" s="155"/>
      <c r="HZ2451" s="2"/>
    </row>
    <row r="2452" spans="24:306" ht="15" customHeight="1" x14ac:dyDescent="0.25">
      <c r="X2452" s="2"/>
      <c r="AM2452" s="2"/>
      <c r="EO2452" s="2"/>
      <c r="GT2452" s="155"/>
      <c r="HZ2452" s="2"/>
      <c r="KD2452" s="2"/>
    </row>
    <row r="2453" spans="24:306" ht="15" customHeight="1" x14ac:dyDescent="0.25">
      <c r="X2453" s="2"/>
      <c r="AM2453" s="2"/>
      <c r="EO2453" s="2"/>
      <c r="GT2453" s="155"/>
      <c r="HZ2453" s="2"/>
      <c r="KD2453" s="2"/>
      <c r="KE2453" s="2"/>
      <c r="KF2453" s="2"/>
    </row>
    <row r="2454" spans="24:306" ht="15" customHeight="1" x14ac:dyDescent="0.25">
      <c r="X2454" s="2"/>
      <c r="AM2454" s="2"/>
      <c r="EO2454" s="2"/>
      <c r="GT2454" s="155"/>
      <c r="HZ2454" s="2"/>
      <c r="KD2454" s="2"/>
    </row>
    <row r="2455" spans="24:306" ht="15" customHeight="1" x14ac:dyDescent="0.25">
      <c r="X2455" s="2"/>
      <c r="AM2455" s="2"/>
      <c r="EO2455" s="2"/>
      <c r="GT2455" s="155"/>
      <c r="HZ2455" s="2"/>
      <c r="KD2455" s="2"/>
      <c r="KE2455" s="2"/>
      <c r="KF2455" s="2"/>
    </row>
    <row r="2456" spans="24:306" ht="15" customHeight="1" x14ac:dyDescent="0.25">
      <c r="Y2456" s="2"/>
      <c r="AO2456" s="2"/>
      <c r="ER2456" s="2"/>
      <c r="GY2456" s="155"/>
      <c r="IK2456" s="2"/>
      <c r="KP2456" s="2"/>
    </row>
    <row r="2457" spans="24:306" ht="15" customHeight="1" x14ac:dyDescent="0.25">
      <c r="Y2457" s="2"/>
      <c r="AO2457" s="2"/>
      <c r="ER2457" s="2"/>
      <c r="GY2457" s="155"/>
      <c r="IK2457" s="2"/>
      <c r="KP2457" s="2"/>
    </row>
    <row r="2458" spans="24:306" ht="15" customHeight="1" x14ac:dyDescent="0.25">
      <c r="Y2458" s="2"/>
      <c r="AO2458" s="2"/>
      <c r="ER2458" s="2"/>
      <c r="GY2458" s="155"/>
      <c r="IK2458" s="2"/>
      <c r="KP2458" s="2"/>
    </row>
    <row r="2459" spans="24:306" ht="15" customHeight="1" x14ac:dyDescent="0.25">
      <c r="Y2459" s="2"/>
      <c r="AO2459" s="2"/>
      <c r="ER2459" s="2"/>
      <c r="GY2459" s="155"/>
      <c r="IK2459" s="2"/>
      <c r="KP2459" s="2"/>
      <c r="KQ2459" s="2"/>
      <c r="KR2459" s="2"/>
      <c r="KS2459" s="2"/>
      <c r="KT2459" s="2"/>
    </row>
    <row r="2460" spans="24:306" ht="15" customHeight="1" x14ac:dyDescent="0.25">
      <c r="Y2460" s="2"/>
      <c r="AO2460" s="2"/>
      <c r="ER2460" s="2"/>
      <c r="GY2460" s="155"/>
      <c r="IK2460" s="2"/>
      <c r="KP2460" s="2"/>
      <c r="KQ2460" s="2"/>
      <c r="KR2460" s="2"/>
    </row>
    <row r="2461" spans="24:306" ht="15" customHeight="1" x14ac:dyDescent="0.25">
      <c r="Y2461" s="2"/>
      <c r="AO2461" s="2"/>
      <c r="ER2461" s="2"/>
      <c r="GY2461" s="155"/>
      <c r="IK2461" s="2"/>
      <c r="KP2461" s="2"/>
      <c r="KQ2461" s="2"/>
    </row>
    <row r="2462" spans="24:306" ht="15" customHeight="1" x14ac:dyDescent="0.25">
      <c r="Y2462" s="2"/>
      <c r="AO2462" s="2"/>
      <c r="ER2462" s="2"/>
      <c r="GY2462" s="155"/>
      <c r="IK2462" s="2"/>
      <c r="KP2462" s="2"/>
      <c r="KQ2462" s="2"/>
      <c r="KR2462" s="2"/>
      <c r="KS2462" s="2"/>
    </row>
    <row r="2463" spans="24:306" ht="15" customHeight="1" x14ac:dyDescent="0.25">
      <c r="X2463" s="2"/>
      <c r="AM2463" s="2"/>
      <c r="GT2463" s="155"/>
      <c r="HZ2463" s="2"/>
      <c r="KD2463" s="2"/>
      <c r="KE2463" s="2"/>
      <c r="KF2463" s="2"/>
    </row>
    <row r="2464" spans="24:306" ht="15" customHeight="1" x14ac:dyDescent="0.25">
      <c r="X2464" s="2"/>
      <c r="AM2464" s="2"/>
      <c r="GT2464" s="155"/>
      <c r="HZ2464" s="2"/>
      <c r="KD2464" s="2"/>
      <c r="KE2464" s="2"/>
    </row>
    <row r="2465" spans="24:298" ht="15" customHeight="1" x14ac:dyDescent="0.25">
      <c r="X2465" s="2"/>
      <c r="AM2465" s="2"/>
      <c r="GT2465" s="155"/>
      <c r="HZ2465" s="2"/>
      <c r="KD2465" s="2"/>
    </row>
    <row r="2466" spans="24:298" ht="15" customHeight="1" x14ac:dyDescent="0.25">
      <c r="X2466" s="2"/>
      <c r="AM2466" s="2"/>
      <c r="GT2466" s="155"/>
      <c r="HZ2466" s="2"/>
      <c r="KD2466" s="2"/>
    </row>
    <row r="2467" spans="24:298" ht="15" customHeight="1" x14ac:dyDescent="0.25">
      <c r="X2467" s="2"/>
      <c r="AM2467" s="2"/>
      <c r="GT2467" s="155"/>
      <c r="HZ2467" s="2"/>
      <c r="KD2467" s="2"/>
    </row>
    <row r="2468" spans="24:298" ht="15" customHeight="1" x14ac:dyDescent="0.25">
      <c r="X2468" s="2"/>
      <c r="AM2468" s="2"/>
      <c r="GT2468" s="155"/>
      <c r="HZ2468" s="2"/>
      <c r="KD2468" s="2"/>
    </row>
    <row r="2469" spans="24:298" ht="15" customHeight="1" x14ac:dyDescent="0.25">
      <c r="X2469" s="2"/>
      <c r="AM2469" s="2"/>
      <c r="EO2469" s="2"/>
      <c r="GT2469" s="155"/>
      <c r="HZ2469" s="2"/>
      <c r="KD2469" s="2"/>
      <c r="KE2469" s="2"/>
    </row>
    <row r="2470" spans="24:298" ht="15" customHeight="1" x14ac:dyDescent="0.25">
      <c r="X2470" s="2"/>
      <c r="AM2470" s="2"/>
      <c r="EO2470" s="2"/>
      <c r="GT2470" s="155"/>
      <c r="HZ2470" s="2"/>
      <c r="KD2470" s="2"/>
    </row>
    <row r="2471" spans="24:298" ht="15" customHeight="1" x14ac:dyDescent="0.25">
      <c r="X2471" s="2"/>
      <c r="AM2471" s="2"/>
      <c r="EO2471" s="2"/>
      <c r="GT2471" s="155"/>
      <c r="HZ2471" s="2"/>
      <c r="KD2471" s="2"/>
      <c r="KE2471" s="2"/>
    </row>
    <row r="2472" spans="24:298" ht="15" customHeight="1" x14ac:dyDescent="0.25">
      <c r="X2472" s="2"/>
      <c r="AM2472" s="2"/>
      <c r="EO2472" s="2"/>
      <c r="GT2472" s="155"/>
      <c r="HZ2472" s="2"/>
      <c r="KD2472" s="2"/>
      <c r="KE2472" s="2"/>
    </row>
    <row r="2473" spans="24:298" ht="15" customHeight="1" x14ac:dyDescent="0.25">
      <c r="X2473" s="2"/>
      <c r="AM2473" s="2"/>
      <c r="EO2473" s="2"/>
      <c r="GT2473" s="155"/>
      <c r="HZ2473" s="2"/>
      <c r="KD2473" s="2"/>
      <c r="KE2473" s="2"/>
    </row>
    <row r="2474" spans="24:298" ht="15" customHeight="1" x14ac:dyDescent="0.25">
      <c r="X2474" s="2"/>
      <c r="AM2474" s="2"/>
      <c r="EO2474" s="2"/>
      <c r="GT2474" s="155"/>
      <c r="HZ2474" s="2"/>
      <c r="KD2474" s="2"/>
      <c r="KE2474" s="2"/>
      <c r="KF2474" s="2"/>
    </row>
    <row r="2475" spans="24:298" ht="15" customHeight="1" x14ac:dyDescent="0.25">
      <c r="X2475" s="2"/>
      <c r="AM2475" s="2"/>
      <c r="EO2475" s="2"/>
      <c r="GT2475" s="155"/>
      <c r="HZ2475" s="2"/>
      <c r="KD2475" s="2"/>
      <c r="KE2475" s="2"/>
      <c r="KF2475" s="2"/>
      <c r="KG2475" s="2"/>
      <c r="KH2475" s="2"/>
      <c r="KI2475" s="2"/>
      <c r="KJ2475" s="2"/>
      <c r="KK2475" s="2"/>
      <c r="KL2475" s="2"/>
    </row>
    <row r="2476" spans="24:298" ht="15" customHeight="1" x14ac:dyDescent="0.25">
      <c r="X2476" s="2"/>
      <c r="AM2476" s="2"/>
      <c r="EO2476" s="2"/>
      <c r="GT2476" s="155"/>
      <c r="HZ2476" s="2"/>
      <c r="KD2476" s="2"/>
      <c r="KE2476" s="2"/>
    </row>
    <row r="2477" spans="24:298" ht="15" customHeight="1" x14ac:dyDescent="0.25">
      <c r="X2477" s="2"/>
      <c r="AM2477" s="2"/>
      <c r="EO2477" s="2"/>
      <c r="GT2477" s="155"/>
      <c r="HZ2477" s="2"/>
    </row>
    <row r="2478" spans="24:298" ht="15" customHeight="1" x14ac:dyDescent="0.25">
      <c r="X2478" s="2"/>
      <c r="AM2478" s="2"/>
      <c r="EO2478" s="2"/>
      <c r="GT2478" s="155"/>
      <c r="HZ2478" s="2"/>
      <c r="KD2478" s="2"/>
    </row>
    <row r="2479" spans="24:298" ht="15" customHeight="1" x14ac:dyDescent="0.25">
      <c r="X2479" s="2"/>
      <c r="AM2479" s="2"/>
      <c r="EO2479" s="2"/>
      <c r="GT2479" s="155"/>
      <c r="HZ2479" s="2"/>
      <c r="KD2479" s="2"/>
    </row>
    <row r="2480" spans="24:298" ht="15" customHeight="1" x14ac:dyDescent="0.25">
      <c r="X2480" s="2"/>
      <c r="AM2480" s="2"/>
      <c r="EO2480" s="2"/>
      <c r="GT2480" s="155"/>
      <c r="HZ2480" s="2"/>
    </row>
    <row r="2481" spans="24:291" ht="15" customHeight="1" x14ac:dyDescent="0.25">
      <c r="X2481" s="2"/>
      <c r="AM2481" s="2"/>
      <c r="EO2481" s="2"/>
      <c r="GT2481" s="155"/>
      <c r="HZ2481" s="2"/>
      <c r="KD2481" s="2"/>
    </row>
    <row r="2482" spans="24:291" ht="15" customHeight="1" x14ac:dyDescent="0.25">
      <c r="X2482" s="2"/>
      <c r="AM2482" s="2"/>
      <c r="EO2482" s="2"/>
      <c r="GT2482" s="155"/>
      <c r="HZ2482" s="2"/>
      <c r="KD2482" s="2"/>
    </row>
    <row r="2483" spans="24:291" ht="15" customHeight="1" x14ac:dyDescent="0.25">
      <c r="X2483" s="2"/>
      <c r="AM2483" s="2"/>
      <c r="EO2483" s="2"/>
      <c r="GT2483" s="155"/>
      <c r="HZ2483" s="2"/>
      <c r="KD2483" s="2"/>
    </row>
    <row r="2484" spans="24:291" ht="15" customHeight="1" x14ac:dyDescent="0.25">
      <c r="X2484" s="2"/>
      <c r="AM2484" s="2"/>
      <c r="EO2484" s="2"/>
      <c r="GT2484" s="155"/>
      <c r="HZ2484" s="2"/>
      <c r="KD2484" s="2"/>
    </row>
    <row r="2485" spans="24:291" ht="15" customHeight="1" x14ac:dyDescent="0.25">
      <c r="X2485" s="2"/>
      <c r="AM2485" s="2"/>
      <c r="EO2485" s="2"/>
      <c r="GT2485" s="155"/>
      <c r="HZ2485" s="2"/>
      <c r="KD2485" s="2"/>
      <c r="KE2485" s="2"/>
    </row>
    <row r="2486" spans="24:291" ht="15" customHeight="1" x14ac:dyDescent="0.25">
      <c r="X2486" s="2"/>
      <c r="AM2486" s="2"/>
      <c r="EO2486" s="2"/>
      <c r="GT2486" s="155"/>
      <c r="HZ2486" s="2"/>
      <c r="KD2486" s="2"/>
    </row>
    <row r="2487" spans="24:291" ht="15" customHeight="1" x14ac:dyDescent="0.25">
      <c r="X2487" s="2"/>
      <c r="AM2487" s="2"/>
      <c r="EO2487" s="2"/>
      <c r="GT2487" s="155"/>
      <c r="HZ2487" s="2"/>
      <c r="KD2487" s="2"/>
    </row>
    <row r="2488" spans="24:291" ht="15" customHeight="1" x14ac:dyDescent="0.25">
      <c r="X2488" s="2"/>
      <c r="AM2488" s="2"/>
      <c r="EO2488" s="2"/>
      <c r="GT2488" s="155"/>
      <c r="HZ2488" s="2"/>
      <c r="KD2488" s="2"/>
      <c r="KE2488" s="2"/>
    </row>
    <row r="2489" spans="24:291" ht="15" customHeight="1" x14ac:dyDescent="0.25">
      <c r="X2489" s="2"/>
      <c r="AM2489" s="2"/>
      <c r="EO2489" s="2"/>
      <c r="GT2489" s="155"/>
      <c r="HZ2489" s="2"/>
    </row>
    <row r="2490" spans="24:291" ht="15" customHeight="1" x14ac:dyDescent="0.25">
      <c r="X2490" s="2"/>
      <c r="AM2490" s="2"/>
      <c r="EO2490" s="2"/>
      <c r="GT2490" s="155"/>
      <c r="HZ2490" s="2"/>
    </row>
    <row r="2491" spans="24:291" ht="15" customHeight="1" x14ac:dyDescent="0.25">
      <c r="X2491" s="2"/>
      <c r="AM2491" s="2"/>
      <c r="EO2491" s="2"/>
      <c r="GT2491" s="155"/>
      <c r="HZ2491" s="2"/>
    </row>
    <row r="2492" spans="24:291" ht="15" customHeight="1" x14ac:dyDescent="0.25">
      <c r="X2492" s="2"/>
      <c r="AM2492" s="2"/>
      <c r="EO2492" s="2"/>
      <c r="GT2492" s="155"/>
      <c r="HZ2492" s="2"/>
    </row>
    <row r="2493" spans="24:291" ht="15" customHeight="1" x14ac:dyDescent="0.25">
      <c r="X2493" s="2"/>
      <c r="AM2493" s="2"/>
      <c r="EO2493" s="2"/>
      <c r="GT2493" s="155"/>
      <c r="HZ2493" s="2"/>
    </row>
    <row r="2494" spans="24:291" ht="15" customHeight="1" x14ac:dyDescent="0.25">
      <c r="X2494" s="2"/>
      <c r="AM2494" s="2"/>
      <c r="EO2494" s="2"/>
      <c r="GT2494" s="155"/>
      <c r="HZ2494" s="2"/>
    </row>
    <row r="2495" spans="24:291" ht="15" customHeight="1" x14ac:dyDescent="0.25">
      <c r="X2495" s="2"/>
      <c r="AM2495" s="2"/>
      <c r="EO2495" s="2"/>
      <c r="GT2495" s="155"/>
      <c r="HZ2495" s="2"/>
    </row>
    <row r="2496" spans="24:291" ht="15" customHeight="1" x14ac:dyDescent="0.25">
      <c r="X2496" s="2"/>
      <c r="AM2496" s="2"/>
      <c r="EO2496" s="2"/>
      <c r="GT2496" s="155"/>
      <c r="HZ2496" s="2"/>
      <c r="KD2496" s="2"/>
    </row>
    <row r="2497" spans="24:291" ht="15" customHeight="1" x14ac:dyDescent="0.25">
      <c r="X2497" s="2"/>
      <c r="AM2497" s="2"/>
      <c r="EO2497" s="2"/>
      <c r="GT2497" s="155"/>
      <c r="HZ2497" s="2"/>
    </row>
    <row r="2498" spans="24:291" ht="15" customHeight="1" x14ac:dyDescent="0.25">
      <c r="X2498" s="2"/>
      <c r="AM2498" s="2"/>
      <c r="EO2498" s="2"/>
      <c r="GT2498" s="155"/>
      <c r="HZ2498" s="2"/>
      <c r="KD2498" s="2"/>
      <c r="KE2498" s="2"/>
    </row>
    <row r="2499" spans="24:291" ht="15" customHeight="1" x14ac:dyDescent="0.25">
      <c r="X2499" s="2"/>
      <c r="AM2499" s="2"/>
      <c r="EO2499" s="2"/>
      <c r="GT2499" s="155"/>
      <c r="HZ2499" s="2"/>
      <c r="KD2499" s="2"/>
    </row>
    <row r="2500" spans="24:291" ht="15" customHeight="1" x14ac:dyDescent="0.25">
      <c r="X2500" s="2"/>
      <c r="AM2500" s="2"/>
      <c r="EO2500" s="2"/>
      <c r="GT2500" s="155"/>
      <c r="HZ2500" s="2"/>
      <c r="KD2500" s="2"/>
      <c r="KE2500" s="2"/>
    </row>
    <row r="2501" spans="24:291" ht="15" customHeight="1" x14ac:dyDescent="0.25">
      <c r="X2501" s="2"/>
      <c r="AM2501" s="2"/>
      <c r="EO2501" s="2"/>
      <c r="GT2501" s="155"/>
      <c r="HZ2501" s="2"/>
      <c r="KD2501" s="2"/>
      <c r="KE2501" s="2"/>
    </row>
    <row r="2502" spans="24:291" ht="15" customHeight="1" x14ac:dyDescent="0.25">
      <c r="X2502" s="2"/>
      <c r="AM2502" s="2"/>
      <c r="EO2502" s="2"/>
      <c r="GT2502" s="155"/>
      <c r="HZ2502" s="2"/>
      <c r="KD2502" s="2"/>
      <c r="KE2502" s="2"/>
    </row>
    <row r="2503" spans="24:291" ht="15" customHeight="1" x14ac:dyDescent="0.25">
      <c r="X2503" s="2"/>
      <c r="AM2503" s="2"/>
      <c r="EO2503" s="2"/>
      <c r="GT2503" s="155"/>
      <c r="HZ2503" s="2"/>
      <c r="KD2503" s="2"/>
      <c r="KE2503" s="2"/>
    </row>
    <row r="2504" spans="24:291" ht="15" customHeight="1" x14ac:dyDescent="0.25">
      <c r="X2504" s="2"/>
      <c r="AM2504" s="2"/>
      <c r="EO2504" s="2"/>
      <c r="GT2504" s="155"/>
      <c r="HZ2504" s="2"/>
    </row>
    <row r="2505" spans="24:291" ht="15" customHeight="1" x14ac:dyDescent="0.25">
      <c r="X2505" s="2"/>
      <c r="AM2505" s="2"/>
      <c r="EO2505" s="2"/>
      <c r="GT2505" s="155"/>
      <c r="HZ2505" s="2"/>
    </row>
    <row r="2506" spans="24:291" ht="15" customHeight="1" x14ac:dyDescent="0.25">
      <c r="X2506" s="2"/>
      <c r="AM2506" s="2"/>
      <c r="EO2506" s="2"/>
      <c r="GT2506" s="155"/>
      <c r="HZ2506" s="2"/>
      <c r="KD2506" s="2"/>
      <c r="KE2506" s="2"/>
    </row>
    <row r="2507" spans="24:291" ht="15" customHeight="1" x14ac:dyDescent="0.25">
      <c r="X2507" s="2"/>
      <c r="AM2507" s="2"/>
      <c r="EO2507" s="2"/>
      <c r="GT2507" s="155"/>
      <c r="HZ2507" s="2"/>
      <c r="KD2507" s="2"/>
    </row>
    <row r="2508" spans="24:291" ht="15" customHeight="1" x14ac:dyDescent="0.25">
      <c r="X2508" s="2"/>
      <c r="AM2508" s="2"/>
      <c r="EO2508" s="2"/>
      <c r="GT2508" s="155"/>
      <c r="HZ2508" s="2"/>
      <c r="KD2508" s="2"/>
    </row>
    <row r="2509" spans="24:291" ht="15" customHeight="1" x14ac:dyDescent="0.25">
      <c r="X2509" s="2"/>
      <c r="AM2509" s="2"/>
      <c r="EO2509" s="2"/>
      <c r="GT2509" s="155"/>
      <c r="HZ2509" s="2"/>
      <c r="KD2509" s="2"/>
      <c r="KE2509" s="2"/>
    </row>
    <row r="2510" spans="24:291" ht="15" customHeight="1" x14ac:dyDescent="0.25">
      <c r="X2510" s="2"/>
      <c r="AM2510" s="2"/>
      <c r="EO2510" s="2"/>
      <c r="GT2510" s="155"/>
      <c r="HZ2510" s="2"/>
      <c r="KD2510" s="2"/>
    </row>
    <row r="2511" spans="24:291" ht="15" customHeight="1" x14ac:dyDescent="0.25">
      <c r="X2511" s="2"/>
      <c r="AM2511" s="2"/>
      <c r="EO2511" s="2"/>
      <c r="GT2511" s="155"/>
      <c r="HZ2511" s="2"/>
      <c r="KD2511" s="2"/>
    </row>
    <row r="2512" spans="24:291" ht="15" customHeight="1" x14ac:dyDescent="0.25">
      <c r="X2512" s="2"/>
      <c r="AM2512" s="2"/>
      <c r="EO2512" s="2"/>
      <c r="GT2512" s="155"/>
      <c r="HZ2512" s="2"/>
      <c r="KD2512" s="2"/>
    </row>
    <row r="2513" spans="24:304" ht="15" customHeight="1" x14ac:dyDescent="0.25">
      <c r="X2513" s="2"/>
      <c r="AM2513" s="2"/>
      <c r="EO2513" s="2"/>
      <c r="GT2513" s="155"/>
      <c r="HZ2513" s="2"/>
      <c r="KD2513" s="2"/>
      <c r="KE2513" s="2"/>
      <c r="KF2513" s="2"/>
      <c r="KG2513" s="2"/>
    </row>
    <row r="2514" spans="24:304" ht="15" customHeight="1" x14ac:dyDescent="0.25">
      <c r="X2514" s="2"/>
      <c r="AM2514" s="2"/>
      <c r="EO2514" s="2"/>
      <c r="GT2514" s="155"/>
      <c r="HZ2514" s="2"/>
    </row>
    <row r="2515" spans="24:304" ht="15" customHeight="1" x14ac:dyDescent="0.25">
      <c r="X2515" s="2"/>
      <c r="AM2515" s="2"/>
      <c r="EO2515" s="2"/>
      <c r="GT2515" s="155"/>
      <c r="HZ2515" s="2"/>
      <c r="KD2515" s="2"/>
      <c r="KE2515" s="2"/>
    </row>
    <row r="2516" spans="24:304" ht="15" customHeight="1" x14ac:dyDescent="0.25">
      <c r="X2516" s="2"/>
      <c r="AM2516" s="2"/>
      <c r="EO2516" s="2"/>
      <c r="GT2516" s="155"/>
      <c r="HZ2516" s="2"/>
    </row>
    <row r="2517" spans="24:304" ht="15" customHeight="1" x14ac:dyDescent="0.25">
      <c r="X2517" s="2"/>
      <c r="AM2517" s="2"/>
      <c r="EO2517" s="2"/>
      <c r="GT2517" s="155"/>
      <c r="HZ2517" s="2"/>
      <c r="KD2517" s="2"/>
      <c r="KE2517" s="2"/>
    </row>
    <row r="2518" spans="24:304" ht="15" customHeight="1" x14ac:dyDescent="0.25">
      <c r="X2518" s="2"/>
      <c r="AM2518" s="2"/>
      <c r="EO2518" s="2"/>
      <c r="GT2518" s="155"/>
      <c r="HZ2518" s="2"/>
      <c r="KD2518" s="2"/>
      <c r="KE2518" s="2"/>
    </row>
    <row r="2519" spans="24:304" ht="15" customHeight="1" x14ac:dyDescent="0.25">
      <c r="X2519" s="2"/>
      <c r="AM2519" s="2"/>
      <c r="EO2519" s="2"/>
      <c r="GT2519" s="155"/>
      <c r="HZ2519" s="2"/>
      <c r="KD2519" s="2"/>
    </row>
    <row r="2520" spans="24:304" ht="15" customHeight="1" x14ac:dyDescent="0.25">
      <c r="X2520" s="2"/>
      <c r="AM2520" s="2"/>
      <c r="EO2520" s="2"/>
      <c r="GT2520" s="155"/>
      <c r="HZ2520" s="2"/>
      <c r="KD2520" s="2"/>
      <c r="KE2520" s="2"/>
    </row>
    <row r="2521" spans="24:304" ht="15" customHeight="1" x14ac:dyDescent="0.25">
      <c r="Y2521" s="2"/>
      <c r="AO2521" s="2"/>
      <c r="ER2521" s="2"/>
      <c r="GY2521" s="155"/>
      <c r="IK2521" s="2"/>
      <c r="KP2521" s="2"/>
      <c r="KQ2521" s="2"/>
    </row>
    <row r="2522" spans="24:304" ht="15" customHeight="1" x14ac:dyDescent="0.25">
      <c r="Y2522" s="2"/>
      <c r="AO2522" s="2"/>
      <c r="ER2522" s="2"/>
      <c r="GY2522" s="155"/>
      <c r="IK2522" s="2"/>
      <c r="KP2522" s="2"/>
      <c r="KQ2522" s="2"/>
      <c r="KR2522" s="2"/>
    </row>
    <row r="2523" spans="24:304" ht="15" customHeight="1" x14ac:dyDescent="0.25">
      <c r="Y2523" s="2"/>
      <c r="AO2523" s="2"/>
      <c r="ER2523" s="2"/>
      <c r="GY2523" s="155"/>
      <c r="IK2523" s="2"/>
      <c r="KP2523" s="2"/>
    </row>
    <row r="2524" spans="24:304" ht="15" customHeight="1" x14ac:dyDescent="0.25">
      <c r="Y2524" s="2"/>
      <c r="AO2524" s="2"/>
      <c r="ER2524" s="2"/>
      <c r="GY2524" s="155"/>
      <c r="IK2524" s="2"/>
      <c r="KP2524" s="2"/>
    </row>
    <row r="2525" spans="24:304" ht="15" customHeight="1" x14ac:dyDescent="0.25">
      <c r="Y2525" s="2"/>
      <c r="AO2525" s="2"/>
      <c r="ER2525" s="2"/>
      <c r="GY2525" s="155"/>
      <c r="IK2525" s="2"/>
      <c r="KP2525" s="2"/>
    </row>
    <row r="2526" spans="24:304" ht="15" customHeight="1" x14ac:dyDescent="0.25">
      <c r="Y2526" s="2"/>
      <c r="AO2526" s="2"/>
      <c r="ER2526" s="2"/>
      <c r="GY2526" s="155"/>
      <c r="IK2526" s="2"/>
      <c r="KP2526" s="2"/>
    </row>
    <row r="2527" spans="24:304" ht="15" customHeight="1" x14ac:dyDescent="0.25">
      <c r="Y2527" s="2"/>
      <c r="AO2527" s="2"/>
      <c r="ER2527" s="2"/>
      <c r="GY2527" s="155"/>
      <c r="IK2527" s="2"/>
      <c r="KP2527" s="2"/>
    </row>
    <row r="2528" spans="24:304" ht="15" customHeight="1" x14ac:dyDescent="0.25">
      <c r="Y2528" s="2"/>
      <c r="AO2528" s="2"/>
      <c r="ER2528" s="2"/>
      <c r="GY2528" s="155"/>
      <c r="IK2528" s="2"/>
      <c r="KP2528" s="2"/>
      <c r="KQ2528" s="2"/>
      <c r="KR2528" s="2"/>
    </row>
    <row r="2529" spans="24:307" ht="15" customHeight="1" x14ac:dyDescent="0.25">
      <c r="Y2529" s="2"/>
      <c r="AO2529" s="2"/>
      <c r="ER2529" s="2"/>
      <c r="GY2529" s="155"/>
      <c r="IK2529" s="2"/>
      <c r="KP2529" s="2"/>
    </row>
    <row r="2530" spans="24:307" ht="15" customHeight="1" x14ac:dyDescent="0.25">
      <c r="Y2530" s="2"/>
      <c r="AO2530" s="2"/>
      <c r="ER2530" s="2"/>
      <c r="GY2530" s="155"/>
      <c r="IK2530" s="2"/>
      <c r="KP2530" s="2"/>
      <c r="KQ2530" s="2"/>
    </row>
    <row r="2531" spans="24:307" ht="15" customHeight="1" x14ac:dyDescent="0.25">
      <c r="Y2531" s="2"/>
      <c r="AO2531" s="2"/>
      <c r="ER2531" s="2"/>
      <c r="GY2531" s="155"/>
      <c r="IK2531" s="2"/>
      <c r="KP2531" s="2"/>
    </row>
    <row r="2532" spans="24:307" ht="15" customHeight="1" x14ac:dyDescent="0.25">
      <c r="Y2532" s="2"/>
      <c r="AO2532" s="2"/>
      <c r="ER2532" s="2"/>
      <c r="GY2532" s="155"/>
      <c r="IK2532" s="2"/>
      <c r="KP2532" s="2"/>
    </row>
    <row r="2533" spans="24:307" ht="15" customHeight="1" x14ac:dyDescent="0.25">
      <c r="Y2533" s="2"/>
      <c r="AO2533" s="2"/>
      <c r="ER2533" s="2"/>
      <c r="GY2533" s="155"/>
      <c r="IK2533" s="2"/>
      <c r="KP2533" s="2"/>
      <c r="KQ2533" s="2"/>
      <c r="KR2533" s="2"/>
      <c r="KS2533" s="2"/>
      <c r="KT2533" s="2"/>
      <c r="KU2533" s="2"/>
    </row>
    <row r="2534" spans="24:307" ht="15" customHeight="1" x14ac:dyDescent="0.25">
      <c r="Y2534" s="2"/>
      <c r="AO2534" s="2"/>
      <c r="ER2534" s="2"/>
      <c r="GY2534" s="155"/>
      <c r="IK2534" s="2"/>
      <c r="KP2534" s="2"/>
      <c r="KQ2534" s="2"/>
    </row>
    <row r="2535" spans="24:307" ht="15" customHeight="1" x14ac:dyDescent="0.25">
      <c r="Y2535" s="2"/>
      <c r="AO2535" s="2"/>
      <c r="ER2535" s="2"/>
      <c r="GY2535" s="155"/>
      <c r="IK2535" s="2"/>
      <c r="KP2535" s="2"/>
      <c r="KQ2535" s="2"/>
    </row>
    <row r="2536" spans="24:307" ht="15" customHeight="1" x14ac:dyDescent="0.25">
      <c r="X2536" s="2"/>
      <c r="AM2536" s="2"/>
      <c r="GT2536" s="155"/>
      <c r="HZ2536" s="2"/>
      <c r="KD2536" s="2"/>
    </row>
    <row r="2537" spans="24:307" ht="15" customHeight="1" x14ac:dyDescent="0.25">
      <c r="X2537" s="2"/>
      <c r="AM2537" s="2"/>
      <c r="GT2537" s="155"/>
      <c r="HZ2537" s="2"/>
    </row>
    <row r="2538" spans="24:307" ht="15" customHeight="1" x14ac:dyDescent="0.25">
      <c r="X2538" s="2"/>
      <c r="AM2538" s="2"/>
      <c r="GT2538" s="155"/>
      <c r="HZ2538" s="2"/>
    </row>
    <row r="2539" spans="24:307" ht="15" customHeight="1" x14ac:dyDescent="0.25">
      <c r="X2539" s="2"/>
      <c r="AM2539" s="2"/>
      <c r="GT2539" s="155"/>
      <c r="HZ2539" s="2"/>
    </row>
    <row r="2540" spans="24:307" ht="15" customHeight="1" x14ac:dyDescent="0.25">
      <c r="X2540" s="2"/>
      <c r="AM2540" s="2"/>
      <c r="GT2540" s="155"/>
      <c r="HZ2540" s="2"/>
      <c r="KD2540" s="2"/>
      <c r="KE2540" s="2"/>
    </row>
    <row r="2541" spans="24:307" ht="15" customHeight="1" x14ac:dyDescent="0.25">
      <c r="X2541" s="2"/>
      <c r="AM2541" s="2"/>
      <c r="GT2541" s="155"/>
      <c r="HZ2541" s="2"/>
      <c r="KD2541" s="2"/>
    </row>
    <row r="2542" spans="24:307" ht="15" customHeight="1" x14ac:dyDescent="0.25">
      <c r="X2542" s="2"/>
      <c r="AM2542" s="2"/>
      <c r="GT2542" s="155"/>
      <c r="HZ2542" s="2"/>
      <c r="KD2542" s="2"/>
    </row>
    <row r="2543" spans="24:307" ht="15" customHeight="1" x14ac:dyDescent="0.25">
      <c r="X2543" s="2"/>
      <c r="AM2543" s="2"/>
      <c r="GT2543" s="155"/>
      <c r="HZ2543" s="2"/>
      <c r="KD2543" s="2"/>
      <c r="KE2543" s="2"/>
      <c r="KF2543" s="2"/>
      <c r="KG2543" s="2"/>
    </row>
    <row r="2544" spans="24:307" ht="15" customHeight="1" x14ac:dyDescent="0.25">
      <c r="X2544" s="2"/>
      <c r="AM2544" s="2"/>
      <c r="GT2544" s="155"/>
      <c r="HZ2544" s="2"/>
      <c r="KD2544" s="2"/>
    </row>
    <row r="2545" spans="24:293" ht="15" customHeight="1" x14ac:dyDescent="0.25">
      <c r="X2545" s="2"/>
      <c r="AM2545" s="2"/>
      <c r="GT2545" s="155"/>
      <c r="HZ2545" s="2"/>
      <c r="KD2545" s="2"/>
    </row>
    <row r="2546" spans="24:293" ht="15" customHeight="1" x14ac:dyDescent="0.25">
      <c r="X2546" s="2"/>
      <c r="AM2546" s="2"/>
      <c r="GT2546" s="155"/>
      <c r="HZ2546" s="2"/>
      <c r="KD2546" s="2"/>
    </row>
    <row r="2547" spans="24:293" ht="15" customHeight="1" x14ac:dyDescent="0.25">
      <c r="X2547" s="2"/>
      <c r="AM2547" s="2"/>
      <c r="GT2547" s="155"/>
      <c r="HZ2547" s="2"/>
      <c r="KD2547" s="2"/>
    </row>
    <row r="2548" spans="24:293" ht="15" customHeight="1" x14ac:dyDescent="0.25">
      <c r="X2548" s="2"/>
      <c r="AM2548" s="2"/>
      <c r="EO2548" s="2"/>
      <c r="GT2548" s="155"/>
      <c r="HZ2548" s="2"/>
      <c r="KD2548" s="2"/>
    </row>
    <row r="2549" spans="24:293" ht="15" customHeight="1" x14ac:dyDescent="0.25">
      <c r="X2549" s="2"/>
      <c r="AM2549" s="2"/>
      <c r="EO2549" s="2"/>
      <c r="GT2549" s="155"/>
      <c r="HZ2549" s="2"/>
      <c r="KD2549" s="2"/>
    </row>
    <row r="2550" spans="24:293" ht="15" customHeight="1" x14ac:dyDescent="0.25">
      <c r="X2550" s="2"/>
      <c r="AM2550" s="2"/>
      <c r="EO2550" s="2"/>
      <c r="GT2550" s="155"/>
      <c r="HZ2550" s="2"/>
    </row>
    <row r="2551" spans="24:293" ht="15" customHeight="1" x14ac:dyDescent="0.25">
      <c r="X2551" s="2"/>
      <c r="AM2551" s="2"/>
      <c r="EO2551" s="2"/>
      <c r="GT2551" s="155"/>
      <c r="HZ2551" s="2"/>
      <c r="KD2551" s="2"/>
    </row>
    <row r="2552" spans="24:293" ht="15" customHeight="1" x14ac:dyDescent="0.25">
      <c r="X2552" s="2"/>
      <c r="AM2552" s="2"/>
      <c r="EO2552" s="2"/>
      <c r="GT2552" s="155"/>
      <c r="HZ2552" s="2"/>
      <c r="KD2552" s="2"/>
      <c r="KE2552" s="2"/>
      <c r="KF2552" s="2"/>
      <c r="KG2552" s="2"/>
    </row>
    <row r="2553" spans="24:293" ht="15" customHeight="1" x14ac:dyDescent="0.25">
      <c r="X2553" s="2"/>
      <c r="AM2553" s="2"/>
      <c r="EO2553" s="2"/>
      <c r="GT2553" s="155"/>
      <c r="HZ2553" s="2"/>
      <c r="KD2553" s="2"/>
    </row>
    <row r="2554" spans="24:293" ht="15" customHeight="1" x14ac:dyDescent="0.25">
      <c r="X2554" s="2"/>
      <c r="AM2554" s="2"/>
      <c r="EO2554" s="2"/>
      <c r="GT2554" s="155"/>
      <c r="HZ2554" s="2"/>
      <c r="KD2554" s="2"/>
      <c r="KE2554" s="2"/>
    </row>
    <row r="2555" spans="24:293" ht="15" customHeight="1" x14ac:dyDescent="0.25">
      <c r="X2555" s="2"/>
      <c r="AM2555" s="2"/>
      <c r="EO2555" s="2"/>
      <c r="GT2555" s="155"/>
      <c r="HZ2555" s="2"/>
    </row>
    <row r="2556" spans="24:293" ht="15" customHeight="1" x14ac:dyDescent="0.25">
      <c r="X2556" s="2"/>
      <c r="AM2556" s="2"/>
      <c r="EO2556" s="2"/>
      <c r="GT2556" s="155"/>
      <c r="HZ2556" s="2"/>
    </row>
    <row r="2557" spans="24:293" ht="15" customHeight="1" x14ac:dyDescent="0.25">
      <c r="X2557" s="2"/>
      <c r="AM2557" s="2"/>
      <c r="EO2557" s="2"/>
      <c r="GT2557" s="155"/>
      <c r="HZ2557" s="2"/>
    </row>
    <row r="2558" spans="24:293" ht="15" customHeight="1" x14ac:dyDescent="0.25">
      <c r="X2558" s="2"/>
      <c r="AM2558" s="2"/>
      <c r="EO2558" s="2"/>
      <c r="GT2558" s="155"/>
      <c r="HZ2558" s="2"/>
    </row>
    <row r="2559" spans="24:293" ht="15" customHeight="1" x14ac:dyDescent="0.25">
      <c r="X2559" s="2"/>
      <c r="AM2559" s="2"/>
      <c r="EO2559" s="2"/>
      <c r="GT2559" s="155"/>
      <c r="HZ2559" s="2"/>
    </row>
    <row r="2560" spans="24:293" ht="15" customHeight="1" x14ac:dyDescent="0.25">
      <c r="X2560" s="2"/>
      <c r="AM2560" s="2"/>
      <c r="EO2560" s="2"/>
      <c r="GT2560" s="155"/>
      <c r="HZ2560" s="2"/>
    </row>
    <row r="2561" spans="24:297" ht="15" customHeight="1" x14ac:dyDescent="0.25">
      <c r="X2561" s="2"/>
      <c r="AM2561" s="2"/>
      <c r="EO2561" s="2"/>
      <c r="GT2561" s="155"/>
      <c r="HZ2561" s="2"/>
      <c r="KD2561" s="2"/>
    </row>
    <row r="2562" spans="24:297" ht="15" customHeight="1" x14ac:dyDescent="0.25">
      <c r="X2562" s="2"/>
      <c r="AM2562" s="2"/>
      <c r="EO2562" s="2"/>
      <c r="GT2562" s="155"/>
      <c r="HZ2562" s="2"/>
      <c r="KD2562" s="2"/>
      <c r="KE2562" s="2"/>
    </row>
    <row r="2563" spans="24:297" ht="15" customHeight="1" x14ac:dyDescent="0.25">
      <c r="X2563" s="2"/>
      <c r="AM2563" s="2"/>
      <c r="EO2563" s="2"/>
      <c r="GT2563" s="155"/>
      <c r="HZ2563" s="2"/>
      <c r="KD2563" s="2"/>
      <c r="KE2563" s="2"/>
      <c r="KF2563" s="2"/>
      <c r="KG2563" s="2"/>
      <c r="KH2563" s="2"/>
      <c r="KI2563" s="2"/>
      <c r="KJ2563" s="2"/>
      <c r="KK2563" s="2"/>
    </row>
    <row r="2564" spans="24:297" ht="15" customHeight="1" x14ac:dyDescent="0.25">
      <c r="X2564" s="2"/>
      <c r="AM2564" s="2"/>
      <c r="EO2564" s="2"/>
      <c r="GT2564" s="155"/>
      <c r="HZ2564" s="2"/>
      <c r="KD2564" s="2"/>
    </row>
    <row r="2565" spans="24:297" ht="15" customHeight="1" x14ac:dyDescent="0.25">
      <c r="X2565" s="2"/>
      <c r="AM2565" s="2"/>
      <c r="EO2565" s="2"/>
      <c r="GT2565" s="155"/>
      <c r="HZ2565" s="2"/>
      <c r="KD2565" s="2"/>
      <c r="KE2565" s="2"/>
      <c r="KF2565" s="2"/>
    </row>
    <row r="2566" spans="24:297" ht="15" customHeight="1" x14ac:dyDescent="0.25">
      <c r="X2566" s="2"/>
      <c r="AM2566" s="2"/>
      <c r="EO2566" s="2"/>
      <c r="GT2566" s="155"/>
      <c r="HZ2566" s="2"/>
      <c r="KD2566" s="2"/>
    </row>
    <row r="2567" spans="24:297" ht="15" customHeight="1" x14ac:dyDescent="0.25">
      <c r="X2567" s="2"/>
      <c r="AM2567" s="2"/>
      <c r="EO2567" s="2"/>
      <c r="GT2567" s="155"/>
      <c r="HZ2567" s="2"/>
      <c r="KD2567" s="2"/>
      <c r="KE2567" s="2"/>
      <c r="KF2567" s="2"/>
      <c r="KG2567" s="2"/>
    </row>
    <row r="2568" spans="24:297" ht="15" customHeight="1" x14ac:dyDescent="0.25">
      <c r="X2568" s="2"/>
      <c r="AM2568" s="2"/>
      <c r="EO2568" s="2"/>
      <c r="GT2568" s="155"/>
      <c r="HZ2568" s="2"/>
      <c r="KD2568" s="2"/>
      <c r="KE2568" s="2"/>
      <c r="KF2568" s="2"/>
      <c r="KG2568" s="2"/>
      <c r="KH2568" s="2"/>
    </row>
    <row r="2569" spans="24:297" ht="15" customHeight="1" x14ac:dyDescent="0.25">
      <c r="X2569" s="2"/>
      <c r="AM2569" s="2"/>
      <c r="EO2569" s="2"/>
      <c r="GT2569" s="155"/>
      <c r="HZ2569" s="2"/>
      <c r="KD2569" s="2"/>
      <c r="KE2569" s="2"/>
    </row>
    <row r="2570" spans="24:297" ht="15" customHeight="1" x14ac:dyDescent="0.25">
      <c r="X2570" s="2"/>
      <c r="AM2570" s="2"/>
      <c r="EO2570" s="2"/>
      <c r="GT2570" s="155"/>
      <c r="HZ2570" s="2"/>
      <c r="KD2570" s="2"/>
      <c r="KE2570" s="2"/>
      <c r="KF2570" s="2"/>
    </row>
    <row r="2571" spans="24:297" ht="15" customHeight="1" x14ac:dyDescent="0.25">
      <c r="X2571" s="2"/>
      <c r="AM2571" s="2"/>
      <c r="EO2571" s="2"/>
      <c r="GT2571" s="155"/>
      <c r="HZ2571" s="2"/>
      <c r="KD2571" s="2"/>
    </row>
    <row r="2572" spans="24:297" ht="15" customHeight="1" x14ac:dyDescent="0.25">
      <c r="X2572" s="2"/>
      <c r="AM2572" s="2"/>
      <c r="EO2572" s="2"/>
      <c r="GT2572" s="155"/>
      <c r="HZ2572" s="2"/>
      <c r="KD2572" s="2"/>
    </row>
    <row r="2573" spans="24:297" ht="15" customHeight="1" x14ac:dyDescent="0.25">
      <c r="X2573" s="2"/>
      <c r="AM2573" s="2"/>
      <c r="EO2573" s="2"/>
      <c r="GT2573" s="155"/>
      <c r="HZ2573" s="2"/>
      <c r="KD2573" s="2"/>
    </row>
    <row r="2574" spans="24:297" ht="15" customHeight="1" x14ac:dyDescent="0.25">
      <c r="X2574" s="2"/>
      <c r="AM2574" s="2"/>
      <c r="EO2574" s="2"/>
      <c r="GT2574" s="155"/>
      <c r="HZ2574" s="2"/>
      <c r="KD2574" s="2"/>
    </row>
    <row r="2575" spans="24:297" ht="15" customHeight="1" x14ac:dyDescent="0.25">
      <c r="X2575" s="2"/>
      <c r="AM2575" s="2"/>
      <c r="EO2575" s="2"/>
      <c r="GT2575" s="155"/>
      <c r="HZ2575" s="2"/>
      <c r="KD2575" s="2"/>
    </row>
    <row r="2576" spans="24:297" ht="15" customHeight="1" x14ac:dyDescent="0.25">
      <c r="X2576" s="2"/>
      <c r="AM2576" s="2"/>
      <c r="EO2576" s="2"/>
      <c r="GT2576" s="155"/>
      <c r="HZ2576" s="2"/>
      <c r="KD2576" s="2"/>
    </row>
    <row r="2577" spans="24:292" ht="15" customHeight="1" x14ac:dyDescent="0.25">
      <c r="X2577" s="2"/>
      <c r="AM2577" s="2"/>
      <c r="EO2577" s="2"/>
      <c r="GT2577" s="155"/>
      <c r="HZ2577" s="2"/>
      <c r="KD2577" s="2"/>
    </row>
    <row r="2578" spans="24:292" ht="15" customHeight="1" x14ac:dyDescent="0.25">
      <c r="X2578" s="2"/>
      <c r="AM2578" s="2"/>
      <c r="EO2578" s="2"/>
      <c r="GT2578" s="155"/>
      <c r="HZ2578" s="2"/>
      <c r="KD2578" s="2"/>
    </row>
    <row r="2579" spans="24:292" ht="15" customHeight="1" x14ac:dyDescent="0.25">
      <c r="X2579" s="2"/>
      <c r="AM2579" s="2"/>
      <c r="EO2579" s="2"/>
      <c r="GT2579" s="155"/>
      <c r="HZ2579" s="2"/>
      <c r="KD2579" s="2"/>
      <c r="KE2579" s="2"/>
    </row>
    <row r="2580" spans="24:292" ht="15" customHeight="1" x14ac:dyDescent="0.25">
      <c r="X2580" s="2"/>
      <c r="AM2580" s="2"/>
      <c r="EO2580" s="2"/>
      <c r="GT2580" s="155"/>
      <c r="HZ2580" s="2"/>
      <c r="KD2580" s="2"/>
    </row>
    <row r="2581" spans="24:292" ht="15" customHeight="1" x14ac:dyDescent="0.25">
      <c r="X2581" s="2"/>
      <c r="AM2581" s="2"/>
      <c r="EO2581" s="2"/>
      <c r="GT2581" s="155"/>
      <c r="HZ2581" s="2"/>
      <c r="KD2581" s="2"/>
      <c r="KE2581" s="2"/>
    </row>
    <row r="2582" spans="24:292" ht="15" customHeight="1" x14ac:dyDescent="0.25">
      <c r="X2582" s="2"/>
      <c r="AM2582" s="2"/>
      <c r="EO2582" s="2"/>
      <c r="GT2582" s="155"/>
      <c r="HZ2582" s="2"/>
      <c r="KD2582" s="2"/>
    </row>
    <row r="2583" spans="24:292" ht="15" customHeight="1" x14ac:dyDescent="0.25">
      <c r="X2583" s="2"/>
      <c r="AM2583" s="2"/>
      <c r="EO2583" s="2"/>
      <c r="GT2583" s="155"/>
      <c r="HZ2583" s="2"/>
      <c r="KD2583" s="2"/>
      <c r="KE2583" s="2"/>
    </row>
    <row r="2584" spans="24:292" ht="15" customHeight="1" x14ac:dyDescent="0.25">
      <c r="X2584" s="2"/>
      <c r="AM2584" s="2"/>
      <c r="EO2584" s="2"/>
      <c r="GT2584" s="155"/>
      <c r="HZ2584" s="2"/>
      <c r="KD2584" s="2"/>
    </row>
    <row r="2585" spans="24:292" ht="15" customHeight="1" x14ac:dyDescent="0.25">
      <c r="X2585" s="2"/>
      <c r="AM2585" s="2"/>
      <c r="EO2585" s="2"/>
      <c r="GT2585" s="155"/>
      <c r="HZ2585" s="2"/>
      <c r="KD2585" s="2"/>
    </row>
    <row r="2586" spans="24:292" ht="15" customHeight="1" x14ac:dyDescent="0.25">
      <c r="X2586" s="2"/>
      <c r="AM2586" s="2"/>
      <c r="EO2586" s="2"/>
      <c r="GT2586" s="155"/>
      <c r="HZ2586" s="2"/>
      <c r="KD2586" s="2"/>
      <c r="KE2586" s="2"/>
      <c r="KF2586" s="2"/>
    </row>
    <row r="2587" spans="24:292" ht="15" customHeight="1" x14ac:dyDescent="0.25">
      <c r="X2587" s="2"/>
      <c r="AM2587" s="2"/>
      <c r="EO2587" s="2"/>
      <c r="GT2587" s="155"/>
      <c r="HZ2587" s="2"/>
      <c r="KD2587" s="2"/>
      <c r="KE2587" s="2"/>
      <c r="KF2587" s="2"/>
    </row>
    <row r="2588" spans="24:292" ht="15" customHeight="1" x14ac:dyDescent="0.25">
      <c r="X2588" s="2"/>
      <c r="AM2588" s="2"/>
      <c r="EO2588" s="2"/>
      <c r="GT2588" s="155"/>
      <c r="HZ2588" s="2"/>
      <c r="KD2588" s="2"/>
    </row>
    <row r="2589" spans="24:292" ht="15" customHeight="1" x14ac:dyDescent="0.25">
      <c r="X2589" s="2"/>
      <c r="AM2589" s="2"/>
      <c r="EO2589" s="2"/>
      <c r="GT2589" s="155"/>
      <c r="HZ2589" s="2"/>
      <c r="KD2589" s="2"/>
    </row>
    <row r="2590" spans="24:292" ht="15" customHeight="1" x14ac:dyDescent="0.25">
      <c r="X2590" s="2"/>
      <c r="AM2590" s="2"/>
      <c r="EO2590" s="2"/>
      <c r="GT2590" s="155"/>
      <c r="HZ2590" s="2"/>
      <c r="KD2590" s="2"/>
      <c r="KE2590" s="2"/>
    </row>
    <row r="2591" spans="24:292" ht="15" customHeight="1" x14ac:dyDescent="0.25">
      <c r="X2591" s="2"/>
      <c r="AM2591" s="2"/>
      <c r="EO2591" s="2"/>
      <c r="GT2591" s="155"/>
      <c r="HZ2591" s="2"/>
      <c r="KD2591" s="2"/>
    </row>
    <row r="2592" spans="24:292" ht="15" customHeight="1" x14ac:dyDescent="0.25">
      <c r="X2592" s="2"/>
      <c r="AM2592" s="2"/>
      <c r="EO2592" s="2"/>
      <c r="GT2592" s="155"/>
      <c r="HZ2592" s="2"/>
      <c r="KD2592" s="2"/>
    </row>
    <row r="2593" spans="24:305" ht="15" customHeight="1" x14ac:dyDescent="0.25">
      <c r="X2593" s="2"/>
      <c r="AM2593" s="2"/>
      <c r="EO2593" s="2"/>
      <c r="GT2593" s="155"/>
      <c r="HZ2593" s="2"/>
      <c r="KD2593" s="2"/>
    </row>
    <row r="2594" spans="24:305" ht="15" customHeight="1" x14ac:dyDescent="0.25">
      <c r="X2594" s="2"/>
      <c r="AM2594" s="2"/>
      <c r="EO2594" s="2"/>
      <c r="GT2594" s="155"/>
      <c r="HZ2594" s="2"/>
      <c r="KD2594" s="2"/>
      <c r="KE2594" s="2"/>
    </row>
    <row r="2595" spans="24:305" ht="15" customHeight="1" x14ac:dyDescent="0.25">
      <c r="X2595" s="2"/>
      <c r="AM2595" s="2"/>
      <c r="EO2595" s="2"/>
      <c r="GT2595" s="155"/>
      <c r="HZ2595" s="2"/>
      <c r="KD2595" s="2"/>
    </row>
    <row r="2596" spans="24:305" ht="15" customHeight="1" x14ac:dyDescent="0.25">
      <c r="X2596" s="2"/>
      <c r="AM2596" s="2"/>
      <c r="EO2596" s="2"/>
      <c r="GT2596" s="155"/>
      <c r="HZ2596" s="2"/>
      <c r="KD2596" s="2"/>
    </row>
    <row r="2597" spans="24:305" ht="15" customHeight="1" x14ac:dyDescent="0.25">
      <c r="X2597" s="2"/>
      <c r="AM2597" s="2"/>
      <c r="EO2597" s="2"/>
      <c r="GT2597" s="155"/>
      <c r="HZ2597" s="2"/>
      <c r="KD2597" s="2"/>
    </row>
    <row r="2598" spans="24:305" ht="15" customHeight="1" x14ac:dyDescent="0.25">
      <c r="X2598" s="2"/>
      <c r="AM2598" s="2"/>
      <c r="EO2598" s="2"/>
      <c r="GT2598" s="155"/>
      <c r="HZ2598" s="2"/>
      <c r="KD2598" s="2"/>
      <c r="KE2598" s="2"/>
      <c r="KF2598" s="2"/>
      <c r="KG2598" s="2"/>
      <c r="KH2598" s="2"/>
    </row>
    <row r="2599" spans="24:305" ht="15" customHeight="1" x14ac:dyDescent="0.25">
      <c r="Y2599" s="2"/>
      <c r="AO2599" s="2"/>
      <c r="ER2599" s="2"/>
      <c r="GY2599" s="155"/>
      <c r="IK2599" s="2"/>
      <c r="KP2599" s="2"/>
    </row>
    <row r="2600" spans="24:305" ht="15" customHeight="1" x14ac:dyDescent="0.25">
      <c r="Y2600" s="2"/>
      <c r="AO2600" s="2"/>
      <c r="ER2600" s="2"/>
      <c r="GY2600" s="155"/>
      <c r="IK2600" s="2"/>
      <c r="KP2600" s="2"/>
      <c r="KQ2600" s="2"/>
      <c r="KR2600" s="2"/>
    </row>
    <row r="2601" spans="24:305" ht="15" customHeight="1" x14ac:dyDescent="0.25">
      <c r="Y2601" s="2"/>
      <c r="AO2601" s="2"/>
      <c r="ER2601" s="2"/>
      <c r="GY2601" s="155"/>
      <c r="IK2601" s="2"/>
      <c r="KP2601" s="2"/>
      <c r="KQ2601" s="2"/>
      <c r="KR2601" s="2"/>
    </row>
    <row r="2602" spans="24:305" ht="15" customHeight="1" x14ac:dyDescent="0.25">
      <c r="Y2602" s="2"/>
      <c r="AO2602" s="2"/>
      <c r="ER2602" s="2"/>
      <c r="GY2602" s="155"/>
      <c r="IK2602" s="2"/>
      <c r="KP2602" s="2"/>
      <c r="KQ2602" s="2"/>
      <c r="KR2602" s="2"/>
      <c r="KS2602" s="2"/>
    </row>
    <row r="2603" spans="24:305" ht="15" customHeight="1" x14ac:dyDescent="0.25">
      <c r="Y2603" s="2"/>
      <c r="AO2603" s="2"/>
      <c r="ER2603" s="2"/>
      <c r="GY2603" s="155"/>
      <c r="IK2603" s="2"/>
      <c r="KP2603" s="2"/>
    </row>
    <row r="2604" spans="24:305" ht="15" customHeight="1" x14ac:dyDescent="0.25">
      <c r="Y2604" s="2"/>
      <c r="AO2604" s="2"/>
      <c r="ER2604" s="2"/>
      <c r="GY2604" s="155"/>
      <c r="IK2604" s="2"/>
    </row>
    <row r="2605" spans="24:305" ht="15" customHeight="1" x14ac:dyDescent="0.25">
      <c r="Y2605" s="2"/>
      <c r="AO2605" s="2"/>
      <c r="ER2605" s="2"/>
      <c r="GY2605" s="155"/>
      <c r="IK2605" s="2"/>
    </row>
    <row r="2606" spans="24:305" ht="15" customHeight="1" x14ac:dyDescent="0.25">
      <c r="Y2606" s="2"/>
      <c r="AO2606" s="2"/>
      <c r="ER2606" s="2"/>
      <c r="GY2606" s="155"/>
      <c r="IK2606" s="2"/>
      <c r="KP2606" s="2"/>
    </row>
    <row r="2607" spans="24:305" ht="15" customHeight="1" x14ac:dyDescent="0.25">
      <c r="Y2607" s="2"/>
      <c r="AO2607" s="2"/>
      <c r="ER2607" s="2"/>
      <c r="GY2607" s="155"/>
      <c r="IK2607" s="2"/>
      <c r="KP2607" s="2"/>
    </row>
    <row r="2608" spans="24:305" ht="15" customHeight="1" x14ac:dyDescent="0.25">
      <c r="Y2608" s="2"/>
      <c r="AO2608" s="2"/>
      <c r="ER2608" s="2"/>
      <c r="GY2608" s="155"/>
      <c r="IK2608" s="2"/>
      <c r="KP2608" s="2"/>
      <c r="KQ2608" s="2"/>
    </row>
    <row r="2609" spans="24:307" ht="15" customHeight="1" x14ac:dyDescent="0.25">
      <c r="Y2609" s="2"/>
      <c r="AO2609" s="2"/>
      <c r="ER2609" s="2"/>
      <c r="GY2609" s="155"/>
      <c r="IK2609" s="2"/>
    </row>
    <row r="2610" spans="24:307" ht="15" customHeight="1" x14ac:dyDescent="0.25">
      <c r="Y2610" s="2"/>
      <c r="AO2610" s="2"/>
      <c r="ER2610" s="2"/>
      <c r="GY2610" s="155"/>
      <c r="IK2610" s="2"/>
      <c r="KP2610" s="2"/>
    </row>
    <row r="2611" spans="24:307" ht="15" customHeight="1" x14ac:dyDescent="0.25">
      <c r="Y2611" s="2"/>
      <c r="AO2611" s="2"/>
      <c r="ER2611" s="2"/>
      <c r="GY2611" s="155"/>
      <c r="IK2611" s="2"/>
      <c r="KP2611" s="2"/>
      <c r="KQ2611" s="2"/>
    </row>
    <row r="2612" spans="24:307" ht="15" customHeight="1" x14ac:dyDescent="0.25">
      <c r="Y2612" s="2"/>
      <c r="AO2612" s="2"/>
      <c r="ER2612" s="2"/>
      <c r="GY2612" s="155"/>
      <c r="IK2612" s="2"/>
      <c r="KP2612" s="2"/>
      <c r="KQ2612" s="2"/>
      <c r="KR2612" s="2"/>
      <c r="KS2612" s="2"/>
      <c r="KT2612" s="2"/>
      <c r="KU2612" s="2"/>
    </row>
    <row r="2613" spans="24:307" ht="15" customHeight="1" x14ac:dyDescent="0.25">
      <c r="Y2613" s="2"/>
      <c r="AO2613" s="2"/>
      <c r="ER2613" s="2"/>
      <c r="GY2613" s="155"/>
      <c r="IK2613" s="2"/>
      <c r="KP2613" s="2"/>
      <c r="KQ2613" s="2"/>
      <c r="KR2613" s="2"/>
    </row>
    <row r="2614" spans="24:307" ht="15" customHeight="1" x14ac:dyDescent="0.25">
      <c r="Y2614" s="2"/>
      <c r="AO2614" s="2"/>
      <c r="ER2614" s="2"/>
      <c r="GY2614" s="155"/>
      <c r="IK2614" s="2"/>
    </row>
    <row r="2615" spans="24:307" ht="15" customHeight="1" x14ac:dyDescent="0.25">
      <c r="Y2615" s="2"/>
      <c r="AO2615" s="2"/>
      <c r="ER2615" s="2"/>
      <c r="GY2615" s="155"/>
      <c r="IK2615" s="2"/>
      <c r="KP2615" s="2"/>
    </row>
    <row r="2616" spans="24:307" ht="15" customHeight="1" x14ac:dyDescent="0.25">
      <c r="Y2616" s="2"/>
      <c r="AO2616" s="2"/>
      <c r="ER2616" s="2"/>
      <c r="GY2616" s="155"/>
      <c r="IK2616" s="2"/>
      <c r="KP2616" s="2"/>
    </row>
    <row r="2617" spans="24:307" ht="15" customHeight="1" x14ac:dyDescent="0.25">
      <c r="Y2617" s="2"/>
      <c r="AO2617" s="2"/>
      <c r="ER2617" s="2"/>
      <c r="GY2617" s="155"/>
      <c r="IK2617" s="2"/>
    </row>
    <row r="2618" spans="24:307" ht="15" customHeight="1" x14ac:dyDescent="0.25">
      <c r="Y2618" s="2"/>
      <c r="AO2618" s="2"/>
      <c r="ER2618" s="2"/>
      <c r="GY2618" s="155"/>
      <c r="IK2618" s="2"/>
    </row>
    <row r="2619" spans="24:307" ht="15" customHeight="1" x14ac:dyDescent="0.25">
      <c r="Y2619" s="2"/>
      <c r="AO2619" s="2"/>
      <c r="ER2619" s="2"/>
      <c r="GY2619" s="155"/>
      <c r="IK2619" s="2"/>
      <c r="KP2619" s="2"/>
    </row>
    <row r="2620" spans="24:307" ht="15" customHeight="1" x14ac:dyDescent="0.25">
      <c r="Y2620" s="2"/>
      <c r="AO2620" s="2"/>
      <c r="ER2620" s="2"/>
      <c r="GY2620" s="155"/>
      <c r="IK2620" s="2"/>
      <c r="KP2620" s="2"/>
      <c r="KQ2620" s="2"/>
    </row>
    <row r="2621" spans="24:307" ht="15" customHeight="1" x14ac:dyDescent="0.25">
      <c r="X2621" s="2"/>
      <c r="AM2621" s="2"/>
      <c r="GT2621" s="155"/>
      <c r="HZ2621" s="2"/>
      <c r="KD2621" s="2"/>
    </row>
    <row r="2622" spans="24:307" ht="15" customHeight="1" x14ac:dyDescent="0.25">
      <c r="X2622" s="2"/>
      <c r="AM2622" s="2"/>
      <c r="GT2622" s="155"/>
      <c r="HZ2622" s="2"/>
    </row>
    <row r="2623" spans="24:307" ht="15" customHeight="1" x14ac:dyDescent="0.25">
      <c r="X2623" s="2"/>
      <c r="AM2623" s="2"/>
      <c r="GT2623" s="155"/>
      <c r="HZ2623" s="2"/>
    </row>
    <row r="2624" spans="24:307" ht="15" customHeight="1" x14ac:dyDescent="0.25">
      <c r="X2624" s="2"/>
      <c r="AM2624" s="2"/>
      <c r="GT2624" s="155"/>
      <c r="HZ2624" s="2"/>
    </row>
    <row r="2625" spans="24:292" ht="15" customHeight="1" x14ac:dyDescent="0.25">
      <c r="X2625" s="2"/>
      <c r="AM2625" s="2"/>
      <c r="GT2625" s="155"/>
      <c r="HZ2625" s="2"/>
      <c r="KD2625" s="2"/>
      <c r="KE2625" s="2"/>
    </row>
    <row r="2626" spans="24:292" ht="15" customHeight="1" x14ac:dyDescent="0.25">
      <c r="X2626" s="2"/>
      <c r="AM2626" s="2"/>
      <c r="GT2626" s="155"/>
      <c r="HZ2626" s="2"/>
      <c r="KD2626" s="2"/>
      <c r="KE2626" s="2"/>
    </row>
    <row r="2627" spans="24:292" ht="15" customHeight="1" x14ac:dyDescent="0.25">
      <c r="X2627" s="2"/>
      <c r="AM2627" s="2"/>
      <c r="GT2627" s="155"/>
      <c r="HZ2627" s="2"/>
      <c r="KD2627" s="2"/>
    </row>
    <row r="2628" spans="24:292" ht="15" customHeight="1" x14ac:dyDescent="0.25">
      <c r="X2628" s="2"/>
      <c r="AM2628" s="2"/>
      <c r="GT2628" s="155"/>
      <c r="HZ2628" s="2"/>
      <c r="KD2628" s="2"/>
    </row>
    <row r="2629" spans="24:292" ht="15" customHeight="1" x14ac:dyDescent="0.25">
      <c r="X2629" s="2"/>
      <c r="AM2629" s="2"/>
      <c r="GT2629" s="155"/>
      <c r="HZ2629" s="2"/>
      <c r="KD2629" s="2"/>
    </row>
    <row r="2630" spans="24:292" ht="15" customHeight="1" x14ac:dyDescent="0.25">
      <c r="X2630" s="2"/>
      <c r="AM2630" s="2"/>
      <c r="GT2630" s="155"/>
      <c r="HZ2630" s="2"/>
      <c r="KD2630" s="2"/>
    </row>
    <row r="2631" spans="24:292" ht="15" customHeight="1" x14ac:dyDescent="0.25">
      <c r="X2631" s="2"/>
      <c r="AM2631" s="2"/>
      <c r="GT2631" s="155"/>
      <c r="HZ2631" s="2"/>
      <c r="KD2631" s="2"/>
    </row>
    <row r="2632" spans="24:292" ht="15" customHeight="1" x14ac:dyDescent="0.25">
      <c r="X2632" s="2"/>
      <c r="AM2632" s="2"/>
      <c r="GT2632" s="155"/>
      <c r="HZ2632" s="2"/>
      <c r="KD2632" s="2"/>
      <c r="KE2632" s="2"/>
      <c r="KF2632" s="2"/>
    </row>
    <row r="2633" spans="24:292" ht="15" customHeight="1" x14ac:dyDescent="0.25">
      <c r="X2633" s="2"/>
      <c r="AM2633" s="2"/>
      <c r="GT2633" s="155"/>
      <c r="HZ2633" s="2"/>
      <c r="KD2633" s="2"/>
      <c r="KE2633" s="2"/>
    </row>
    <row r="2634" spans="24:292" ht="15" customHeight="1" x14ac:dyDescent="0.25">
      <c r="X2634" s="2"/>
      <c r="AM2634" s="2"/>
      <c r="GT2634" s="155"/>
      <c r="HZ2634" s="2"/>
      <c r="KD2634" s="2"/>
    </row>
    <row r="2635" spans="24:292" ht="15" customHeight="1" x14ac:dyDescent="0.25">
      <c r="X2635" s="2"/>
      <c r="AM2635" s="2"/>
      <c r="GT2635" s="155"/>
      <c r="HZ2635" s="2"/>
      <c r="KD2635" s="2"/>
    </row>
    <row r="2636" spans="24:292" ht="15" customHeight="1" x14ac:dyDescent="0.25">
      <c r="X2636" s="2"/>
      <c r="AM2636" s="2"/>
      <c r="GT2636" s="155"/>
      <c r="HZ2636" s="2"/>
      <c r="KD2636" s="2"/>
    </row>
    <row r="2637" spans="24:292" ht="15" customHeight="1" x14ac:dyDescent="0.25">
      <c r="X2637" s="2"/>
      <c r="AM2637" s="2"/>
      <c r="GT2637" s="155"/>
      <c r="HZ2637" s="2"/>
      <c r="KD2637" s="2"/>
    </row>
    <row r="2638" spans="24:292" ht="15" customHeight="1" x14ac:dyDescent="0.25">
      <c r="X2638" s="2"/>
      <c r="AM2638" s="2"/>
      <c r="GT2638" s="155"/>
      <c r="HZ2638" s="2"/>
      <c r="KD2638" s="2"/>
    </row>
    <row r="2639" spans="24:292" ht="15" customHeight="1" x14ac:dyDescent="0.25">
      <c r="X2639" s="2"/>
      <c r="AM2639" s="2"/>
      <c r="GT2639" s="155"/>
      <c r="HZ2639" s="2"/>
      <c r="KD2639" s="2"/>
    </row>
    <row r="2640" spans="24:292" ht="15" customHeight="1" x14ac:dyDescent="0.25">
      <c r="X2640" s="2"/>
      <c r="AM2640" s="2"/>
      <c r="EO2640" s="2"/>
      <c r="GT2640" s="155"/>
      <c r="HZ2640" s="2"/>
    </row>
    <row r="2641" spans="24:295" ht="15" customHeight="1" x14ac:dyDescent="0.25">
      <c r="X2641" s="2"/>
      <c r="AM2641" s="2"/>
      <c r="EO2641" s="2"/>
      <c r="GT2641" s="155"/>
      <c r="HZ2641" s="2"/>
    </row>
    <row r="2642" spans="24:295" ht="15" customHeight="1" x14ac:dyDescent="0.25">
      <c r="X2642" s="2"/>
      <c r="AM2642" s="2"/>
      <c r="EO2642" s="2"/>
      <c r="GT2642" s="155"/>
      <c r="HZ2642" s="2"/>
      <c r="KD2642" s="2"/>
    </row>
    <row r="2643" spans="24:295" ht="15" customHeight="1" x14ac:dyDescent="0.25">
      <c r="X2643" s="2"/>
      <c r="AM2643" s="2"/>
      <c r="EO2643" s="2"/>
      <c r="GT2643" s="155"/>
      <c r="HZ2643" s="2"/>
      <c r="KD2643" s="2"/>
      <c r="KE2643" s="2"/>
    </row>
    <row r="2644" spans="24:295" ht="15" customHeight="1" x14ac:dyDescent="0.25">
      <c r="X2644" s="2"/>
      <c r="AM2644" s="2"/>
      <c r="EO2644" s="2"/>
      <c r="GT2644" s="155"/>
      <c r="HZ2644" s="2"/>
    </row>
    <row r="2645" spans="24:295" ht="15" customHeight="1" x14ac:dyDescent="0.25">
      <c r="X2645" s="2"/>
      <c r="AM2645" s="2"/>
      <c r="EO2645" s="2"/>
      <c r="GT2645" s="155"/>
      <c r="HZ2645" s="2"/>
      <c r="KD2645" s="2"/>
    </row>
    <row r="2646" spans="24:295" ht="15" customHeight="1" x14ac:dyDescent="0.25">
      <c r="X2646" s="2"/>
      <c r="AM2646" s="2"/>
      <c r="EO2646" s="2"/>
      <c r="GT2646" s="155"/>
      <c r="HZ2646" s="2"/>
      <c r="KD2646" s="2"/>
      <c r="KE2646" s="2"/>
    </row>
    <row r="2647" spans="24:295" ht="15" customHeight="1" x14ac:dyDescent="0.25">
      <c r="X2647" s="2"/>
      <c r="AM2647" s="2"/>
      <c r="EO2647" s="2"/>
      <c r="GT2647" s="155"/>
      <c r="HZ2647" s="2"/>
      <c r="KD2647" s="2"/>
    </row>
    <row r="2648" spans="24:295" ht="15" customHeight="1" x14ac:dyDescent="0.25">
      <c r="X2648" s="2"/>
      <c r="AM2648" s="2"/>
      <c r="EO2648" s="2"/>
      <c r="GT2648" s="155"/>
      <c r="HZ2648" s="2"/>
      <c r="KD2648" s="2"/>
      <c r="KE2648" s="2"/>
    </row>
    <row r="2649" spans="24:295" ht="15" customHeight="1" x14ac:dyDescent="0.25">
      <c r="X2649" s="2"/>
      <c r="AM2649" s="2"/>
      <c r="EO2649" s="2"/>
      <c r="GT2649" s="155"/>
      <c r="HZ2649" s="2"/>
    </row>
    <row r="2650" spans="24:295" ht="15" customHeight="1" x14ac:dyDescent="0.25">
      <c r="X2650" s="2"/>
      <c r="AM2650" s="2"/>
      <c r="EO2650" s="2"/>
      <c r="GT2650" s="155"/>
      <c r="HZ2650" s="2"/>
      <c r="KD2650" s="2"/>
      <c r="KE2650" s="2"/>
    </row>
    <row r="2651" spans="24:295" ht="15" customHeight="1" x14ac:dyDescent="0.25">
      <c r="X2651" s="2"/>
      <c r="AM2651" s="2"/>
      <c r="EO2651" s="2"/>
      <c r="GT2651" s="155"/>
      <c r="HZ2651" s="2"/>
      <c r="KD2651" s="2"/>
      <c r="KE2651" s="2"/>
    </row>
    <row r="2652" spans="24:295" ht="15" customHeight="1" x14ac:dyDescent="0.25">
      <c r="X2652" s="2"/>
      <c r="AM2652" s="2"/>
      <c r="EO2652" s="2"/>
      <c r="GT2652" s="155"/>
      <c r="HZ2652" s="2"/>
      <c r="KD2652" s="2"/>
      <c r="KE2652" s="2"/>
      <c r="KF2652" s="2"/>
      <c r="KG2652" s="2"/>
      <c r="KH2652" s="2"/>
      <c r="KI2652" s="2"/>
    </row>
    <row r="2653" spans="24:295" ht="15" customHeight="1" x14ac:dyDescent="0.25">
      <c r="X2653" s="2"/>
      <c r="AM2653" s="2"/>
      <c r="EO2653" s="2"/>
      <c r="GT2653" s="155"/>
      <c r="HZ2653" s="2"/>
    </row>
    <row r="2654" spans="24:295" ht="15" customHeight="1" x14ac:dyDescent="0.25">
      <c r="X2654" s="2"/>
      <c r="AM2654" s="2"/>
      <c r="EO2654" s="2"/>
      <c r="GT2654" s="155"/>
      <c r="HZ2654" s="2"/>
    </row>
    <row r="2655" spans="24:295" ht="15" customHeight="1" x14ac:dyDescent="0.25">
      <c r="X2655" s="2"/>
      <c r="AM2655" s="2"/>
      <c r="EO2655" s="2"/>
      <c r="GT2655" s="155"/>
      <c r="HZ2655" s="2"/>
    </row>
    <row r="2656" spans="24:295" ht="15" customHeight="1" x14ac:dyDescent="0.25">
      <c r="X2656" s="2"/>
      <c r="AM2656" s="2"/>
      <c r="EO2656" s="2"/>
      <c r="GT2656" s="155"/>
      <c r="HZ2656" s="2"/>
    </row>
    <row r="2657" spans="24:295" ht="15" customHeight="1" x14ac:dyDescent="0.25">
      <c r="X2657" s="2"/>
      <c r="AM2657" s="2"/>
      <c r="EO2657" s="2"/>
      <c r="GT2657" s="155"/>
      <c r="HZ2657" s="2"/>
    </row>
    <row r="2658" spans="24:295" ht="15" customHeight="1" x14ac:dyDescent="0.25">
      <c r="X2658" s="2"/>
      <c r="AM2658" s="2"/>
      <c r="EO2658" s="2"/>
      <c r="GT2658" s="155"/>
      <c r="HZ2658" s="2"/>
    </row>
    <row r="2659" spans="24:295" ht="15" customHeight="1" x14ac:dyDescent="0.25">
      <c r="X2659" s="2"/>
      <c r="AM2659" s="2"/>
      <c r="EO2659" s="2"/>
      <c r="GT2659" s="155"/>
      <c r="HZ2659" s="2"/>
    </row>
    <row r="2660" spans="24:295" ht="15" customHeight="1" x14ac:dyDescent="0.25">
      <c r="X2660" s="2"/>
      <c r="AM2660" s="2"/>
      <c r="EO2660" s="2"/>
      <c r="GT2660" s="155"/>
      <c r="HZ2660" s="2"/>
    </row>
    <row r="2661" spans="24:295" ht="15" customHeight="1" x14ac:dyDescent="0.25">
      <c r="X2661" s="2"/>
      <c r="AM2661" s="2"/>
      <c r="EO2661" s="2"/>
      <c r="GT2661" s="155"/>
      <c r="HZ2661" s="2"/>
    </row>
    <row r="2662" spans="24:295" ht="15" customHeight="1" x14ac:dyDescent="0.25">
      <c r="X2662" s="2"/>
      <c r="AM2662" s="2"/>
      <c r="EO2662" s="2"/>
      <c r="GT2662" s="155"/>
      <c r="HZ2662" s="2"/>
      <c r="KD2662" s="2"/>
    </row>
    <row r="2663" spans="24:295" ht="15" customHeight="1" x14ac:dyDescent="0.25">
      <c r="X2663" s="2"/>
      <c r="AM2663" s="2"/>
      <c r="EO2663" s="2"/>
      <c r="GT2663" s="155"/>
      <c r="HZ2663" s="2"/>
      <c r="KD2663" s="2"/>
    </row>
    <row r="2664" spans="24:295" ht="15" customHeight="1" x14ac:dyDescent="0.25">
      <c r="X2664" s="2"/>
      <c r="AM2664" s="2"/>
      <c r="EO2664" s="2"/>
      <c r="GT2664" s="155"/>
      <c r="HZ2664" s="2"/>
      <c r="KD2664" s="2"/>
    </row>
    <row r="2665" spans="24:295" ht="15" customHeight="1" x14ac:dyDescent="0.25">
      <c r="X2665" s="2"/>
      <c r="AM2665" s="2"/>
      <c r="EO2665" s="2"/>
      <c r="GT2665" s="155"/>
      <c r="HZ2665" s="2"/>
      <c r="KD2665" s="2"/>
      <c r="KE2665" s="2"/>
    </row>
    <row r="2666" spans="24:295" ht="15" customHeight="1" x14ac:dyDescent="0.25">
      <c r="X2666" s="2"/>
      <c r="AM2666" s="2"/>
      <c r="EO2666" s="2"/>
      <c r="GT2666" s="155"/>
      <c r="HZ2666" s="2"/>
      <c r="KD2666" s="2"/>
      <c r="KE2666" s="2"/>
    </row>
    <row r="2667" spans="24:295" ht="15" customHeight="1" x14ac:dyDescent="0.25">
      <c r="X2667" s="2"/>
      <c r="AM2667" s="2"/>
      <c r="EO2667" s="2"/>
      <c r="GT2667" s="155"/>
      <c r="HZ2667" s="2"/>
      <c r="KD2667" s="2"/>
    </row>
    <row r="2668" spans="24:295" ht="15" customHeight="1" x14ac:dyDescent="0.25">
      <c r="X2668" s="2"/>
      <c r="AM2668" s="2"/>
      <c r="EO2668" s="2"/>
      <c r="GT2668" s="155"/>
      <c r="HZ2668" s="2"/>
      <c r="KD2668" s="2"/>
      <c r="KE2668" s="2"/>
      <c r="KF2668" s="2"/>
      <c r="KG2668" s="2"/>
      <c r="KH2668" s="2"/>
      <c r="KI2668" s="2"/>
    </row>
    <row r="2669" spans="24:295" ht="15" customHeight="1" x14ac:dyDescent="0.25">
      <c r="X2669" s="2"/>
      <c r="AM2669" s="2"/>
      <c r="EO2669" s="2"/>
      <c r="GT2669" s="155"/>
      <c r="HZ2669" s="2"/>
      <c r="KD2669" s="2"/>
    </row>
    <row r="2670" spans="24:295" ht="15" customHeight="1" x14ac:dyDescent="0.25">
      <c r="X2670" s="2"/>
      <c r="AM2670" s="2"/>
      <c r="EO2670" s="2"/>
      <c r="GT2670" s="155"/>
      <c r="HZ2670" s="2"/>
      <c r="KD2670" s="2"/>
      <c r="KE2670" s="2"/>
    </row>
    <row r="2671" spans="24:295" ht="15" customHeight="1" x14ac:dyDescent="0.25">
      <c r="X2671" s="2"/>
      <c r="AM2671" s="2"/>
      <c r="EO2671" s="2"/>
      <c r="GT2671" s="155"/>
      <c r="HZ2671" s="2"/>
      <c r="KD2671" s="2"/>
    </row>
    <row r="2672" spans="24:295" ht="15" customHeight="1" x14ac:dyDescent="0.25">
      <c r="X2672" s="2"/>
      <c r="AM2672" s="2"/>
      <c r="EO2672" s="2"/>
      <c r="GT2672" s="155"/>
      <c r="HZ2672" s="2"/>
      <c r="KD2672" s="2"/>
    </row>
    <row r="2673" spans="24:293" ht="15" customHeight="1" x14ac:dyDescent="0.25">
      <c r="X2673" s="2"/>
      <c r="AM2673" s="2"/>
      <c r="EO2673" s="2"/>
      <c r="GT2673" s="155"/>
      <c r="HZ2673" s="2"/>
      <c r="KD2673" s="2"/>
      <c r="KE2673" s="2"/>
      <c r="KF2673" s="2"/>
    </row>
    <row r="2674" spans="24:293" ht="15" customHeight="1" x14ac:dyDescent="0.25">
      <c r="X2674" s="2"/>
      <c r="AM2674" s="2"/>
      <c r="EO2674" s="2"/>
      <c r="GT2674" s="155"/>
      <c r="HZ2674" s="2"/>
      <c r="KD2674" s="2"/>
      <c r="KE2674" s="2"/>
      <c r="KF2674" s="2"/>
    </row>
    <row r="2675" spans="24:293" ht="15" customHeight="1" x14ac:dyDescent="0.25">
      <c r="X2675" s="2"/>
      <c r="AM2675" s="2"/>
      <c r="EO2675" s="2"/>
      <c r="GT2675" s="155"/>
      <c r="HZ2675" s="2"/>
      <c r="KD2675" s="2"/>
    </row>
    <row r="2676" spans="24:293" ht="15" customHeight="1" x14ac:dyDescent="0.25">
      <c r="X2676" s="2"/>
      <c r="AM2676" s="2"/>
      <c r="EO2676" s="2"/>
      <c r="GT2676" s="155"/>
      <c r="HZ2676" s="2"/>
    </row>
    <row r="2677" spans="24:293" ht="15" customHeight="1" x14ac:dyDescent="0.25">
      <c r="X2677" s="2"/>
      <c r="AM2677" s="2"/>
      <c r="EO2677" s="2"/>
      <c r="GT2677" s="155"/>
      <c r="HZ2677" s="2"/>
      <c r="KD2677" s="2"/>
    </row>
    <row r="2678" spans="24:293" ht="15" customHeight="1" x14ac:dyDescent="0.25">
      <c r="X2678" s="2"/>
      <c r="AM2678" s="2"/>
      <c r="EO2678" s="2"/>
      <c r="GT2678" s="155"/>
      <c r="HZ2678" s="2"/>
      <c r="KD2678" s="2"/>
    </row>
    <row r="2679" spans="24:293" ht="15" customHeight="1" x14ac:dyDescent="0.25">
      <c r="X2679" s="2"/>
      <c r="AM2679" s="2"/>
      <c r="EO2679" s="2"/>
      <c r="GT2679" s="155"/>
      <c r="HZ2679" s="2"/>
    </row>
    <row r="2680" spans="24:293" ht="15" customHeight="1" x14ac:dyDescent="0.25">
      <c r="X2680" s="2"/>
      <c r="AM2680" s="2"/>
      <c r="EO2680" s="2"/>
      <c r="GT2680" s="155"/>
      <c r="HZ2680" s="2"/>
      <c r="KD2680" s="2"/>
    </row>
    <row r="2681" spans="24:293" ht="15" customHeight="1" x14ac:dyDescent="0.25">
      <c r="X2681" s="2"/>
      <c r="AM2681" s="2"/>
      <c r="EO2681" s="2"/>
      <c r="GT2681" s="155"/>
      <c r="HZ2681" s="2"/>
    </row>
    <row r="2682" spans="24:293" ht="15" customHeight="1" x14ac:dyDescent="0.25">
      <c r="X2682" s="2"/>
      <c r="AM2682" s="2"/>
      <c r="EO2682" s="2"/>
      <c r="GT2682" s="155"/>
      <c r="HZ2682" s="2"/>
      <c r="KD2682" s="2"/>
      <c r="KE2682" s="2"/>
      <c r="KF2682" s="2"/>
      <c r="KG2682" s="2"/>
    </row>
    <row r="2683" spans="24:293" ht="15" customHeight="1" x14ac:dyDescent="0.25">
      <c r="X2683" s="2"/>
      <c r="AM2683" s="2"/>
      <c r="EO2683" s="2"/>
      <c r="GT2683" s="155"/>
      <c r="HZ2683" s="2"/>
      <c r="KD2683" s="2"/>
      <c r="KE2683" s="2"/>
      <c r="KF2683" s="2"/>
    </row>
    <row r="2684" spans="24:293" ht="15" customHeight="1" x14ac:dyDescent="0.25">
      <c r="X2684" s="2"/>
      <c r="AM2684" s="2"/>
      <c r="EO2684" s="2"/>
      <c r="GT2684" s="155"/>
      <c r="HZ2684" s="2"/>
    </row>
    <row r="2685" spans="24:293" ht="15" customHeight="1" x14ac:dyDescent="0.25">
      <c r="X2685" s="2"/>
      <c r="AM2685" s="2"/>
      <c r="EO2685" s="2"/>
      <c r="GT2685" s="155"/>
      <c r="HZ2685" s="2"/>
      <c r="KD2685" s="2"/>
    </row>
    <row r="2686" spans="24:293" ht="15" customHeight="1" x14ac:dyDescent="0.25">
      <c r="X2686" s="2"/>
      <c r="AM2686" s="2"/>
      <c r="EO2686" s="2"/>
      <c r="GT2686" s="155"/>
      <c r="HZ2686" s="2"/>
      <c r="KD2686" s="2"/>
      <c r="KE2686" s="2"/>
      <c r="KF2686" s="2"/>
    </row>
    <row r="2687" spans="24:293" ht="15" customHeight="1" x14ac:dyDescent="0.25">
      <c r="X2687" s="2"/>
      <c r="AM2687" s="2"/>
      <c r="EO2687" s="2"/>
      <c r="GT2687" s="155"/>
      <c r="HZ2687" s="2"/>
      <c r="KD2687" s="2"/>
      <c r="KE2687" s="2"/>
      <c r="KF2687" s="2"/>
    </row>
    <row r="2688" spans="24:293" ht="15" customHeight="1" x14ac:dyDescent="0.25">
      <c r="X2688" s="2"/>
      <c r="AM2688" s="2"/>
      <c r="EO2688" s="2"/>
      <c r="GT2688" s="155"/>
      <c r="HZ2688" s="2"/>
      <c r="KD2688" s="2"/>
      <c r="KE2688" s="2"/>
      <c r="KF2688" s="2"/>
    </row>
    <row r="2689" spans="18:303" ht="15" customHeight="1" x14ac:dyDescent="0.25">
      <c r="X2689" s="2"/>
      <c r="AM2689" s="2"/>
      <c r="EO2689" s="2"/>
      <c r="GT2689" s="155"/>
      <c r="HZ2689" s="2"/>
      <c r="KD2689" s="2"/>
    </row>
    <row r="2690" spans="18:303" ht="15" customHeight="1" x14ac:dyDescent="0.25">
      <c r="X2690" s="2"/>
      <c r="AM2690" s="2"/>
      <c r="EO2690" s="2"/>
      <c r="GT2690" s="155"/>
      <c r="HZ2690" s="2"/>
      <c r="KD2690" s="2"/>
    </row>
    <row r="2691" spans="18:303" ht="15" customHeight="1" x14ac:dyDescent="0.25">
      <c r="X2691" s="2"/>
      <c r="AM2691" s="2"/>
      <c r="EO2691" s="2"/>
      <c r="GT2691" s="155"/>
      <c r="HZ2691" s="2"/>
    </row>
    <row r="2692" spans="18:303" ht="15" customHeight="1" x14ac:dyDescent="0.25">
      <c r="X2692" s="2"/>
      <c r="AM2692" s="2"/>
      <c r="EO2692" s="2"/>
      <c r="GT2692" s="155"/>
      <c r="HZ2692" s="2"/>
      <c r="KD2692" s="2"/>
      <c r="KE2692" s="2"/>
    </row>
    <row r="2693" spans="18:303" ht="15" customHeight="1" x14ac:dyDescent="0.25">
      <c r="X2693" s="2"/>
      <c r="AM2693" s="2"/>
      <c r="EO2693" s="2"/>
      <c r="GT2693" s="155"/>
      <c r="HZ2693" s="2"/>
      <c r="KD2693" s="2"/>
      <c r="KE2693" s="2"/>
    </row>
    <row r="2694" spans="18:303" ht="15" customHeight="1" x14ac:dyDescent="0.25">
      <c r="X2694" s="2"/>
      <c r="AM2694" s="2"/>
      <c r="EO2694" s="2"/>
      <c r="GT2694" s="155"/>
      <c r="HZ2694" s="2"/>
    </row>
    <row r="2695" spans="18:303" ht="15" customHeight="1" x14ac:dyDescent="0.25">
      <c r="X2695" s="2"/>
      <c r="AM2695" s="2"/>
      <c r="EO2695" s="2"/>
      <c r="GT2695" s="155"/>
      <c r="HZ2695" s="2"/>
      <c r="KD2695" s="2"/>
      <c r="KE2695" s="2"/>
    </row>
    <row r="2696" spans="18:303" ht="15" customHeight="1" x14ac:dyDescent="0.25">
      <c r="X2696" s="2"/>
      <c r="AM2696" s="2"/>
      <c r="EO2696" s="2"/>
      <c r="GT2696" s="155"/>
      <c r="HZ2696" s="2"/>
      <c r="KD2696" s="2"/>
    </row>
    <row r="2697" spans="18:303" ht="15" customHeight="1" x14ac:dyDescent="0.25">
      <c r="X2697" s="2"/>
      <c r="AM2697" s="2"/>
      <c r="EO2697" s="2"/>
      <c r="GT2697" s="155"/>
      <c r="HZ2697" s="2"/>
      <c r="KD2697" s="2"/>
    </row>
    <row r="2698" spans="18:303" ht="15" customHeight="1" x14ac:dyDescent="0.25">
      <c r="X2698" s="2"/>
      <c r="AM2698" s="2"/>
      <c r="EO2698" s="2"/>
      <c r="GT2698" s="155"/>
      <c r="HZ2698" s="2"/>
    </row>
    <row r="2699" spans="18:303" ht="15" customHeight="1" x14ac:dyDescent="0.25">
      <c r="Y2699" s="2"/>
      <c r="AO2699" s="2"/>
      <c r="ER2699" s="2"/>
      <c r="GY2699" s="155"/>
      <c r="IK2699" s="2"/>
      <c r="KP2699" s="2"/>
    </row>
    <row r="2700" spans="18:303" ht="15" customHeight="1" x14ac:dyDescent="0.25">
      <c r="Y2700" s="2"/>
      <c r="AO2700" s="2"/>
      <c r="ER2700" s="2"/>
      <c r="GY2700" s="155"/>
      <c r="IK2700" s="2"/>
      <c r="KP2700" s="2"/>
    </row>
    <row r="2701" spans="18:303" ht="15" customHeight="1" x14ac:dyDescent="0.25">
      <c r="Y2701" s="2"/>
      <c r="AO2701" s="2"/>
      <c r="ER2701" s="2"/>
      <c r="GY2701" s="155"/>
      <c r="IK2701" s="2"/>
      <c r="KP2701" s="2"/>
    </row>
    <row r="2702" spans="18:303" ht="15" customHeight="1" x14ac:dyDescent="0.25">
      <c r="Y2702" s="2"/>
      <c r="AO2702" s="2"/>
      <c r="ER2702" s="2"/>
      <c r="GY2702" s="155"/>
      <c r="IK2702" s="2"/>
    </row>
    <row r="2703" spans="18:303" ht="15" customHeight="1" x14ac:dyDescent="0.25">
      <c r="Y2703" s="2"/>
      <c r="AO2703" s="2"/>
      <c r="ER2703" s="2"/>
      <c r="GY2703" s="155"/>
      <c r="IK2703" s="2"/>
      <c r="KP2703" s="2"/>
    </row>
    <row r="2704" spans="18:303" ht="15" customHeight="1" x14ac:dyDescent="0.25">
      <c r="R2704" s="1"/>
      <c r="T2704" s="1"/>
      <c r="Y2704" s="2"/>
      <c r="AO2704" s="2"/>
      <c r="ER2704" s="2"/>
      <c r="GY2704" s="155"/>
      <c r="IK2704" s="2"/>
      <c r="KP2704" s="2"/>
      <c r="KQ2704" s="2"/>
    </row>
    <row r="2705" spans="24:304" ht="15" customHeight="1" x14ac:dyDescent="0.25">
      <c r="Y2705" s="2"/>
      <c r="AO2705" s="2"/>
      <c r="ER2705" s="2"/>
      <c r="GY2705" s="155"/>
      <c r="IK2705" s="2"/>
      <c r="KP2705" s="2"/>
      <c r="KQ2705" s="2"/>
    </row>
    <row r="2706" spans="24:304" ht="15" customHeight="1" x14ac:dyDescent="0.25">
      <c r="Y2706" s="2"/>
      <c r="AO2706" s="2"/>
      <c r="ER2706" s="2"/>
      <c r="GY2706" s="155"/>
      <c r="IK2706" s="2"/>
      <c r="KP2706" s="2"/>
      <c r="KQ2706" s="2"/>
      <c r="KR2706" s="2"/>
    </row>
    <row r="2707" spans="24:304" ht="15" customHeight="1" x14ac:dyDescent="0.25">
      <c r="X2707" s="2"/>
      <c r="AM2707" s="2"/>
      <c r="GT2707" s="155"/>
      <c r="HZ2707" s="2"/>
      <c r="KD2707" s="2"/>
    </row>
    <row r="2708" spans="24:304" ht="15" customHeight="1" x14ac:dyDescent="0.25">
      <c r="X2708" s="2"/>
      <c r="AM2708" s="2"/>
      <c r="GT2708" s="155"/>
      <c r="HZ2708" s="2"/>
      <c r="KD2708" s="2"/>
    </row>
    <row r="2709" spans="24:304" ht="15" customHeight="1" x14ac:dyDescent="0.25">
      <c r="X2709" s="2"/>
      <c r="AM2709" s="2"/>
      <c r="GT2709" s="155"/>
      <c r="HZ2709" s="2"/>
      <c r="KD2709" s="2"/>
    </row>
    <row r="2710" spans="24:304" ht="15" customHeight="1" x14ac:dyDescent="0.25">
      <c r="X2710" s="2"/>
      <c r="AM2710" s="2"/>
      <c r="GT2710" s="155"/>
      <c r="HZ2710" s="2"/>
      <c r="KD2710" s="2"/>
    </row>
    <row r="2711" spans="24:304" ht="15" customHeight="1" x14ac:dyDescent="0.25">
      <c r="X2711" s="2"/>
      <c r="AM2711" s="2"/>
      <c r="GT2711" s="155"/>
      <c r="HZ2711" s="2"/>
      <c r="KD2711" s="2"/>
    </row>
    <row r="2712" spans="24:304" ht="15" customHeight="1" x14ac:dyDescent="0.25">
      <c r="X2712" s="2"/>
      <c r="AM2712" s="2"/>
      <c r="GT2712" s="155"/>
      <c r="HZ2712" s="2"/>
      <c r="KD2712" s="2"/>
    </row>
    <row r="2713" spans="24:304" ht="15" customHeight="1" x14ac:dyDescent="0.25">
      <c r="X2713" s="2"/>
      <c r="AM2713" s="2"/>
      <c r="GT2713" s="155"/>
      <c r="HZ2713" s="2"/>
      <c r="KD2713" s="2"/>
    </row>
    <row r="2714" spans="24:304" ht="15" customHeight="1" x14ac:dyDescent="0.25">
      <c r="X2714" s="2"/>
      <c r="AM2714" s="2"/>
      <c r="GT2714" s="155"/>
      <c r="HZ2714" s="2"/>
      <c r="KD2714" s="2"/>
      <c r="KE2714" s="2"/>
      <c r="KF2714" s="2"/>
      <c r="KG2714" s="2"/>
    </row>
    <row r="2715" spans="24:304" ht="15" customHeight="1" x14ac:dyDescent="0.25">
      <c r="X2715" s="2"/>
      <c r="AM2715" s="2"/>
      <c r="GT2715" s="155"/>
      <c r="HZ2715" s="2"/>
      <c r="KD2715" s="2"/>
    </row>
    <row r="2716" spans="24:304" ht="15" customHeight="1" x14ac:dyDescent="0.25">
      <c r="X2716" s="2"/>
      <c r="AM2716" s="2"/>
      <c r="GT2716" s="155"/>
      <c r="HZ2716" s="2"/>
      <c r="KD2716" s="2"/>
    </row>
    <row r="2717" spans="24:304" ht="15" customHeight="1" x14ac:dyDescent="0.25">
      <c r="X2717" s="2"/>
      <c r="AM2717" s="2"/>
      <c r="GT2717" s="155"/>
      <c r="HZ2717" s="2"/>
      <c r="KD2717" s="2"/>
      <c r="KE2717" s="2"/>
    </row>
    <row r="2718" spans="24:304" ht="15" customHeight="1" x14ac:dyDescent="0.25">
      <c r="X2718" s="2"/>
      <c r="AM2718" s="2"/>
      <c r="GT2718" s="155"/>
      <c r="HZ2718" s="2"/>
      <c r="KD2718" s="2"/>
    </row>
    <row r="2719" spans="24:304" ht="15" customHeight="1" x14ac:dyDescent="0.25">
      <c r="X2719" s="2"/>
      <c r="AM2719" s="2"/>
      <c r="GT2719" s="155"/>
      <c r="HZ2719" s="2"/>
      <c r="KD2719" s="2"/>
    </row>
    <row r="2720" spans="24:304" ht="15" customHeight="1" x14ac:dyDescent="0.25">
      <c r="X2720" s="2"/>
      <c r="AM2720" s="2"/>
      <c r="GT2720" s="155"/>
      <c r="HZ2720" s="2"/>
      <c r="KD2720" s="2"/>
      <c r="KE2720" s="2"/>
    </row>
    <row r="2721" spans="24:292" ht="15" customHeight="1" x14ac:dyDescent="0.25">
      <c r="X2721" s="2"/>
      <c r="AM2721" s="2"/>
      <c r="GT2721" s="155"/>
      <c r="HZ2721" s="2"/>
      <c r="KD2721" s="2"/>
    </row>
    <row r="2722" spans="24:292" ht="15" customHeight="1" x14ac:dyDescent="0.25">
      <c r="X2722" s="2"/>
      <c r="AM2722" s="2"/>
      <c r="GT2722" s="155"/>
      <c r="HZ2722" s="2"/>
      <c r="KD2722" s="2"/>
    </row>
    <row r="2723" spans="24:292" ht="15" customHeight="1" x14ac:dyDescent="0.25">
      <c r="X2723" s="2"/>
      <c r="AM2723" s="2"/>
      <c r="GT2723" s="155"/>
      <c r="HZ2723" s="2"/>
      <c r="KD2723" s="2"/>
    </row>
    <row r="2724" spans="24:292" ht="15" customHeight="1" x14ac:dyDescent="0.25">
      <c r="X2724" s="2"/>
      <c r="AM2724" s="2"/>
      <c r="GT2724" s="155"/>
      <c r="HZ2724" s="2"/>
      <c r="KD2724" s="2"/>
    </row>
    <row r="2725" spans="24:292" ht="15" customHeight="1" x14ac:dyDescent="0.25">
      <c r="X2725" s="2"/>
      <c r="AM2725" s="2"/>
      <c r="GT2725" s="155"/>
      <c r="HZ2725" s="2"/>
      <c r="KD2725" s="2"/>
    </row>
    <row r="2726" spans="24:292" ht="15" customHeight="1" x14ac:dyDescent="0.25">
      <c r="X2726" s="2"/>
      <c r="AM2726" s="2"/>
      <c r="GT2726" s="155"/>
      <c r="HZ2726" s="2"/>
      <c r="KD2726" s="2"/>
    </row>
    <row r="2727" spans="24:292" ht="15" customHeight="1" x14ac:dyDescent="0.25">
      <c r="X2727" s="2"/>
      <c r="AM2727" s="2"/>
      <c r="GT2727" s="155"/>
      <c r="HZ2727" s="2"/>
      <c r="KD2727" s="2"/>
    </row>
    <row r="2728" spans="24:292" ht="15" customHeight="1" x14ac:dyDescent="0.25">
      <c r="X2728" s="2"/>
      <c r="AM2728" s="2"/>
      <c r="GT2728" s="155"/>
      <c r="HZ2728" s="2"/>
      <c r="KD2728" s="2"/>
    </row>
    <row r="2729" spans="24:292" ht="15" customHeight="1" x14ac:dyDescent="0.25">
      <c r="X2729" s="2"/>
      <c r="AM2729" s="2"/>
      <c r="GT2729" s="155"/>
      <c r="HZ2729" s="2"/>
      <c r="KD2729" s="2"/>
    </row>
    <row r="2730" spans="24:292" ht="15" customHeight="1" x14ac:dyDescent="0.25">
      <c r="X2730" s="2"/>
      <c r="AM2730" s="2"/>
      <c r="GT2730" s="155"/>
      <c r="HZ2730" s="2"/>
      <c r="KD2730" s="2"/>
    </row>
    <row r="2731" spans="24:292" ht="15" customHeight="1" x14ac:dyDescent="0.25">
      <c r="X2731" s="2"/>
      <c r="AM2731" s="2"/>
      <c r="GT2731" s="155"/>
      <c r="HZ2731" s="2"/>
      <c r="KD2731" s="2"/>
    </row>
    <row r="2732" spans="24:292" ht="15" customHeight="1" x14ac:dyDescent="0.25">
      <c r="X2732" s="2"/>
      <c r="AM2732" s="2"/>
      <c r="GT2732" s="155"/>
      <c r="HZ2732" s="2"/>
      <c r="KD2732" s="2"/>
    </row>
    <row r="2733" spans="24:292" ht="15" customHeight="1" x14ac:dyDescent="0.25">
      <c r="X2733" s="2"/>
      <c r="AM2733" s="2"/>
      <c r="GT2733" s="155"/>
      <c r="HZ2733" s="2"/>
      <c r="KD2733" s="2"/>
    </row>
    <row r="2734" spans="24:292" ht="15" customHeight="1" x14ac:dyDescent="0.25">
      <c r="X2734" s="2"/>
      <c r="AM2734" s="2"/>
      <c r="GT2734" s="155"/>
      <c r="HZ2734" s="2"/>
      <c r="KD2734" s="2"/>
      <c r="KE2734" s="2"/>
      <c r="KF2734" s="2"/>
    </row>
    <row r="2735" spans="24:292" ht="15" customHeight="1" x14ac:dyDescent="0.25">
      <c r="X2735" s="2"/>
      <c r="AM2735" s="2"/>
      <c r="GT2735" s="155"/>
      <c r="HZ2735" s="2"/>
      <c r="KD2735" s="2"/>
      <c r="KE2735" s="2"/>
    </row>
    <row r="2736" spans="24:292" ht="15" customHeight="1" x14ac:dyDescent="0.25">
      <c r="X2736" s="2"/>
      <c r="AM2736" s="2"/>
      <c r="EO2736" s="2"/>
      <c r="GT2736" s="155"/>
      <c r="HZ2736" s="2"/>
      <c r="KD2736" s="2"/>
    </row>
    <row r="2737" spans="24:294" ht="15" customHeight="1" x14ac:dyDescent="0.25">
      <c r="X2737" s="2"/>
      <c r="AM2737" s="2"/>
      <c r="EO2737" s="2"/>
      <c r="GT2737" s="155"/>
      <c r="HZ2737" s="2"/>
      <c r="KD2737" s="2"/>
      <c r="KE2737" s="2"/>
    </row>
    <row r="2738" spans="24:294" ht="15" customHeight="1" x14ac:dyDescent="0.25">
      <c r="X2738" s="2"/>
      <c r="AM2738" s="2"/>
      <c r="EO2738" s="2"/>
      <c r="GT2738" s="155"/>
      <c r="HZ2738" s="2"/>
      <c r="KD2738" s="2"/>
      <c r="KE2738" s="2"/>
    </row>
    <row r="2739" spans="24:294" ht="15" customHeight="1" x14ac:dyDescent="0.25">
      <c r="X2739" s="2"/>
      <c r="AM2739" s="2"/>
      <c r="EO2739" s="2"/>
      <c r="GT2739" s="155"/>
      <c r="HZ2739" s="2"/>
      <c r="KD2739" s="2"/>
    </row>
    <row r="2740" spans="24:294" ht="15" customHeight="1" x14ac:dyDescent="0.25">
      <c r="X2740" s="2"/>
      <c r="AM2740" s="2"/>
      <c r="EO2740" s="2"/>
      <c r="GT2740" s="155"/>
      <c r="HZ2740" s="2"/>
      <c r="KD2740" s="2"/>
    </row>
    <row r="2741" spans="24:294" ht="15" customHeight="1" x14ac:dyDescent="0.25">
      <c r="X2741" s="2"/>
      <c r="AM2741" s="2"/>
      <c r="EO2741" s="2"/>
      <c r="GT2741" s="155"/>
      <c r="HZ2741" s="2"/>
      <c r="KD2741" s="2"/>
    </row>
    <row r="2742" spans="24:294" ht="15" customHeight="1" x14ac:dyDescent="0.25">
      <c r="X2742" s="2"/>
      <c r="AM2742" s="2"/>
      <c r="EO2742" s="2"/>
      <c r="GT2742" s="155"/>
      <c r="HZ2742" s="2"/>
      <c r="KD2742" s="2"/>
    </row>
    <row r="2743" spans="24:294" ht="15" customHeight="1" x14ac:dyDescent="0.25">
      <c r="X2743" s="2"/>
      <c r="AM2743" s="2"/>
      <c r="EO2743" s="2"/>
      <c r="GT2743" s="155"/>
      <c r="HZ2743" s="2"/>
      <c r="KD2743" s="2"/>
      <c r="KE2743" s="2"/>
      <c r="KF2743" s="2"/>
    </row>
    <row r="2744" spans="24:294" ht="15" customHeight="1" x14ac:dyDescent="0.25">
      <c r="X2744" s="2"/>
      <c r="AM2744" s="2"/>
      <c r="EO2744" s="2"/>
      <c r="GT2744" s="155"/>
      <c r="HZ2744" s="2"/>
      <c r="KD2744" s="2"/>
      <c r="KE2744" s="2"/>
      <c r="KF2744" s="2"/>
    </row>
    <row r="2745" spans="24:294" ht="15" customHeight="1" x14ac:dyDescent="0.25">
      <c r="X2745" s="2"/>
      <c r="AM2745" s="2"/>
      <c r="EO2745" s="2"/>
      <c r="GT2745" s="155"/>
      <c r="HZ2745" s="2"/>
      <c r="KD2745" s="2"/>
      <c r="KE2745" s="2"/>
    </row>
    <row r="2746" spans="24:294" ht="15" customHeight="1" x14ac:dyDescent="0.25">
      <c r="X2746" s="2"/>
      <c r="AM2746" s="2"/>
      <c r="EO2746" s="2"/>
      <c r="GT2746" s="155"/>
      <c r="HZ2746" s="2"/>
      <c r="KD2746" s="2"/>
      <c r="KE2746" s="2"/>
    </row>
    <row r="2747" spans="24:294" ht="15" customHeight="1" x14ac:dyDescent="0.25">
      <c r="X2747" s="2"/>
      <c r="AM2747" s="2"/>
      <c r="EO2747" s="2"/>
      <c r="GT2747" s="155"/>
      <c r="HZ2747" s="2"/>
      <c r="KD2747" s="2"/>
    </row>
    <row r="2748" spans="24:294" ht="15" customHeight="1" x14ac:dyDescent="0.25">
      <c r="X2748" s="2"/>
      <c r="AM2748" s="2"/>
      <c r="EO2748" s="2"/>
      <c r="GT2748" s="155"/>
      <c r="HZ2748" s="2"/>
      <c r="KD2748" s="2"/>
      <c r="KE2748" s="2"/>
    </row>
    <row r="2749" spans="24:294" ht="15" customHeight="1" x14ac:dyDescent="0.25">
      <c r="X2749" s="2"/>
      <c r="AM2749" s="2"/>
      <c r="EO2749" s="2"/>
      <c r="GT2749" s="155"/>
      <c r="HZ2749" s="2"/>
      <c r="KD2749" s="2"/>
      <c r="KE2749" s="2"/>
    </row>
    <row r="2750" spans="24:294" ht="15" customHeight="1" x14ac:dyDescent="0.25">
      <c r="X2750" s="2"/>
      <c r="AM2750" s="2"/>
      <c r="EO2750" s="2"/>
      <c r="GT2750" s="155"/>
      <c r="HZ2750" s="2"/>
      <c r="KD2750" s="2"/>
    </row>
    <row r="2751" spans="24:294" ht="15" customHeight="1" x14ac:dyDescent="0.25">
      <c r="X2751" s="2"/>
      <c r="AM2751" s="2"/>
      <c r="EO2751" s="2"/>
      <c r="GT2751" s="155"/>
      <c r="HZ2751" s="2"/>
      <c r="KD2751" s="2"/>
      <c r="KE2751" s="2"/>
      <c r="KF2751" s="2"/>
      <c r="KG2751" s="2"/>
      <c r="KH2751" s="2"/>
    </row>
    <row r="2752" spans="24:294" ht="15" customHeight="1" x14ac:dyDescent="0.25">
      <c r="X2752" s="2"/>
      <c r="AM2752" s="2"/>
      <c r="EO2752" s="2"/>
      <c r="GT2752" s="155"/>
      <c r="HZ2752" s="2"/>
      <c r="KD2752" s="2"/>
      <c r="KE2752" s="2"/>
      <c r="KF2752" s="2"/>
      <c r="KG2752" s="2"/>
    </row>
    <row r="2753" spans="24:296" ht="15" customHeight="1" x14ac:dyDescent="0.25">
      <c r="X2753" s="2"/>
      <c r="AM2753" s="2"/>
      <c r="EO2753" s="2"/>
      <c r="GT2753" s="155"/>
      <c r="HZ2753" s="2"/>
      <c r="KD2753" s="2"/>
    </row>
    <row r="2754" spans="24:296" ht="15" customHeight="1" x14ac:dyDescent="0.25">
      <c r="X2754" s="2"/>
      <c r="AM2754" s="2"/>
      <c r="EO2754" s="2"/>
      <c r="GT2754" s="155"/>
      <c r="HZ2754" s="2"/>
      <c r="KD2754" s="2"/>
      <c r="KE2754" s="2"/>
      <c r="KF2754" s="2"/>
    </row>
    <row r="2755" spans="24:296" ht="15" customHeight="1" x14ac:dyDescent="0.25">
      <c r="X2755" s="2"/>
      <c r="AM2755" s="2"/>
      <c r="EO2755" s="2"/>
      <c r="GT2755" s="155"/>
      <c r="HZ2755" s="2"/>
      <c r="KD2755" s="2"/>
      <c r="KE2755" s="2"/>
    </row>
    <row r="2756" spans="24:296" ht="15" customHeight="1" x14ac:dyDescent="0.25">
      <c r="X2756" s="2"/>
      <c r="AM2756" s="2"/>
      <c r="EO2756" s="2"/>
      <c r="GT2756" s="155"/>
      <c r="HZ2756" s="2"/>
      <c r="KD2756" s="2"/>
      <c r="KE2756" s="2"/>
    </row>
    <row r="2757" spans="24:296" ht="15" customHeight="1" x14ac:dyDescent="0.25">
      <c r="X2757" s="2"/>
      <c r="AM2757" s="2"/>
      <c r="EO2757" s="2"/>
      <c r="GT2757" s="155"/>
      <c r="HZ2757" s="2"/>
      <c r="KD2757" s="2"/>
      <c r="KE2757" s="2"/>
    </row>
    <row r="2758" spans="24:296" ht="15" customHeight="1" x14ac:dyDescent="0.25">
      <c r="X2758" s="2"/>
      <c r="AM2758" s="2"/>
      <c r="EO2758" s="2"/>
      <c r="GT2758" s="155"/>
      <c r="HZ2758" s="2"/>
      <c r="KD2758" s="2"/>
      <c r="KE2758" s="2"/>
      <c r="KF2758" s="2"/>
      <c r="KG2758" s="2"/>
      <c r="KH2758" s="2"/>
      <c r="KI2758" s="2"/>
      <c r="KJ2758" s="2"/>
    </row>
    <row r="2759" spans="24:296" ht="15" customHeight="1" x14ac:dyDescent="0.25">
      <c r="X2759" s="2"/>
      <c r="AM2759" s="2"/>
      <c r="EO2759" s="2"/>
      <c r="GT2759" s="155"/>
      <c r="HZ2759" s="2"/>
      <c r="KD2759" s="2"/>
      <c r="KE2759" s="2"/>
      <c r="KF2759" s="2"/>
      <c r="KG2759" s="2"/>
      <c r="KH2759" s="2"/>
      <c r="KI2759" s="2"/>
    </row>
    <row r="2760" spans="24:296" ht="15" customHeight="1" x14ac:dyDescent="0.25">
      <c r="X2760" s="2"/>
      <c r="AM2760" s="2"/>
      <c r="EO2760" s="2"/>
      <c r="GT2760" s="155"/>
      <c r="HZ2760" s="2"/>
      <c r="KD2760" s="2"/>
    </row>
    <row r="2761" spans="24:296" ht="15" customHeight="1" x14ac:dyDescent="0.25">
      <c r="X2761" s="2"/>
      <c r="AM2761" s="2"/>
      <c r="EO2761" s="2"/>
      <c r="GT2761" s="155"/>
      <c r="HZ2761" s="2"/>
      <c r="KD2761" s="2"/>
      <c r="KE2761" s="2"/>
    </row>
    <row r="2762" spans="24:296" ht="15" customHeight="1" x14ac:dyDescent="0.25">
      <c r="X2762" s="2"/>
      <c r="AM2762" s="2"/>
      <c r="EO2762" s="2"/>
      <c r="GT2762" s="155"/>
      <c r="HZ2762" s="2"/>
      <c r="KD2762" s="2"/>
      <c r="KE2762" s="2"/>
    </row>
    <row r="2763" spans="24:296" ht="15" customHeight="1" x14ac:dyDescent="0.25">
      <c r="X2763" s="2"/>
      <c r="AM2763" s="2"/>
      <c r="EO2763" s="2"/>
      <c r="GT2763" s="155"/>
      <c r="HZ2763" s="2"/>
      <c r="KD2763" s="2"/>
      <c r="KE2763" s="2"/>
      <c r="KF2763" s="2"/>
      <c r="KG2763" s="2"/>
    </row>
    <row r="2764" spans="24:296" ht="15" customHeight="1" x14ac:dyDescent="0.25">
      <c r="X2764" s="2"/>
      <c r="AM2764" s="2"/>
      <c r="EO2764" s="2"/>
      <c r="GT2764" s="155"/>
      <c r="HZ2764" s="2"/>
      <c r="KD2764" s="2"/>
    </row>
    <row r="2765" spans="24:296" ht="15" customHeight="1" x14ac:dyDescent="0.25">
      <c r="X2765" s="2"/>
      <c r="AM2765" s="2"/>
      <c r="EO2765" s="2"/>
      <c r="GT2765" s="155"/>
      <c r="HZ2765" s="2"/>
      <c r="KD2765" s="2"/>
      <c r="KE2765" s="2"/>
    </row>
    <row r="2766" spans="24:296" ht="15" customHeight="1" x14ac:dyDescent="0.25">
      <c r="X2766" s="2"/>
      <c r="AM2766" s="2"/>
      <c r="EO2766" s="2"/>
      <c r="GT2766" s="155"/>
      <c r="HZ2766" s="2"/>
      <c r="KD2766" s="2"/>
    </row>
    <row r="2767" spans="24:296" ht="15" customHeight="1" x14ac:dyDescent="0.25">
      <c r="X2767" s="2"/>
      <c r="AM2767" s="2"/>
      <c r="EO2767" s="2"/>
      <c r="GT2767" s="155"/>
      <c r="HZ2767" s="2"/>
      <c r="KD2767" s="2"/>
      <c r="KE2767" s="2"/>
    </row>
    <row r="2768" spans="24:296" ht="15" customHeight="1" x14ac:dyDescent="0.25">
      <c r="X2768" s="2"/>
      <c r="AM2768" s="2"/>
      <c r="EO2768" s="2"/>
      <c r="GT2768" s="155"/>
      <c r="HZ2768" s="2"/>
    </row>
    <row r="2769" spans="24:292" ht="15" customHeight="1" x14ac:dyDescent="0.25">
      <c r="X2769" s="2"/>
      <c r="AM2769" s="2"/>
      <c r="EO2769" s="2"/>
      <c r="GT2769" s="155"/>
      <c r="HZ2769" s="2"/>
      <c r="KD2769" s="2"/>
    </row>
    <row r="2770" spans="24:292" ht="15" customHeight="1" x14ac:dyDescent="0.25">
      <c r="X2770" s="2"/>
      <c r="AM2770" s="2"/>
      <c r="EO2770" s="2"/>
      <c r="GT2770" s="155"/>
      <c r="HZ2770" s="2"/>
      <c r="KD2770" s="2"/>
      <c r="KE2770" s="2"/>
    </row>
    <row r="2771" spans="24:292" ht="15" customHeight="1" x14ac:dyDescent="0.25">
      <c r="X2771" s="2"/>
      <c r="AM2771" s="2"/>
      <c r="EO2771" s="2"/>
      <c r="GT2771" s="155"/>
      <c r="HZ2771" s="2"/>
      <c r="KD2771" s="2"/>
      <c r="KE2771" s="2"/>
    </row>
    <row r="2772" spans="24:292" ht="15" customHeight="1" x14ac:dyDescent="0.25">
      <c r="X2772" s="2"/>
      <c r="AM2772" s="2"/>
      <c r="EO2772" s="2"/>
      <c r="GT2772" s="155"/>
      <c r="HZ2772" s="2"/>
      <c r="KD2772" s="2"/>
    </row>
    <row r="2773" spans="24:292" ht="15" customHeight="1" x14ac:dyDescent="0.25">
      <c r="X2773" s="2"/>
      <c r="AM2773" s="2"/>
      <c r="EO2773" s="2"/>
      <c r="GT2773" s="155"/>
      <c r="HZ2773" s="2"/>
      <c r="KD2773" s="2"/>
    </row>
    <row r="2774" spans="24:292" ht="15" customHeight="1" x14ac:dyDescent="0.25">
      <c r="X2774" s="2"/>
      <c r="AM2774" s="2"/>
      <c r="EO2774" s="2"/>
      <c r="GT2774" s="155"/>
      <c r="HZ2774" s="2"/>
      <c r="KD2774" s="2"/>
    </row>
    <row r="2775" spans="24:292" ht="15" customHeight="1" x14ac:dyDescent="0.25">
      <c r="X2775" s="2"/>
      <c r="AM2775" s="2"/>
      <c r="EO2775" s="2"/>
      <c r="GT2775" s="155"/>
      <c r="HZ2775" s="2"/>
    </row>
    <row r="2776" spans="24:292" ht="15" customHeight="1" x14ac:dyDescent="0.25">
      <c r="X2776" s="2"/>
      <c r="AM2776" s="2"/>
      <c r="EO2776" s="2"/>
      <c r="GT2776" s="155"/>
      <c r="HZ2776" s="2"/>
      <c r="KD2776" s="2"/>
      <c r="KE2776" s="2"/>
    </row>
    <row r="2777" spans="24:292" ht="15" customHeight="1" x14ac:dyDescent="0.25">
      <c r="X2777" s="2"/>
      <c r="AM2777" s="2"/>
      <c r="EO2777" s="2"/>
      <c r="GT2777" s="155"/>
      <c r="HZ2777" s="2"/>
      <c r="KD2777" s="2"/>
    </row>
    <row r="2778" spans="24:292" ht="15" customHeight="1" x14ac:dyDescent="0.25">
      <c r="X2778" s="2"/>
      <c r="AM2778" s="2"/>
      <c r="EO2778" s="2"/>
      <c r="GT2778" s="155"/>
      <c r="HZ2778" s="2"/>
      <c r="KD2778" s="2"/>
      <c r="KE2778" s="2"/>
    </row>
    <row r="2779" spans="24:292" ht="15" customHeight="1" x14ac:dyDescent="0.25">
      <c r="X2779" s="2"/>
      <c r="AM2779" s="2"/>
      <c r="EO2779" s="2"/>
      <c r="GT2779" s="155"/>
      <c r="HZ2779" s="2"/>
      <c r="KD2779" s="2"/>
      <c r="KE2779" s="2"/>
    </row>
    <row r="2780" spans="24:292" ht="15" customHeight="1" x14ac:dyDescent="0.25">
      <c r="X2780" s="2"/>
      <c r="AM2780" s="2"/>
      <c r="EO2780" s="2"/>
      <c r="GT2780" s="155"/>
      <c r="HZ2780" s="2"/>
      <c r="KD2780" s="2"/>
    </row>
    <row r="2781" spans="24:292" ht="15" customHeight="1" x14ac:dyDescent="0.25">
      <c r="X2781" s="2"/>
      <c r="AM2781" s="2"/>
      <c r="EO2781" s="2"/>
      <c r="GT2781" s="155"/>
      <c r="HZ2781" s="2"/>
      <c r="KD2781" s="2"/>
      <c r="KE2781" s="2"/>
    </row>
    <row r="2782" spans="24:292" ht="15" customHeight="1" x14ac:dyDescent="0.25">
      <c r="X2782" s="2"/>
      <c r="AM2782" s="2"/>
      <c r="EO2782" s="2"/>
      <c r="GT2782" s="155"/>
      <c r="HZ2782" s="2"/>
      <c r="KD2782" s="2"/>
    </row>
    <row r="2783" spans="24:292" ht="15" customHeight="1" x14ac:dyDescent="0.25">
      <c r="X2783" s="2"/>
      <c r="AM2783" s="2"/>
      <c r="EO2783" s="2"/>
      <c r="GT2783" s="155"/>
      <c r="HZ2783" s="2"/>
      <c r="KD2783" s="2"/>
      <c r="KE2783" s="2"/>
      <c r="KF2783" s="2"/>
    </row>
    <row r="2784" spans="24:292" ht="15" customHeight="1" x14ac:dyDescent="0.25">
      <c r="X2784" s="2"/>
      <c r="AM2784" s="2"/>
      <c r="EO2784" s="2"/>
      <c r="GT2784" s="155"/>
      <c r="HZ2784" s="2"/>
      <c r="KD2784" s="2"/>
      <c r="KE2784" s="2"/>
      <c r="KF2784" s="2"/>
    </row>
    <row r="2785" spans="24:306" ht="15" customHeight="1" x14ac:dyDescent="0.25">
      <c r="X2785" s="2"/>
      <c r="AM2785" s="2"/>
      <c r="EO2785" s="2"/>
      <c r="GT2785" s="155"/>
      <c r="HZ2785" s="2"/>
      <c r="KD2785" s="2"/>
      <c r="KE2785" s="2"/>
    </row>
    <row r="2786" spans="24:306" ht="15" customHeight="1" x14ac:dyDescent="0.25">
      <c r="X2786" s="2"/>
      <c r="AM2786" s="2"/>
      <c r="EO2786" s="2"/>
      <c r="GT2786" s="155"/>
      <c r="HZ2786" s="2"/>
      <c r="KD2786" s="2"/>
    </row>
    <row r="2787" spans="24:306" ht="15" customHeight="1" x14ac:dyDescent="0.25">
      <c r="X2787" s="2"/>
      <c r="AM2787" s="2"/>
      <c r="EO2787" s="2"/>
      <c r="GT2787" s="155"/>
      <c r="HZ2787" s="2"/>
      <c r="KD2787" s="2"/>
    </row>
    <row r="2788" spans="24:306" ht="15" customHeight="1" x14ac:dyDescent="0.25">
      <c r="X2788" s="2"/>
      <c r="AM2788" s="2"/>
      <c r="EO2788" s="2"/>
      <c r="GT2788" s="155"/>
      <c r="HZ2788" s="2"/>
      <c r="KD2788" s="2"/>
    </row>
    <row r="2789" spans="24:306" ht="15" customHeight="1" x14ac:dyDescent="0.25">
      <c r="X2789" s="2"/>
      <c r="AM2789" s="2"/>
      <c r="EO2789" s="2"/>
      <c r="GT2789" s="155"/>
      <c r="HZ2789" s="2"/>
      <c r="KD2789" s="2"/>
      <c r="KE2789" s="2"/>
    </row>
    <row r="2790" spans="24:306" ht="15" customHeight="1" x14ac:dyDescent="0.25">
      <c r="X2790" s="2"/>
      <c r="AM2790" s="2"/>
      <c r="EO2790" s="2"/>
      <c r="GT2790" s="155"/>
      <c r="HZ2790" s="2"/>
      <c r="KD2790" s="2"/>
      <c r="KE2790" s="2"/>
      <c r="KF2790" s="2"/>
      <c r="KG2790" s="2"/>
    </row>
    <row r="2791" spans="24:306" ht="15" customHeight="1" x14ac:dyDescent="0.25">
      <c r="X2791" s="2"/>
      <c r="AM2791" s="2"/>
      <c r="EO2791" s="2"/>
      <c r="GT2791" s="155"/>
      <c r="HZ2791" s="2"/>
      <c r="KD2791" s="2"/>
      <c r="KE2791" s="2"/>
    </row>
    <row r="2792" spans="24:306" ht="15" customHeight="1" x14ac:dyDescent="0.25">
      <c r="X2792" s="2"/>
      <c r="AM2792" s="2"/>
      <c r="EO2792" s="2"/>
      <c r="GT2792" s="155"/>
      <c r="HZ2792" s="2"/>
      <c r="KD2792" s="2"/>
      <c r="KE2792" s="2"/>
    </row>
    <row r="2793" spans="24:306" ht="15" customHeight="1" x14ac:dyDescent="0.25">
      <c r="Y2793" s="2"/>
      <c r="AO2793" s="2"/>
      <c r="ER2793" s="2"/>
      <c r="GY2793" s="155"/>
      <c r="IK2793" s="2"/>
      <c r="KP2793" s="2"/>
    </row>
    <row r="2794" spans="24:306" ht="15" customHeight="1" x14ac:dyDescent="0.25">
      <c r="Y2794" s="2"/>
      <c r="AO2794" s="2"/>
      <c r="ER2794" s="2"/>
      <c r="GY2794" s="155"/>
      <c r="IK2794" s="2"/>
      <c r="KP2794" s="2"/>
      <c r="KQ2794" s="2"/>
    </row>
    <row r="2795" spans="24:306" ht="15" customHeight="1" x14ac:dyDescent="0.25">
      <c r="Y2795" s="2"/>
      <c r="AO2795" s="2"/>
      <c r="ER2795" s="2"/>
      <c r="GY2795" s="155"/>
      <c r="IK2795" s="2"/>
      <c r="KP2795" s="2"/>
      <c r="KQ2795" s="2"/>
    </row>
    <row r="2796" spans="24:306" ht="15" customHeight="1" x14ac:dyDescent="0.25">
      <c r="Y2796" s="2"/>
      <c r="AO2796" s="2"/>
      <c r="ER2796" s="2"/>
      <c r="GY2796" s="155"/>
      <c r="IK2796" s="2"/>
      <c r="KP2796" s="2"/>
      <c r="KQ2796" s="2"/>
    </row>
    <row r="2797" spans="24:306" ht="15" customHeight="1" x14ac:dyDescent="0.25">
      <c r="Y2797" s="2"/>
      <c r="AO2797" s="2"/>
      <c r="ER2797" s="2"/>
      <c r="GY2797" s="155"/>
      <c r="IK2797" s="2"/>
      <c r="KP2797" s="2"/>
      <c r="KQ2797" s="2"/>
    </row>
    <row r="2798" spans="24:306" ht="15" customHeight="1" x14ac:dyDescent="0.25">
      <c r="Y2798" s="2"/>
      <c r="AO2798" s="2"/>
      <c r="ER2798" s="2"/>
      <c r="GY2798" s="155"/>
      <c r="IK2798" s="2"/>
      <c r="KP2798" s="2"/>
      <c r="KQ2798" s="2"/>
    </row>
    <row r="2799" spans="24:306" ht="15" customHeight="1" x14ac:dyDescent="0.25">
      <c r="Y2799" s="2"/>
      <c r="AO2799" s="2"/>
      <c r="ER2799" s="2"/>
      <c r="GY2799" s="155"/>
      <c r="IK2799" s="2"/>
      <c r="KP2799" s="2"/>
      <c r="KQ2799" s="2"/>
      <c r="KR2799" s="2"/>
      <c r="KS2799" s="2"/>
      <c r="KT2799" s="2"/>
    </row>
    <row r="2800" spans="24:306" ht="15" customHeight="1" x14ac:dyDescent="0.25">
      <c r="Y2800" s="2"/>
      <c r="AO2800" s="2"/>
      <c r="ER2800" s="2"/>
      <c r="GY2800" s="155"/>
      <c r="IK2800" s="2"/>
      <c r="KP2800" s="2"/>
      <c r="KQ2800" s="2"/>
    </row>
    <row r="2801" spans="18:303" ht="15" customHeight="1" x14ac:dyDescent="0.25">
      <c r="Y2801" s="2"/>
      <c r="AO2801" s="2"/>
      <c r="ER2801" s="2"/>
      <c r="GY2801" s="155"/>
      <c r="IK2801" s="2"/>
      <c r="KP2801" s="2"/>
      <c r="KQ2801" s="2"/>
    </row>
    <row r="2802" spans="18:303" ht="15" customHeight="1" x14ac:dyDescent="0.25">
      <c r="Y2802" s="2"/>
      <c r="AO2802" s="2"/>
      <c r="ER2802" s="2"/>
      <c r="GY2802" s="155"/>
      <c r="IK2802" s="2"/>
      <c r="KP2802" s="2"/>
    </row>
    <row r="2803" spans="18:303" ht="15" customHeight="1" x14ac:dyDescent="0.25">
      <c r="Y2803" s="2"/>
      <c r="AO2803" s="2"/>
      <c r="ER2803" s="2"/>
      <c r="GY2803" s="155"/>
      <c r="IK2803" s="2"/>
      <c r="KP2803" s="2"/>
    </row>
    <row r="2804" spans="18:303" ht="15" customHeight="1" x14ac:dyDescent="0.25">
      <c r="X2804" s="2"/>
      <c r="AM2804" s="2"/>
      <c r="GT2804" s="155"/>
      <c r="HZ2804" s="2"/>
      <c r="KD2804" s="2"/>
    </row>
    <row r="2805" spans="18:303" ht="15" customHeight="1" x14ac:dyDescent="0.25">
      <c r="X2805" s="2"/>
      <c r="AM2805" s="2"/>
      <c r="GT2805" s="155"/>
      <c r="HZ2805" s="2"/>
      <c r="KD2805" s="2"/>
    </row>
    <row r="2806" spans="18:303" ht="15" customHeight="1" x14ac:dyDescent="0.25">
      <c r="X2806" s="2"/>
      <c r="AM2806" s="2"/>
      <c r="GT2806" s="155"/>
      <c r="HZ2806" s="2"/>
      <c r="KD2806" s="2"/>
    </row>
    <row r="2807" spans="18:303" ht="15" customHeight="1" x14ac:dyDescent="0.25">
      <c r="X2807" s="2"/>
      <c r="AM2807" s="2"/>
      <c r="GT2807" s="155"/>
      <c r="HZ2807" s="2"/>
      <c r="KD2807" s="2"/>
    </row>
    <row r="2808" spans="18:303" ht="15" customHeight="1" x14ac:dyDescent="0.25">
      <c r="X2808" s="2"/>
      <c r="AM2808" s="2"/>
      <c r="GT2808" s="155"/>
      <c r="HZ2808" s="2"/>
      <c r="KD2808" s="2"/>
    </row>
    <row r="2809" spans="18:303" ht="15" customHeight="1" x14ac:dyDescent="0.25">
      <c r="X2809" s="2"/>
      <c r="AM2809" s="2"/>
      <c r="GT2809" s="155"/>
      <c r="HZ2809" s="2"/>
      <c r="KD2809" s="2"/>
    </row>
    <row r="2810" spans="18:303" ht="15" customHeight="1" x14ac:dyDescent="0.25">
      <c r="X2810" s="2"/>
      <c r="AM2810" s="2"/>
      <c r="GT2810" s="155"/>
      <c r="HZ2810" s="2"/>
    </row>
    <row r="2811" spans="18:303" ht="15" customHeight="1" x14ac:dyDescent="0.25">
      <c r="X2811" s="2"/>
      <c r="AM2811" s="2"/>
      <c r="GT2811" s="155"/>
      <c r="HZ2811" s="2"/>
    </row>
    <row r="2812" spans="18:303" ht="15" customHeight="1" x14ac:dyDescent="0.25">
      <c r="X2812" s="2"/>
      <c r="AM2812" s="2"/>
      <c r="GT2812" s="155"/>
      <c r="HZ2812" s="2"/>
      <c r="KD2812" s="2"/>
    </row>
    <row r="2813" spans="18:303" ht="15" customHeight="1" x14ac:dyDescent="0.25">
      <c r="X2813" s="2"/>
      <c r="AM2813" s="2"/>
      <c r="GT2813" s="155"/>
      <c r="HZ2813" s="2"/>
      <c r="KD2813" s="2"/>
    </row>
    <row r="2814" spans="18:303" ht="15" customHeight="1" x14ac:dyDescent="0.25">
      <c r="R2814" s="1"/>
      <c r="T2814" s="1"/>
      <c r="X2814" s="2"/>
      <c r="AM2814" s="2"/>
      <c r="GT2814" s="155"/>
      <c r="HZ2814" s="2"/>
      <c r="KD2814" s="2"/>
      <c r="KE2814" s="2"/>
    </row>
    <row r="2815" spans="18:303" ht="15" customHeight="1" x14ac:dyDescent="0.25">
      <c r="X2815" s="2"/>
      <c r="AM2815" s="2"/>
      <c r="EO2815" s="2"/>
      <c r="GT2815" s="155"/>
      <c r="HZ2815" s="2"/>
      <c r="KD2815" s="2"/>
    </row>
    <row r="2816" spans="18:303" ht="15" customHeight="1" x14ac:dyDescent="0.25">
      <c r="X2816" s="2"/>
      <c r="AM2816" s="2"/>
      <c r="EO2816" s="2"/>
      <c r="GT2816" s="155"/>
      <c r="HZ2816" s="2"/>
      <c r="KD2816" s="2"/>
    </row>
    <row r="2817" spans="24:293" ht="15" customHeight="1" x14ac:dyDescent="0.25">
      <c r="X2817" s="2"/>
      <c r="AM2817" s="2"/>
      <c r="EO2817" s="2"/>
      <c r="GT2817" s="155"/>
      <c r="HZ2817" s="2"/>
      <c r="KD2817" s="2"/>
    </row>
    <row r="2818" spans="24:293" ht="15" customHeight="1" x14ac:dyDescent="0.25">
      <c r="X2818" s="2"/>
      <c r="AM2818" s="2"/>
      <c r="EO2818" s="2"/>
      <c r="GT2818" s="155"/>
      <c r="HZ2818" s="2"/>
      <c r="KD2818" s="2"/>
      <c r="KE2818" s="2"/>
      <c r="KF2818" s="2"/>
      <c r="KG2818" s="2"/>
    </row>
    <row r="2819" spans="24:293" ht="15" customHeight="1" x14ac:dyDescent="0.25">
      <c r="X2819" s="2"/>
      <c r="AM2819" s="2"/>
      <c r="EO2819" s="2"/>
      <c r="GT2819" s="155"/>
      <c r="HZ2819" s="2"/>
      <c r="KD2819" s="2"/>
    </row>
    <row r="2820" spans="24:293" ht="15" customHeight="1" x14ac:dyDescent="0.25">
      <c r="X2820" s="2"/>
      <c r="AM2820" s="2"/>
      <c r="EO2820" s="2"/>
      <c r="GT2820" s="155"/>
      <c r="HZ2820" s="2"/>
      <c r="KD2820" s="2"/>
    </row>
    <row r="2821" spans="24:293" ht="15" customHeight="1" x14ac:dyDescent="0.25">
      <c r="X2821" s="2"/>
      <c r="AM2821" s="2"/>
      <c r="EO2821" s="2"/>
      <c r="GT2821" s="155"/>
      <c r="HZ2821" s="2"/>
      <c r="KD2821" s="2"/>
    </row>
    <row r="2822" spans="24:293" ht="15" customHeight="1" x14ac:dyDescent="0.25">
      <c r="X2822" s="2"/>
      <c r="AM2822" s="2"/>
      <c r="EO2822" s="2"/>
      <c r="GT2822" s="155"/>
      <c r="HZ2822" s="2"/>
      <c r="KD2822" s="2"/>
      <c r="KE2822" s="2"/>
    </row>
    <row r="2823" spans="24:293" ht="15" customHeight="1" x14ac:dyDescent="0.25">
      <c r="X2823" s="2"/>
      <c r="AM2823" s="2"/>
      <c r="EO2823" s="2"/>
      <c r="GT2823" s="155"/>
      <c r="HZ2823" s="2"/>
      <c r="KD2823" s="2"/>
      <c r="KE2823" s="2"/>
      <c r="KF2823" s="2"/>
    </row>
    <row r="2824" spans="24:293" ht="15" customHeight="1" x14ac:dyDescent="0.25">
      <c r="X2824" s="2"/>
      <c r="AM2824" s="2"/>
      <c r="EO2824" s="2"/>
      <c r="GT2824" s="155"/>
      <c r="HZ2824" s="2"/>
      <c r="KD2824" s="2"/>
    </row>
    <row r="2825" spans="24:293" ht="15" customHeight="1" x14ac:dyDescent="0.25">
      <c r="X2825" s="2"/>
      <c r="AM2825" s="2"/>
      <c r="EO2825" s="2"/>
      <c r="GT2825" s="155"/>
      <c r="HZ2825" s="2"/>
      <c r="KD2825" s="2"/>
      <c r="KE2825" s="2"/>
    </row>
    <row r="2826" spans="24:293" ht="15" customHeight="1" x14ac:dyDescent="0.25">
      <c r="X2826" s="2"/>
      <c r="AM2826" s="2"/>
      <c r="EO2826" s="2"/>
      <c r="GT2826" s="155"/>
      <c r="HZ2826" s="2"/>
      <c r="KD2826" s="2"/>
    </row>
    <row r="2827" spans="24:293" ht="15" customHeight="1" x14ac:dyDescent="0.25">
      <c r="X2827" s="2"/>
      <c r="AM2827" s="2"/>
      <c r="EO2827" s="2"/>
      <c r="GT2827" s="155"/>
      <c r="HZ2827" s="2"/>
      <c r="KD2827" s="2"/>
      <c r="KE2827" s="2"/>
      <c r="KF2827" s="2"/>
    </row>
    <row r="2828" spans="24:293" ht="15" customHeight="1" x14ac:dyDescent="0.25">
      <c r="X2828" s="2"/>
      <c r="AM2828" s="2"/>
      <c r="EO2828" s="2"/>
      <c r="GT2828" s="155"/>
      <c r="HZ2828" s="2"/>
      <c r="KD2828" s="2"/>
    </row>
    <row r="2829" spans="24:293" ht="15" customHeight="1" x14ac:dyDescent="0.25">
      <c r="X2829" s="2"/>
      <c r="AM2829" s="2"/>
      <c r="EO2829" s="2"/>
      <c r="GT2829" s="155"/>
      <c r="HZ2829" s="2"/>
      <c r="KD2829" s="2"/>
      <c r="KE2829" s="2"/>
    </row>
    <row r="2830" spans="24:293" ht="15" customHeight="1" x14ac:dyDescent="0.25">
      <c r="X2830" s="2"/>
      <c r="AM2830" s="2"/>
      <c r="EO2830" s="2"/>
      <c r="GT2830" s="155"/>
      <c r="HZ2830" s="2"/>
    </row>
    <row r="2831" spans="24:293" ht="15" customHeight="1" x14ac:dyDescent="0.25">
      <c r="X2831" s="2"/>
      <c r="AM2831" s="2"/>
      <c r="EO2831" s="2"/>
      <c r="GT2831" s="155"/>
      <c r="HZ2831" s="2"/>
    </row>
    <row r="2832" spans="24:293" ht="15" customHeight="1" x14ac:dyDescent="0.25">
      <c r="X2832" s="2"/>
      <c r="AM2832" s="2"/>
      <c r="EO2832" s="2"/>
      <c r="GT2832" s="155"/>
      <c r="HZ2832" s="2"/>
    </row>
    <row r="2833" spans="24:294" ht="15" customHeight="1" x14ac:dyDescent="0.25">
      <c r="X2833" s="2"/>
      <c r="AM2833" s="2"/>
      <c r="EO2833" s="2"/>
      <c r="GT2833" s="155"/>
      <c r="HZ2833" s="2"/>
      <c r="KD2833" s="2"/>
    </row>
    <row r="2834" spans="24:294" ht="15" customHeight="1" x14ac:dyDescent="0.25">
      <c r="X2834" s="2"/>
      <c r="AM2834" s="2"/>
      <c r="EO2834" s="2"/>
      <c r="GT2834" s="155"/>
      <c r="HZ2834" s="2"/>
    </row>
    <row r="2835" spans="24:294" ht="15" customHeight="1" x14ac:dyDescent="0.25">
      <c r="X2835" s="2"/>
      <c r="AM2835" s="2"/>
      <c r="EO2835" s="2"/>
      <c r="GT2835" s="155"/>
      <c r="HZ2835" s="2"/>
    </row>
    <row r="2836" spans="24:294" ht="15" customHeight="1" x14ac:dyDescent="0.25">
      <c r="X2836" s="2"/>
      <c r="AM2836" s="2"/>
      <c r="EO2836" s="2"/>
      <c r="GT2836" s="155"/>
      <c r="HZ2836" s="2"/>
    </row>
    <row r="2837" spans="24:294" ht="15" customHeight="1" x14ac:dyDescent="0.25">
      <c r="X2837" s="2"/>
      <c r="AM2837" s="2"/>
      <c r="EO2837" s="2"/>
      <c r="GT2837" s="155"/>
      <c r="HZ2837" s="2"/>
    </row>
    <row r="2838" spans="24:294" ht="15" customHeight="1" x14ac:dyDescent="0.25">
      <c r="X2838" s="2"/>
      <c r="AM2838" s="2"/>
      <c r="EO2838" s="2"/>
      <c r="GT2838" s="155"/>
      <c r="HZ2838" s="2"/>
      <c r="KD2838" s="2"/>
      <c r="KE2838" s="2"/>
    </row>
    <row r="2839" spans="24:294" ht="15" customHeight="1" x14ac:dyDescent="0.25">
      <c r="X2839" s="2"/>
      <c r="AM2839" s="2"/>
      <c r="EO2839" s="2"/>
      <c r="GT2839" s="155"/>
      <c r="HZ2839" s="2"/>
      <c r="KD2839" s="2"/>
    </row>
    <row r="2840" spans="24:294" ht="15" customHeight="1" x14ac:dyDescent="0.25">
      <c r="X2840" s="2"/>
      <c r="AM2840" s="2"/>
      <c r="EO2840" s="2"/>
      <c r="GT2840" s="155"/>
      <c r="HZ2840" s="2"/>
      <c r="KD2840" s="2"/>
      <c r="KE2840" s="2"/>
      <c r="KF2840" s="2"/>
      <c r="KG2840" s="2"/>
      <c r="KH2840" s="2"/>
    </row>
    <row r="2841" spans="24:294" ht="15" customHeight="1" x14ac:dyDescent="0.25">
      <c r="X2841" s="2"/>
      <c r="AM2841" s="2"/>
      <c r="EO2841" s="2"/>
      <c r="GT2841" s="155"/>
      <c r="HZ2841" s="2"/>
      <c r="KD2841" s="2"/>
      <c r="KE2841" s="2"/>
      <c r="KF2841" s="2"/>
    </row>
    <row r="2842" spans="24:294" ht="15" customHeight="1" x14ac:dyDescent="0.25">
      <c r="X2842" s="2"/>
      <c r="AM2842" s="2"/>
      <c r="EO2842" s="2"/>
      <c r="GT2842" s="155"/>
      <c r="HZ2842" s="2"/>
      <c r="KD2842" s="2"/>
    </row>
    <row r="2843" spans="24:294" ht="15" customHeight="1" x14ac:dyDescent="0.25">
      <c r="X2843" s="2"/>
      <c r="AM2843" s="2"/>
      <c r="EO2843" s="2"/>
      <c r="GT2843" s="155"/>
      <c r="HZ2843" s="2"/>
      <c r="KD2843" s="2"/>
    </row>
    <row r="2844" spans="24:294" ht="15" customHeight="1" x14ac:dyDescent="0.25">
      <c r="X2844" s="2"/>
      <c r="AM2844" s="2"/>
      <c r="EO2844" s="2"/>
      <c r="GT2844" s="155"/>
      <c r="HZ2844" s="2"/>
      <c r="KD2844" s="2"/>
    </row>
    <row r="2845" spans="24:294" ht="15" customHeight="1" x14ac:dyDescent="0.25">
      <c r="X2845" s="2"/>
      <c r="AM2845" s="2"/>
      <c r="EO2845" s="2"/>
      <c r="GT2845" s="155"/>
      <c r="HZ2845" s="2"/>
      <c r="KD2845" s="2"/>
    </row>
    <row r="2846" spans="24:294" ht="15" customHeight="1" x14ac:dyDescent="0.25">
      <c r="X2846" s="2"/>
      <c r="AM2846" s="2"/>
      <c r="EO2846" s="2"/>
      <c r="GT2846" s="155"/>
      <c r="HZ2846" s="2"/>
      <c r="KD2846" s="2"/>
      <c r="KE2846" s="2"/>
      <c r="KF2846" s="2"/>
      <c r="KG2846" s="2"/>
    </row>
    <row r="2847" spans="24:294" ht="15" customHeight="1" x14ac:dyDescent="0.25">
      <c r="X2847" s="2"/>
      <c r="AM2847" s="2"/>
      <c r="EO2847" s="2"/>
      <c r="GT2847" s="155"/>
      <c r="HZ2847" s="2"/>
      <c r="KD2847" s="2"/>
      <c r="KE2847" s="2"/>
    </row>
    <row r="2848" spans="24:294" ht="15" customHeight="1" x14ac:dyDescent="0.25">
      <c r="X2848" s="2"/>
      <c r="AM2848" s="2"/>
      <c r="EO2848" s="2"/>
      <c r="GT2848" s="155"/>
      <c r="HZ2848" s="2"/>
    </row>
    <row r="2849" spans="24:293" ht="15" customHeight="1" x14ac:dyDescent="0.25">
      <c r="X2849" s="2"/>
      <c r="AM2849" s="2"/>
      <c r="EO2849" s="2"/>
      <c r="GT2849" s="155"/>
      <c r="HZ2849" s="2"/>
      <c r="KD2849" s="2"/>
    </row>
    <row r="2850" spans="24:293" ht="15" customHeight="1" x14ac:dyDescent="0.25">
      <c r="X2850" s="2"/>
      <c r="AM2850" s="2"/>
      <c r="EO2850" s="2"/>
      <c r="GT2850" s="155"/>
      <c r="HZ2850" s="2"/>
    </row>
    <row r="2851" spans="24:293" ht="15" customHeight="1" x14ac:dyDescent="0.25">
      <c r="X2851" s="2"/>
      <c r="AM2851" s="2"/>
      <c r="EO2851" s="2"/>
      <c r="GT2851" s="155"/>
      <c r="HZ2851" s="2"/>
      <c r="KD2851" s="2"/>
      <c r="KE2851" s="2"/>
    </row>
    <row r="2852" spans="24:293" ht="15" customHeight="1" x14ac:dyDescent="0.25">
      <c r="X2852" s="2"/>
      <c r="AM2852" s="2"/>
      <c r="EO2852" s="2"/>
      <c r="GT2852" s="155"/>
      <c r="HZ2852" s="2"/>
      <c r="KD2852" s="2"/>
      <c r="KE2852" s="2"/>
    </row>
    <row r="2853" spans="24:293" ht="15" customHeight="1" x14ac:dyDescent="0.25">
      <c r="X2853" s="2"/>
      <c r="AM2853" s="2"/>
      <c r="EO2853" s="2"/>
      <c r="GT2853" s="155"/>
      <c r="HZ2853" s="2"/>
    </row>
    <row r="2854" spans="24:293" ht="15" customHeight="1" x14ac:dyDescent="0.25">
      <c r="X2854" s="2"/>
      <c r="AM2854" s="2"/>
      <c r="EO2854" s="2"/>
      <c r="GT2854" s="155"/>
      <c r="HZ2854" s="2"/>
    </row>
    <row r="2855" spans="24:293" ht="15" customHeight="1" x14ac:dyDescent="0.25">
      <c r="X2855" s="2"/>
      <c r="AM2855" s="2"/>
      <c r="EO2855" s="2"/>
      <c r="GT2855" s="155"/>
      <c r="HZ2855" s="2"/>
      <c r="KD2855" s="2"/>
    </row>
    <row r="2856" spans="24:293" ht="15" customHeight="1" x14ac:dyDescent="0.25">
      <c r="X2856" s="2"/>
      <c r="AM2856" s="2"/>
      <c r="EO2856" s="2"/>
      <c r="GT2856" s="155"/>
      <c r="HZ2856" s="2"/>
    </row>
    <row r="2857" spans="24:293" ht="15" customHeight="1" x14ac:dyDescent="0.25">
      <c r="X2857" s="2"/>
      <c r="AM2857" s="2"/>
      <c r="EO2857" s="2"/>
      <c r="GT2857" s="155"/>
      <c r="HZ2857" s="2"/>
      <c r="KD2857" s="2"/>
    </row>
    <row r="2858" spans="24:293" ht="15" customHeight="1" x14ac:dyDescent="0.25">
      <c r="X2858" s="2"/>
      <c r="AM2858" s="2"/>
      <c r="EO2858" s="2"/>
      <c r="GT2858" s="155"/>
      <c r="HZ2858" s="2"/>
      <c r="KD2858" s="2"/>
      <c r="KE2858" s="2"/>
      <c r="KF2858" s="2"/>
      <c r="KG2858" s="2"/>
    </row>
    <row r="2859" spans="24:293" ht="15" customHeight="1" x14ac:dyDescent="0.25">
      <c r="X2859" s="2"/>
      <c r="AM2859" s="2"/>
      <c r="EO2859" s="2"/>
      <c r="GT2859" s="155"/>
      <c r="HZ2859" s="2"/>
    </row>
    <row r="2860" spans="24:293" ht="15" customHeight="1" x14ac:dyDescent="0.25">
      <c r="X2860" s="2"/>
      <c r="AM2860" s="2"/>
      <c r="EO2860" s="2"/>
      <c r="GT2860" s="155"/>
      <c r="HZ2860" s="2"/>
      <c r="KD2860" s="2"/>
      <c r="KE2860" s="2"/>
      <c r="KF2860" s="2"/>
    </row>
    <row r="2861" spans="24:293" ht="15" customHeight="1" x14ac:dyDescent="0.25">
      <c r="X2861" s="2"/>
      <c r="AM2861" s="2"/>
      <c r="EO2861" s="2"/>
      <c r="GT2861" s="155"/>
      <c r="HZ2861" s="2"/>
      <c r="KD2861" s="2"/>
    </row>
    <row r="2862" spans="24:293" ht="15" customHeight="1" x14ac:dyDescent="0.25">
      <c r="X2862" s="2"/>
      <c r="AM2862" s="2"/>
      <c r="EO2862" s="2"/>
      <c r="GT2862" s="155"/>
      <c r="HZ2862" s="2"/>
      <c r="KD2862" s="2"/>
      <c r="KE2862" s="2"/>
      <c r="KF2862" s="2"/>
    </row>
    <row r="2863" spans="24:293" ht="15" customHeight="1" x14ac:dyDescent="0.25">
      <c r="X2863" s="2"/>
      <c r="AM2863" s="2"/>
      <c r="EO2863" s="2"/>
      <c r="GT2863" s="155"/>
      <c r="HZ2863" s="2"/>
      <c r="KD2863" s="2"/>
      <c r="KE2863" s="2"/>
    </row>
    <row r="2864" spans="24:293" ht="15" customHeight="1" x14ac:dyDescent="0.25">
      <c r="X2864" s="2"/>
      <c r="AM2864" s="2"/>
      <c r="EO2864" s="2"/>
      <c r="GT2864" s="155"/>
      <c r="HZ2864" s="2"/>
      <c r="KD2864" s="2"/>
      <c r="KE2864" s="2"/>
      <c r="KF2864" s="2"/>
    </row>
    <row r="2865" spans="24:303" ht="15" customHeight="1" x14ac:dyDescent="0.25">
      <c r="X2865" s="2"/>
      <c r="AM2865" s="2"/>
      <c r="EO2865" s="2"/>
      <c r="GT2865" s="155"/>
      <c r="HZ2865" s="2"/>
      <c r="KD2865" s="2"/>
      <c r="KE2865" s="2"/>
      <c r="KF2865" s="2"/>
      <c r="KG2865" s="2"/>
    </row>
    <row r="2866" spans="24:303" ht="15" customHeight="1" x14ac:dyDescent="0.25">
      <c r="X2866" s="2"/>
      <c r="AM2866" s="2"/>
      <c r="EO2866" s="2"/>
      <c r="GT2866" s="155"/>
      <c r="HZ2866" s="2"/>
      <c r="KD2866" s="2"/>
      <c r="KE2866" s="2"/>
    </row>
    <row r="2867" spans="24:303" ht="15" customHeight="1" x14ac:dyDescent="0.25">
      <c r="X2867" s="2"/>
      <c r="AM2867" s="2"/>
      <c r="EO2867" s="2"/>
      <c r="GT2867" s="155"/>
      <c r="HZ2867" s="2"/>
      <c r="KD2867" s="2"/>
      <c r="KE2867" s="2"/>
    </row>
    <row r="2868" spans="24:303" ht="15" customHeight="1" x14ac:dyDescent="0.25">
      <c r="X2868" s="2"/>
      <c r="AM2868" s="2"/>
      <c r="EO2868" s="2"/>
      <c r="GT2868" s="155"/>
      <c r="HZ2868" s="2"/>
      <c r="KD2868" s="2"/>
      <c r="KE2868" s="2"/>
      <c r="KF2868" s="2"/>
    </row>
    <row r="2869" spans="24:303" ht="15" customHeight="1" x14ac:dyDescent="0.25">
      <c r="X2869" s="2"/>
      <c r="AM2869" s="2"/>
      <c r="EO2869" s="2"/>
      <c r="GT2869" s="155"/>
      <c r="HZ2869" s="2"/>
      <c r="KD2869" s="2"/>
      <c r="KE2869" s="2"/>
    </row>
    <row r="2870" spans="24:303" ht="15" customHeight="1" x14ac:dyDescent="0.25">
      <c r="X2870" s="2"/>
      <c r="AM2870" s="2"/>
      <c r="EO2870" s="2"/>
      <c r="GT2870" s="155"/>
      <c r="HZ2870" s="2"/>
      <c r="KD2870" s="2"/>
      <c r="KE2870" s="2"/>
    </row>
    <row r="2871" spans="24:303" ht="15" customHeight="1" x14ac:dyDescent="0.25">
      <c r="X2871" s="2"/>
      <c r="AM2871" s="2"/>
      <c r="EO2871" s="2"/>
      <c r="GT2871" s="155"/>
      <c r="HZ2871" s="2"/>
      <c r="KD2871" s="2"/>
      <c r="KE2871" s="2"/>
    </row>
    <row r="2872" spans="24:303" ht="15" customHeight="1" x14ac:dyDescent="0.25">
      <c r="X2872" s="2"/>
      <c r="AM2872" s="2"/>
      <c r="EO2872" s="2"/>
      <c r="GT2872" s="155"/>
      <c r="HZ2872" s="2"/>
      <c r="KD2872" s="2"/>
      <c r="KE2872" s="2"/>
      <c r="KF2872" s="2"/>
      <c r="KG2872" s="2"/>
      <c r="KH2872" s="2"/>
      <c r="KI2872" s="2"/>
    </row>
    <row r="2873" spans="24:303" ht="15" customHeight="1" x14ac:dyDescent="0.25">
      <c r="X2873" s="2"/>
      <c r="AM2873" s="2"/>
      <c r="EO2873" s="2"/>
      <c r="GT2873" s="155"/>
      <c r="HZ2873" s="2"/>
      <c r="KD2873" s="2"/>
      <c r="KE2873" s="2"/>
      <c r="KF2873" s="2"/>
      <c r="KG2873" s="2"/>
      <c r="KH2873" s="2"/>
    </row>
    <row r="2874" spans="24:303" ht="15" customHeight="1" x14ac:dyDescent="0.25">
      <c r="X2874" s="2"/>
      <c r="AM2874" s="2"/>
      <c r="EO2874" s="2"/>
      <c r="GT2874" s="155"/>
      <c r="HZ2874" s="2"/>
      <c r="KD2874" s="2"/>
      <c r="KE2874" s="2"/>
    </row>
    <row r="2875" spans="24:303" ht="15" customHeight="1" x14ac:dyDescent="0.25">
      <c r="Y2875" s="2"/>
      <c r="AO2875" s="2"/>
      <c r="ER2875" s="2"/>
      <c r="GY2875" s="155"/>
      <c r="IK2875" s="2"/>
      <c r="KP2875" s="2"/>
    </row>
    <row r="2876" spans="24:303" ht="15" customHeight="1" x14ac:dyDescent="0.25">
      <c r="Y2876" s="2"/>
      <c r="AO2876" s="2"/>
      <c r="ER2876" s="2"/>
      <c r="GY2876" s="155"/>
      <c r="IK2876" s="2"/>
      <c r="KP2876" s="2"/>
      <c r="KQ2876" s="2"/>
    </row>
    <row r="2877" spans="24:303" ht="15" customHeight="1" x14ac:dyDescent="0.25">
      <c r="Y2877" s="2"/>
      <c r="AO2877" s="2"/>
      <c r="ER2877" s="2"/>
      <c r="GY2877" s="155"/>
      <c r="IK2877" s="2"/>
    </row>
    <row r="2878" spans="24:303" ht="15" customHeight="1" x14ac:dyDescent="0.25">
      <c r="Y2878" s="2"/>
      <c r="AO2878" s="2"/>
      <c r="ER2878" s="2"/>
      <c r="GY2878" s="155"/>
      <c r="IK2878" s="2"/>
      <c r="KP2878" s="2"/>
    </row>
    <row r="2879" spans="24:303" ht="15" customHeight="1" x14ac:dyDescent="0.25">
      <c r="X2879" s="2"/>
      <c r="AM2879" s="2"/>
      <c r="GT2879" s="155"/>
      <c r="HZ2879" s="2"/>
    </row>
    <row r="2880" spans="24:303" ht="15" customHeight="1" x14ac:dyDescent="0.25">
      <c r="X2880" s="2"/>
      <c r="AM2880" s="2"/>
      <c r="GT2880" s="155"/>
      <c r="HZ2880" s="2"/>
      <c r="KD2880" s="2"/>
    </row>
    <row r="2881" spans="24:292" ht="15" customHeight="1" x14ac:dyDescent="0.25">
      <c r="X2881" s="2"/>
      <c r="AM2881" s="2"/>
      <c r="GT2881" s="155"/>
      <c r="HZ2881" s="2"/>
      <c r="KD2881" s="2"/>
    </row>
    <row r="2882" spans="24:292" ht="15" customHeight="1" x14ac:dyDescent="0.25">
      <c r="X2882" s="2"/>
      <c r="AM2882" s="2"/>
      <c r="GT2882" s="155"/>
      <c r="HZ2882" s="2"/>
      <c r="KD2882" s="2"/>
      <c r="KE2882" s="2"/>
    </row>
    <row r="2883" spans="24:292" ht="15" customHeight="1" x14ac:dyDescent="0.25">
      <c r="X2883" s="2"/>
      <c r="AM2883" s="2"/>
      <c r="GT2883" s="155"/>
      <c r="HZ2883" s="2"/>
    </row>
    <row r="2884" spans="24:292" ht="15" customHeight="1" x14ac:dyDescent="0.25">
      <c r="X2884" s="2"/>
      <c r="AM2884" s="2"/>
      <c r="GT2884" s="155"/>
      <c r="HZ2884" s="2"/>
      <c r="KD2884" s="2"/>
    </row>
    <row r="2885" spans="24:292" ht="15" customHeight="1" x14ac:dyDescent="0.25">
      <c r="X2885" s="2"/>
      <c r="AM2885" s="2"/>
      <c r="GT2885" s="155"/>
      <c r="HZ2885" s="2"/>
      <c r="KD2885" s="2"/>
      <c r="KE2885" s="2"/>
    </row>
    <row r="2886" spans="24:292" ht="15" customHeight="1" x14ac:dyDescent="0.25">
      <c r="X2886" s="2"/>
      <c r="AM2886" s="2"/>
      <c r="GT2886" s="155"/>
      <c r="HZ2886" s="2"/>
      <c r="KD2886" s="2"/>
    </row>
    <row r="2887" spans="24:292" ht="15" customHeight="1" x14ac:dyDescent="0.25">
      <c r="X2887" s="2"/>
      <c r="AM2887" s="2"/>
      <c r="GT2887" s="155"/>
      <c r="HZ2887" s="2"/>
      <c r="KD2887" s="2"/>
    </row>
    <row r="2888" spans="24:292" ht="15" customHeight="1" x14ac:dyDescent="0.25">
      <c r="X2888" s="2"/>
      <c r="AM2888" s="2"/>
      <c r="GT2888" s="155"/>
      <c r="HZ2888" s="2"/>
      <c r="KD2888" s="2"/>
    </row>
    <row r="2889" spans="24:292" ht="15" customHeight="1" x14ac:dyDescent="0.25">
      <c r="X2889" s="2"/>
      <c r="AM2889" s="2"/>
      <c r="GT2889" s="155"/>
      <c r="HZ2889" s="2"/>
      <c r="KD2889" s="2"/>
    </row>
    <row r="2890" spans="24:292" ht="15" customHeight="1" x14ac:dyDescent="0.25">
      <c r="X2890" s="2"/>
      <c r="AM2890" s="2"/>
      <c r="GT2890" s="155"/>
      <c r="HZ2890" s="2"/>
      <c r="KD2890" s="2"/>
    </row>
    <row r="2891" spans="24:292" ht="15" customHeight="1" x14ac:dyDescent="0.25">
      <c r="X2891" s="2"/>
      <c r="AM2891" s="2"/>
      <c r="GT2891" s="155"/>
      <c r="HZ2891" s="2"/>
      <c r="KD2891" s="2"/>
    </row>
    <row r="2892" spans="24:292" ht="15" customHeight="1" x14ac:dyDescent="0.25">
      <c r="X2892" s="2"/>
      <c r="AM2892" s="2"/>
      <c r="GT2892" s="155"/>
      <c r="HZ2892" s="2"/>
      <c r="KD2892" s="2"/>
    </row>
    <row r="2893" spans="24:292" ht="15" customHeight="1" x14ac:dyDescent="0.25">
      <c r="X2893" s="2"/>
      <c r="AM2893" s="2"/>
      <c r="GT2893" s="155"/>
      <c r="HZ2893" s="2"/>
      <c r="KD2893" s="2"/>
      <c r="KE2893" s="2"/>
    </row>
    <row r="2894" spans="24:292" ht="15" customHeight="1" x14ac:dyDescent="0.25">
      <c r="X2894" s="2"/>
      <c r="AM2894" s="2"/>
      <c r="GT2894" s="155"/>
      <c r="HZ2894" s="2"/>
      <c r="KD2894" s="2"/>
    </row>
    <row r="2895" spans="24:292" ht="15" customHeight="1" x14ac:dyDescent="0.25">
      <c r="X2895" s="2"/>
      <c r="AM2895" s="2"/>
      <c r="GT2895" s="155"/>
      <c r="HZ2895" s="2"/>
      <c r="KD2895" s="2"/>
    </row>
    <row r="2896" spans="24:292" ht="15" customHeight="1" x14ac:dyDescent="0.25">
      <c r="X2896" s="2"/>
      <c r="AM2896" s="2"/>
      <c r="GT2896" s="155"/>
      <c r="HZ2896" s="2"/>
      <c r="KD2896" s="2"/>
      <c r="KE2896" s="2"/>
      <c r="KF2896" s="2"/>
    </row>
    <row r="2897" spans="24:293" ht="15" customHeight="1" x14ac:dyDescent="0.25">
      <c r="X2897" s="2"/>
      <c r="AM2897" s="2"/>
      <c r="GT2897" s="155"/>
      <c r="HZ2897" s="2"/>
      <c r="KD2897" s="2"/>
      <c r="KE2897" s="2"/>
    </row>
    <row r="2898" spans="24:293" ht="15" customHeight="1" x14ac:dyDescent="0.25">
      <c r="X2898" s="2"/>
      <c r="AM2898" s="2"/>
      <c r="EO2898" s="2"/>
      <c r="GT2898" s="155"/>
      <c r="HZ2898" s="2"/>
      <c r="KD2898" s="2"/>
      <c r="KE2898" s="2"/>
      <c r="KF2898" s="2"/>
    </row>
    <row r="2899" spans="24:293" ht="15" customHeight="1" x14ac:dyDescent="0.25">
      <c r="X2899" s="2"/>
      <c r="AM2899" s="2"/>
      <c r="EO2899" s="2"/>
      <c r="GT2899" s="155"/>
      <c r="HZ2899" s="2"/>
      <c r="KD2899" s="2"/>
      <c r="KE2899" s="2"/>
      <c r="KF2899" s="2"/>
    </row>
    <row r="2900" spans="24:293" ht="15" customHeight="1" x14ac:dyDescent="0.25">
      <c r="X2900" s="2"/>
      <c r="AM2900" s="2"/>
      <c r="EO2900" s="2"/>
      <c r="GT2900" s="155"/>
      <c r="HZ2900" s="2"/>
      <c r="KD2900" s="2"/>
    </row>
    <row r="2901" spans="24:293" ht="15" customHeight="1" x14ac:dyDescent="0.25">
      <c r="X2901" s="2"/>
      <c r="AM2901" s="2"/>
      <c r="EO2901" s="2"/>
      <c r="GT2901" s="155"/>
      <c r="HZ2901" s="2"/>
      <c r="KD2901" s="2"/>
    </row>
    <row r="2902" spans="24:293" ht="15" customHeight="1" x14ac:dyDescent="0.25">
      <c r="X2902" s="2"/>
      <c r="AM2902" s="2"/>
      <c r="EO2902" s="2"/>
      <c r="GT2902" s="155"/>
      <c r="HZ2902" s="2"/>
      <c r="KD2902" s="2"/>
    </row>
    <row r="2903" spans="24:293" ht="15" customHeight="1" x14ac:dyDescent="0.25">
      <c r="X2903" s="2"/>
      <c r="AM2903" s="2"/>
      <c r="EO2903" s="2"/>
      <c r="GT2903" s="155"/>
      <c r="HZ2903" s="2"/>
    </row>
    <row r="2904" spans="24:293" ht="15" customHeight="1" x14ac:dyDescent="0.25">
      <c r="X2904" s="2"/>
      <c r="AM2904" s="2"/>
      <c r="EO2904" s="2"/>
      <c r="GT2904" s="155"/>
      <c r="HZ2904" s="2"/>
      <c r="KD2904" s="2"/>
      <c r="KE2904" s="2"/>
      <c r="KF2904" s="2"/>
      <c r="KG2904" s="2"/>
    </row>
    <row r="2905" spans="24:293" ht="15" customHeight="1" x14ac:dyDescent="0.25">
      <c r="X2905" s="2"/>
      <c r="AM2905" s="2"/>
      <c r="EO2905" s="2"/>
      <c r="GT2905" s="155"/>
      <c r="HZ2905" s="2"/>
      <c r="KD2905" s="2"/>
      <c r="KE2905" s="2"/>
    </row>
    <row r="2906" spans="24:293" ht="15" customHeight="1" x14ac:dyDescent="0.25">
      <c r="X2906" s="2"/>
      <c r="AM2906" s="2"/>
      <c r="EO2906" s="2"/>
      <c r="GT2906" s="155"/>
      <c r="HZ2906" s="2"/>
      <c r="KD2906" s="2"/>
      <c r="KE2906" s="2"/>
    </row>
    <row r="2907" spans="24:293" ht="15" customHeight="1" x14ac:dyDescent="0.25">
      <c r="X2907" s="2"/>
      <c r="AM2907" s="2"/>
      <c r="EO2907" s="2"/>
      <c r="GT2907" s="155"/>
      <c r="HZ2907" s="2"/>
      <c r="KD2907" s="2"/>
      <c r="KE2907" s="2"/>
    </row>
    <row r="2908" spans="24:293" ht="15" customHeight="1" x14ac:dyDescent="0.25">
      <c r="X2908" s="2"/>
      <c r="AM2908" s="2"/>
      <c r="EO2908" s="2"/>
      <c r="GT2908" s="155"/>
      <c r="HZ2908" s="2"/>
    </row>
    <row r="2909" spans="24:293" ht="15" customHeight="1" x14ac:dyDescent="0.25">
      <c r="X2909" s="2"/>
      <c r="AM2909" s="2"/>
      <c r="EO2909" s="2"/>
      <c r="GT2909" s="155"/>
      <c r="HZ2909" s="2"/>
    </row>
    <row r="2910" spans="24:293" ht="15" customHeight="1" x14ac:dyDescent="0.25">
      <c r="X2910" s="2"/>
      <c r="AM2910" s="2"/>
      <c r="EO2910" s="2"/>
      <c r="GT2910" s="155"/>
      <c r="HZ2910" s="2"/>
    </row>
    <row r="2911" spans="24:293" ht="15" customHeight="1" x14ac:dyDescent="0.25">
      <c r="X2911" s="2"/>
      <c r="AM2911" s="2"/>
      <c r="EO2911" s="2"/>
      <c r="GT2911" s="155"/>
      <c r="HZ2911" s="2"/>
    </row>
    <row r="2912" spans="24:293" ht="15" customHeight="1" x14ac:dyDescent="0.25">
      <c r="X2912" s="2"/>
      <c r="AM2912" s="2"/>
      <c r="EO2912" s="2"/>
      <c r="GT2912" s="155"/>
      <c r="HZ2912" s="2"/>
      <c r="KD2912" s="2"/>
    </row>
    <row r="2913" spans="24:292" ht="15" customHeight="1" x14ac:dyDescent="0.25">
      <c r="X2913" s="2"/>
      <c r="AM2913" s="2"/>
      <c r="EO2913" s="2"/>
      <c r="GT2913" s="155"/>
      <c r="HZ2913" s="2"/>
    </row>
    <row r="2914" spans="24:292" ht="15" customHeight="1" x14ac:dyDescent="0.25">
      <c r="X2914" s="2"/>
      <c r="AM2914" s="2"/>
      <c r="EO2914" s="2"/>
      <c r="GT2914" s="155"/>
      <c r="HZ2914" s="2"/>
    </row>
    <row r="2915" spans="24:292" ht="15" customHeight="1" x14ac:dyDescent="0.25">
      <c r="X2915" s="2"/>
      <c r="AM2915" s="2"/>
      <c r="EO2915" s="2"/>
      <c r="GT2915" s="155"/>
      <c r="HZ2915" s="2"/>
      <c r="KD2915" s="2"/>
      <c r="KE2915" s="2"/>
    </row>
    <row r="2916" spans="24:292" ht="15" customHeight="1" x14ac:dyDescent="0.25">
      <c r="X2916" s="2"/>
      <c r="AM2916" s="2"/>
      <c r="EO2916" s="2"/>
      <c r="GT2916" s="155"/>
      <c r="HZ2916" s="2"/>
      <c r="KD2916" s="2"/>
    </row>
    <row r="2917" spans="24:292" ht="15" customHeight="1" x14ac:dyDescent="0.25">
      <c r="X2917" s="2"/>
      <c r="AM2917" s="2"/>
      <c r="EO2917" s="2"/>
      <c r="GT2917" s="155"/>
      <c r="HZ2917" s="2"/>
    </row>
    <row r="2918" spans="24:292" ht="15" customHeight="1" x14ac:dyDescent="0.25">
      <c r="X2918" s="2"/>
      <c r="AM2918" s="2"/>
      <c r="EO2918" s="2"/>
      <c r="GT2918" s="155"/>
      <c r="HZ2918" s="2"/>
      <c r="KD2918" s="2"/>
      <c r="KE2918" s="2"/>
    </row>
    <row r="2919" spans="24:292" ht="15" customHeight="1" x14ac:dyDescent="0.25">
      <c r="X2919" s="2"/>
      <c r="AM2919" s="2"/>
      <c r="EO2919" s="2"/>
      <c r="GT2919" s="155"/>
      <c r="HZ2919" s="2"/>
      <c r="KD2919" s="2"/>
      <c r="KE2919" s="2"/>
    </row>
    <row r="2920" spans="24:292" ht="15" customHeight="1" x14ac:dyDescent="0.25">
      <c r="X2920" s="2"/>
      <c r="AM2920" s="2"/>
      <c r="EO2920" s="2"/>
      <c r="GT2920" s="155"/>
      <c r="HZ2920" s="2"/>
      <c r="KD2920" s="2"/>
    </row>
    <row r="2921" spans="24:292" ht="15" customHeight="1" x14ac:dyDescent="0.25">
      <c r="X2921" s="2"/>
      <c r="AM2921" s="2"/>
      <c r="EO2921" s="2"/>
      <c r="GT2921" s="155"/>
      <c r="HZ2921" s="2"/>
      <c r="KD2921" s="2"/>
      <c r="KE2921" s="2"/>
    </row>
    <row r="2922" spans="24:292" ht="15" customHeight="1" x14ac:dyDescent="0.25">
      <c r="X2922" s="2"/>
      <c r="AM2922" s="2"/>
      <c r="EO2922" s="2"/>
      <c r="GT2922" s="155"/>
      <c r="HZ2922" s="2"/>
      <c r="KD2922" s="2"/>
    </row>
    <row r="2923" spans="24:292" ht="15" customHeight="1" x14ac:dyDescent="0.25">
      <c r="X2923" s="2"/>
      <c r="AM2923" s="2"/>
      <c r="EO2923" s="2"/>
      <c r="GT2923" s="155"/>
      <c r="HZ2923" s="2"/>
      <c r="KD2923" s="2"/>
      <c r="KE2923" s="2"/>
    </row>
    <row r="2924" spans="24:292" ht="15" customHeight="1" x14ac:dyDescent="0.25">
      <c r="X2924" s="2"/>
      <c r="AM2924" s="2"/>
      <c r="EO2924" s="2"/>
      <c r="GT2924" s="155"/>
      <c r="HZ2924" s="2"/>
      <c r="KD2924" s="2"/>
    </row>
    <row r="2925" spans="24:292" ht="15" customHeight="1" x14ac:dyDescent="0.25">
      <c r="X2925" s="2"/>
      <c r="AM2925" s="2"/>
      <c r="EO2925" s="2"/>
      <c r="GT2925" s="155"/>
      <c r="HZ2925" s="2"/>
      <c r="KD2925" s="2"/>
    </row>
    <row r="2926" spans="24:292" ht="15" customHeight="1" x14ac:dyDescent="0.25">
      <c r="X2926" s="2"/>
      <c r="AM2926" s="2"/>
      <c r="EO2926" s="2"/>
      <c r="GT2926" s="155"/>
      <c r="HZ2926" s="2"/>
      <c r="KD2926" s="2"/>
    </row>
    <row r="2927" spans="24:292" ht="15" customHeight="1" x14ac:dyDescent="0.25">
      <c r="X2927" s="2"/>
      <c r="AM2927" s="2"/>
      <c r="EO2927" s="2"/>
      <c r="GT2927" s="155"/>
      <c r="HZ2927" s="2"/>
    </row>
    <row r="2928" spans="24:292" ht="15" customHeight="1" x14ac:dyDescent="0.25">
      <c r="X2928" s="2"/>
      <c r="AM2928" s="2"/>
      <c r="EO2928" s="2"/>
      <c r="GT2928" s="155"/>
      <c r="HZ2928" s="2"/>
      <c r="KD2928" s="2"/>
      <c r="KE2928" s="2"/>
      <c r="KF2928" s="2"/>
    </row>
    <row r="2929" spans="24:293" ht="15" customHeight="1" x14ac:dyDescent="0.25">
      <c r="X2929" s="2"/>
      <c r="AM2929" s="2"/>
      <c r="EO2929" s="2"/>
      <c r="GT2929" s="155"/>
      <c r="HZ2929" s="2"/>
      <c r="KD2929" s="2"/>
      <c r="KE2929" s="2"/>
    </row>
    <row r="2930" spans="24:293" ht="15" customHeight="1" x14ac:dyDescent="0.25">
      <c r="X2930" s="2"/>
      <c r="AM2930" s="2"/>
      <c r="EO2930" s="2"/>
      <c r="GT2930" s="155"/>
      <c r="HZ2930" s="2"/>
      <c r="KD2930" s="2"/>
      <c r="KE2930" s="2"/>
      <c r="KF2930" s="2"/>
      <c r="KG2930" s="2"/>
    </row>
    <row r="2931" spans="24:293" ht="15" customHeight="1" x14ac:dyDescent="0.25">
      <c r="X2931" s="2"/>
      <c r="AM2931" s="2"/>
      <c r="EO2931" s="2"/>
      <c r="GT2931" s="155"/>
      <c r="HZ2931" s="2"/>
      <c r="KD2931" s="2"/>
      <c r="KE2931" s="2"/>
    </row>
    <row r="2932" spans="24:293" ht="15" customHeight="1" x14ac:dyDescent="0.25">
      <c r="X2932" s="2"/>
      <c r="AM2932" s="2"/>
      <c r="EO2932" s="2"/>
      <c r="GT2932" s="155"/>
      <c r="HZ2932" s="2"/>
      <c r="KD2932" s="2"/>
    </row>
    <row r="2933" spans="24:293" ht="15" customHeight="1" x14ac:dyDescent="0.25">
      <c r="X2933" s="2"/>
      <c r="AM2933" s="2"/>
      <c r="EO2933" s="2"/>
      <c r="GT2933" s="155"/>
      <c r="HZ2933" s="2"/>
      <c r="KD2933" s="2"/>
      <c r="KE2933" s="2"/>
    </row>
    <row r="2934" spans="24:293" ht="15" customHeight="1" x14ac:dyDescent="0.25">
      <c r="X2934" s="2"/>
      <c r="AM2934" s="2"/>
      <c r="EO2934" s="2"/>
      <c r="GT2934" s="155"/>
      <c r="HZ2934" s="2"/>
      <c r="KD2934" s="2"/>
    </row>
    <row r="2935" spans="24:293" ht="15" customHeight="1" x14ac:dyDescent="0.25">
      <c r="X2935" s="2"/>
      <c r="AM2935" s="2"/>
      <c r="EO2935" s="2"/>
      <c r="GT2935" s="155"/>
      <c r="HZ2935" s="2"/>
      <c r="KD2935" s="2"/>
    </row>
    <row r="2936" spans="24:293" ht="15" customHeight="1" x14ac:dyDescent="0.25">
      <c r="X2936" s="2"/>
      <c r="AM2936" s="2"/>
      <c r="EO2936" s="2"/>
      <c r="GT2936" s="155"/>
      <c r="HZ2936" s="2"/>
    </row>
    <row r="2937" spans="24:293" ht="15" customHeight="1" x14ac:dyDescent="0.25">
      <c r="X2937" s="2"/>
      <c r="AM2937" s="2"/>
      <c r="EO2937" s="2"/>
      <c r="GT2937" s="155"/>
      <c r="HZ2937" s="2"/>
    </row>
    <row r="2938" spans="24:293" ht="15" customHeight="1" x14ac:dyDescent="0.25">
      <c r="X2938" s="2"/>
      <c r="AM2938" s="2"/>
      <c r="EO2938" s="2"/>
      <c r="GT2938" s="155"/>
      <c r="HZ2938" s="2"/>
      <c r="KD2938" s="2"/>
    </row>
    <row r="2939" spans="24:293" ht="15" customHeight="1" x14ac:dyDescent="0.25">
      <c r="X2939" s="2"/>
      <c r="AM2939" s="2"/>
      <c r="EO2939" s="2"/>
      <c r="GT2939" s="155"/>
      <c r="HZ2939" s="2"/>
      <c r="KD2939" s="2"/>
      <c r="KE2939" s="2"/>
      <c r="KF2939" s="2"/>
    </row>
    <row r="2940" spans="24:293" ht="15" customHeight="1" x14ac:dyDescent="0.25">
      <c r="X2940" s="2"/>
      <c r="AM2940" s="2"/>
      <c r="EO2940" s="2"/>
      <c r="GT2940" s="155"/>
      <c r="HZ2940" s="2"/>
      <c r="KD2940" s="2"/>
      <c r="KE2940" s="2"/>
    </row>
    <row r="2941" spans="24:293" ht="15" customHeight="1" x14ac:dyDescent="0.25">
      <c r="X2941" s="2"/>
      <c r="AM2941" s="2"/>
      <c r="EO2941" s="2"/>
      <c r="GT2941" s="155"/>
      <c r="HZ2941" s="2"/>
      <c r="KD2941" s="2"/>
      <c r="KE2941" s="2"/>
    </row>
    <row r="2942" spans="24:293" ht="15" customHeight="1" x14ac:dyDescent="0.25">
      <c r="X2942" s="2"/>
      <c r="AM2942" s="2"/>
      <c r="EO2942" s="2"/>
      <c r="GT2942" s="155"/>
      <c r="HZ2942" s="2"/>
      <c r="KD2942" s="2"/>
    </row>
    <row r="2943" spans="24:293" ht="15" customHeight="1" x14ac:dyDescent="0.25">
      <c r="X2943" s="2"/>
      <c r="AM2943" s="2"/>
      <c r="EO2943" s="2"/>
      <c r="GT2943" s="155"/>
      <c r="HZ2943" s="2"/>
      <c r="KD2943" s="2"/>
      <c r="KE2943" s="2"/>
      <c r="KF2943" s="2"/>
    </row>
    <row r="2944" spans="24:293" ht="15" customHeight="1" x14ac:dyDescent="0.25">
      <c r="X2944" s="2"/>
      <c r="AM2944" s="2"/>
      <c r="EO2944" s="2"/>
      <c r="GT2944" s="155"/>
      <c r="HZ2944" s="2"/>
      <c r="KD2944" s="2"/>
    </row>
    <row r="2945" spans="24:303" ht="15" customHeight="1" x14ac:dyDescent="0.25">
      <c r="X2945" s="2"/>
      <c r="AM2945" s="2"/>
      <c r="EO2945" s="2"/>
      <c r="GT2945" s="155"/>
      <c r="HZ2945" s="2"/>
    </row>
    <row r="2946" spans="24:303" ht="15" customHeight="1" x14ac:dyDescent="0.25">
      <c r="X2946" s="2"/>
      <c r="AM2946" s="2"/>
      <c r="EO2946" s="2"/>
      <c r="GT2946" s="155"/>
      <c r="HZ2946" s="2"/>
      <c r="KD2946" s="2"/>
    </row>
    <row r="2947" spans="24:303" ht="15" customHeight="1" x14ac:dyDescent="0.25">
      <c r="X2947" s="2"/>
      <c r="AM2947" s="2"/>
      <c r="EO2947" s="2"/>
      <c r="GT2947" s="155"/>
      <c r="HZ2947" s="2"/>
      <c r="KD2947" s="2"/>
      <c r="KE2947" s="2"/>
    </row>
    <row r="2948" spans="24:303" ht="15" customHeight="1" x14ac:dyDescent="0.25">
      <c r="X2948" s="2"/>
      <c r="AM2948" s="2"/>
      <c r="EO2948" s="2"/>
      <c r="GT2948" s="155"/>
      <c r="HZ2948" s="2"/>
      <c r="KD2948" s="2"/>
      <c r="KE2948" s="2"/>
    </row>
    <row r="2949" spans="24:303" ht="15" customHeight="1" x14ac:dyDescent="0.25">
      <c r="X2949" s="2"/>
      <c r="AM2949" s="2"/>
      <c r="EO2949" s="2"/>
      <c r="GT2949" s="155"/>
      <c r="HZ2949" s="2"/>
      <c r="KD2949" s="2"/>
      <c r="KE2949" s="2"/>
      <c r="KF2949" s="2"/>
    </row>
    <row r="2950" spans="24:303" ht="15" customHeight="1" x14ac:dyDescent="0.25">
      <c r="X2950" s="2"/>
      <c r="AM2950" s="2"/>
      <c r="EO2950" s="2"/>
      <c r="GT2950" s="155"/>
      <c r="HZ2950" s="2"/>
      <c r="KD2950" s="2"/>
      <c r="KE2950" s="2"/>
      <c r="KF2950" s="2"/>
      <c r="KG2950" s="2"/>
    </row>
    <row r="2951" spans="24:303" ht="15" customHeight="1" x14ac:dyDescent="0.25">
      <c r="X2951" s="2"/>
      <c r="AM2951" s="2"/>
      <c r="EO2951" s="2"/>
      <c r="GT2951" s="155"/>
      <c r="HZ2951" s="2"/>
      <c r="KD2951" s="2"/>
    </row>
    <row r="2952" spans="24:303" ht="15" customHeight="1" x14ac:dyDescent="0.25">
      <c r="X2952" s="2"/>
      <c r="AM2952" s="2"/>
      <c r="EO2952" s="2"/>
      <c r="GT2952" s="155"/>
      <c r="HZ2952" s="2"/>
    </row>
    <row r="2953" spans="24:303" ht="15" customHeight="1" x14ac:dyDescent="0.25">
      <c r="X2953" s="2"/>
      <c r="AM2953" s="2"/>
      <c r="EO2953" s="2"/>
      <c r="GT2953" s="155"/>
      <c r="HZ2953" s="2"/>
      <c r="KD2953" s="2"/>
    </row>
    <row r="2954" spans="24:303" ht="15" customHeight="1" x14ac:dyDescent="0.25">
      <c r="Y2954" s="2"/>
      <c r="AO2954" s="2"/>
      <c r="ER2954" s="2"/>
      <c r="GY2954" s="155"/>
      <c r="IK2954" s="2"/>
      <c r="KP2954" s="2"/>
      <c r="KQ2954" s="2"/>
    </row>
    <row r="2955" spans="24:303" ht="15" customHeight="1" x14ac:dyDescent="0.25">
      <c r="Y2955" s="2"/>
      <c r="AO2955" s="2"/>
      <c r="ER2955" s="2"/>
      <c r="GY2955" s="155"/>
      <c r="IK2955" s="2"/>
    </row>
    <row r="2956" spans="24:303" ht="15" customHeight="1" x14ac:dyDescent="0.25">
      <c r="Y2956" s="2"/>
      <c r="AO2956" s="2"/>
      <c r="ER2956" s="2"/>
      <c r="GY2956" s="155"/>
      <c r="IK2956" s="2"/>
    </row>
    <row r="2957" spans="24:303" ht="15" customHeight="1" x14ac:dyDescent="0.25">
      <c r="X2957" s="2"/>
      <c r="AM2957" s="2"/>
      <c r="GT2957" s="155"/>
      <c r="HZ2957" s="2"/>
      <c r="KD2957" s="2"/>
    </row>
    <row r="2958" spans="24:303" ht="15" customHeight="1" x14ac:dyDescent="0.25">
      <c r="X2958" s="2"/>
      <c r="AM2958" s="2"/>
      <c r="GT2958" s="155"/>
      <c r="HZ2958" s="2"/>
      <c r="KD2958" s="2"/>
    </row>
    <row r="2959" spans="24:303" ht="15" customHeight="1" x14ac:dyDescent="0.25">
      <c r="X2959" s="2"/>
      <c r="AM2959" s="2"/>
      <c r="EO2959" s="2"/>
      <c r="GT2959" s="155"/>
      <c r="HZ2959" s="2"/>
      <c r="KD2959" s="2"/>
    </row>
    <row r="2960" spans="24:303" ht="15" customHeight="1" x14ac:dyDescent="0.25">
      <c r="X2960" s="2"/>
      <c r="AM2960" s="2"/>
      <c r="EO2960" s="2"/>
      <c r="GT2960" s="155"/>
      <c r="HZ2960" s="2"/>
      <c r="KD2960" s="2"/>
    </row>
    <row r="2961" spans="18:296" ht="15" customHeight="1" x14ac:dyDescent="0.25">
      <c r="X2961" s="2"/>
      <c r="AM2961" s="2"/>
      <c r="EO2961" s="2"/>
      <c r="GT2961" s="155"/>
      <c r="HZ2961" s="2"/>
      <c r="KD2961" s="2"/>
    </row>
    <row r="2962" spans="18:296" ht="15" customHeight="1" x14ac:dyDescent="0.25">
      <c r="R2962" s="1"/>
      <c r="T2962" s="1"/>
      <c r="X2962" s="2"/>
      <c r="AM2962" s="2"/>
      <c r="EO2962" s="2"/>
      <c r="GT2962" s="155"/>
      <c r="HZ2962" s="2"/>
      <c r="KD2962" s="2"/>
      <c r="KE2962" s="2"/>
      <c r="KF2962" s="2"/>
      <c r="KG2962" s="2"/>
      <c r="KH2962" s="2"/>
    </row>
    <row r="2963" spans="18:296" ht="15" customHeight="1" x14ac:dyDescent="0.25">
      <c r="X2963" s="2"/>
      <c r="AM2963" s="2"/>
      <c r="EO2963" s="2"/>
      <c r="GT2963" s="155"/>
      <c r="HZ2963" s="2"/>
      <c r="KD2963" s="2"/>
    </row>
    <row r="2964" spans="18:296" ht="15" customHeight="1" x14ac:dyDescent="0.25">
      <c r="X2964" s="2"/>
      <c r="AM2964" s="2"/>
      <c r="EO2964" s="2"/>
      <c r="GT2964" s="155"/>
      <c r="HZ2964" s="2"/>
    </row>
    <row r="2965" spans="18:296" ht="15" customHeight="1" x14ac:dyDescent="0.25">
      <c r="X2965" s="2"/>
      <c r="AM2965" s="2"/>
      <c r="EO2965" s="2"/>
      <c r="GT2965" s="155"/>
      <c r="HZ2965" s="2"/>
      <c r="KD2965" s="2"/>
      <c r="KE2965" s="2"/>
      <c r="KF2965" s="2"/>
      <c r="KG2965" s="2"/>
      <c r="KH2965" s="2"/>
      <c r="KI2965" s="2"/>
      <c r="KJ2965" s="2"/>
    </row>
    <row r="2966" spans="18:296" ht="15" customHeight="1" x14ac:dyDescent="0.25">
      <c r="X2966" s="2"/>
      <c r="AM2966" s="2"/>
      <c r="EO2966" s="2"/>
      <c r="GT2966" s="155"/>
      <c r="HZ2966" s="2"/>
    </row>
    <row r="2967" spans="18:296" ht="15" customHeight="1" x14ac:dyDescent="0.25">
      <c r="X2967" s="2"/>
      <c r="AM2967" s="2"/>
      <c r="EO2967" s="2"/>
      <c r="GT2967" s="155"/>
      <c r="HZ2967" s="2"/>
      <c r="KD2967" s="2"/>
    </row>
    <row r="2968" spans="18:296" ht="15" customHeight="1" x14ac:dyDescent="0.25">
      <c r="X2968" s="2"/>
      <c r="AM2968" s="2"/>
      <c r="EO2968" s="2"/>
      <c r="GT2968" s="155"/>
      <c r="HZ2968" s="2"/>
    </row>
    <row r="2969" spans="18:296" ht="15" customHeight="1" x14ac:dyDescent="0.25">
      <c r="X2969" s="2"/>
      <c r="AM2969" s="2"/>
      <c r="EO2969" s="2"/>
      <c r="GT2969" s="155"/>
      <c r="HZ2969" s="2"/>
      <c r="KD2969" s="2"/>
      <c r="KE2969" s="2"/>
    </row>
    <row r="2970" spans="18:296" ht="15" customHeight="1" x14ac:dyDescent="0.25">
      <c r="X2970" s="2"/>
      <c r="AM2970" s="2"/>
      <c r="EO2970" s="2"/>
      <c r="GT2970" s="155"/>
      <c r="HZ2970" s="2"/>
      <c r="KD2970" s="2"/>
    </row>
    <row r="2971" spans="18:296" ht="15" customHeight="1" x14ac:dyDescent="0.25">
      <c r="X2971" s="2"/>
      <c r="AM2971" s="2"/>
      <c r="EO2971" s="2"/>
      <c r="GT2971" s="155"/>
      <c r="HZ2971" s="2"/>
    </row>
    <row r="2972" spans="18:296" ht="15" customHeight="1" x14ac:dyDescent="0.25">
      <c r="X2972" s="2"/>
      <c r="AM2972" s="2"/>
      <c r="EO2972" s="2"/>
      <c r="GT2972" s="155"/>
      <c r="HZ2972" s="2"/>
    </row>
    <row r="2973" spans="18:296" ht="15" customHeight="1" x14ac:dyDescent="0.25">
      <c r="X2973" s="2"/>
      <c r="AM2973" s="2"/>
      <c r="EO2973" s="2"/>
      <c r="GT2973" s="155"/>
      <c r="HZ2973" s="2"/>
      <c r="KD2973" s="2"/>
      <c r="KE2973" s="2"/>
    </row>
    <row r="2974" spans="18:296" ht="15" customHeight="1" x14ac:dyDescent="0.25">
      <c r="R2974" s="1"/>
      <c r="T2974" s="1"/>
      <c r="X2974" s="2"/>
      <c r="AM2974" s="2"/>
      <c r="EO2974" s="2"/>
      <c r="GT2974" s="155"/>
      <c r="HZ2974" s="2"/>
      <c r="KD2974" s="2"/>
      <c r="KE2974" s="2"/>
    </row>
    <row r="2975" spans="18:296" ht="15" customHeight="1" x14ac:dyDescent="0.25">
      <c r="X2975" s="2"/>
      <c r="AM2975" s="2"/>
      <c r="EO2975" s="2"/>
      <c r="GT2975" s="155"/>
      <c r="HZ2975" s="2"/>
      <c r="KD2975" s="2"/>
    </row>
    <row r="2976" spans="18:296" ht="15" customHeight="1" x14ac:dyDescent="0.25">
      <c r="X2976" s="2"/>
      <c r="AM2976" s="2"/>
      <c r="EO2976" s="2"/>
      <c r="GT2976" s="155"/>
      <c r="HZ2976" s="2"/>
      <c r="KD2976" s="2"/>
      <c r="KE2976" s="2"/>
    </row>
    <row r="2977" spans="24:292" ht="15" customHeight="1" x14ac:dyDescent="0.25">
      <c r="X2977" s="2"/>
      <c r="AM2977" s="2"/>
      <c r="EO2977" s="2"/>
      <c r="GT2977" s="155"/>
      <c r="HZ2977" s="2"/>
    </row>
    <row r="2978" spans="24:292" ht="15" customHeight="1" x14ac:dyDescent="0.25">
      <c r="X2978" s="2"/>
      <c r="AM2978" s="2"/>
      <c r="EO2978" s="2"/>
      <c r="GT2978" s="155"/>
      <c r="HZ2978" s="2"/>
      <c r="KD2978" s="2"/>
    </row>
    <row r="2979" spans="24:292" ht="15" customHeight="1" x14ac:dyDescent="0.25">
      <c r="X2979" s="2"/>
      <c r="AM2979" s="2"/>
      <c r="EO2979" s="2"/>
      <c r="GT2979" s="155"/>
      <c r="HZ2979" s="2"/>
      <c r="KD2979" s="2"/>
    </row>
    <row r="2980" spans="24:292" ht="15" customHeight="1" x14ac:dyDescent="0.25">
      <c r="X2980" s="2"/>
      <c r="AM2980" s="2"/>
      <c r="EO2980" s="2"/>
      <c r="GT2980" s="155"/>
      <c r="HZ2980" s="2"/>
      <c r="KD2980" s="2"/>
      <c r="KE2980" s="2"/>
    </row>
    <row r="2981" spans="24:292" ht="15" customHeight="1" x14ac:dyDescent="0.25">
      <c r="X2981" s="2"/>
      <c r="AM2981" s="2"/>
      <c r="EO2981" s="2"/>
      <c r="GT2981" s="155"/>
      <c r="HZ2981" s="2"/>
    </row>
    <row r="2982" spans="24:292" ht="15" customHeight="1" x14ac:dyDescent="0.25">
      <c r="X2982" s="2"/>
      <c r="AM2982" s="2"/>
      <c r="EO2982" s="2"/>
      <c r="GT2982" s="155"/>
      <c r="HZ2982" s="2"/>
    </row>
    <row r="2983" spans="24:292" ht="15" customHeight="1" x14ac:dyDescent="0.25">
      <c r="X2983" s="2"/>
      <c r="AM2983" s="2"/>
      <c r="EO2983" s="2"/>
      <c r="GT2983" s="155"/>
      <c r="HZ2983" s="2"/>
    </row>
    <row r="2984" spans="24:292" ht="15" customHeight="1" x14ac:dyDescent="0.25">
      <c r="X2984" s="2"/>
      <c r="AM2984" s="2"/>
      <c r="EO2984" s="2"/>
      <c r="GT2984" s="155"/>
      <c r="HZ2984" s="2"/>
      <c r="KD2984" s="2"/>
    </row>
    <row r="2985" spans="24:292" ht="15" customHeight="1" x14ac:dyDescent="0.25">
      <c r="X2985" s="2"/>
      <c r="AM2985" s="2"/>
      <c r="EO2985" s="2"/>
      <c r="GT2985" s="155"/>
      <c r="HZ2985" s="2"/>
    </row>
    <row r="2986" spans="24:292" ht="15" customHeight="1" x14ac:dyDescent="0.25">
      <c r="X2986" s="2"/>
      <c r="AM2986" s="2"/>
      <c r="EO2986" s="2"/>
      <c r="GT2986" s="155"/>
      <c r="HZ2986" s="2"/>
      <c r="KD2986" s="2"/>
      <c r="KE2986" s="2"/>
    </row>
    <row r="2987" spans="24:292" ht="15" customHeight="1" x14ac:dyDescent="0.25">
      <c r="X2987" s="2"/>
      <c r="AM2987" s="2"/>
      <c r="EO2987" s="2"/>
      <c r="GT2987" s="155"/>
      <c r="HZ2987" s="2"/>
      <c r="KD2987" s="2"/>
    </row>
    <row r="2988" spans="24:292" ht="15" customHeight="1" x14ac:dyDescent="0.25">
      <c r="X2988" s="2"/>
      <c r="AM2988" s="2"/>
      <c r="EO2988" s="2"/>
      <c r="GT2988" s="155"/>
      <c r="HZ2988" s="2"/>
      <c r="KD2988" s="2"/>
    </row>
    <row r="2989" spans="24:292" ht="15" customHeight="1" x14ac:dyDescent="0.25">
      <c r="X2989" s="2"/>
      <c r="AM2989" s="2"/>
      <c r="EO2989" s="2"/>
      <c r="GT2989" s="155"/>
      <c r="HZ2989" s="2"/>
      <c r="KD2989" s="2"/>
      <c r="KE2989" s="2"/>
      <c r="KF2989" s="2"/>
    </row>
    <row r="2990" spans="24:292" ht="15" customHeight="1" x14ac:dyDescent="0.25">
      <c r="X2990" s="2"/>
      <c r="AM2990" s="2"/>
      <c r="EO2990" s="2"/>
      <c r="GT2990" s="155"/>
      <c r="HZ2990" s="2"/>
    </row>
    <row r="2991" spans="24:292" ht="15" customHeight="1" x14ac:dyDescent="0.25">
      <c r="X2991" s="2"/>
      <c r="AM2991" s="2"/>
      <c r="EO2991" s="2"/>
      <c r="GT2991" s="155"/>
      <c r="HZ2991" s="2"/>
    </row>
    <row r="2992" spans="24:292" ht="15" customHeight="1" x14ac:dyDescent="0.25">
      <c r="X2992" s="2"/>
      <c r="AM2992" s="2"/>
      <c r="EO2992" s="2"/>
      <c r="GT2992" s="155"/>
      <c r="HZ2992" s="2"/>
    </row>
    <row r="2993" spans="24:303" ht="15" customHeight="1" x14ac:dyDescent="0.25">
      <c r="X2993" s="2"/>
      <c r="AM2993" s="2"/>
      <c r="EO2993" s="2"/>
      <c r="GT2993" s="155"/>
      <c r="HZ2993" s="2"/>
      <c r="KD2993" s="2"/>
      <c r="KE2993" s="2"/>
    </row>
    <row r="2994" spans="24:303" ht="15" customHeight="1" x14ac:dyDescent="0.25">
      <c r="X2994" s="2"/>
      <c r="AM2994" s="2"/>
      <c r="EO2994" s="2"/>
      <c r="GT2994" s="155"/>
      <c r="HZ2994" s="2"/>
      <c r="KD2994" s="2"/>
      <c r="KE2994" s="2"/>
    </row>
    <row r="2995" spans="24:303" ht="15" customHeight="1" x14ac:dyDescent="0.25">
      <c r="X2995" s="2"/>
      <c r="AM2995" s="2"/>
      <c r="EO2995" s="2"/>
      <c r="GT2995" s="155"/>
      <c r="HZ2995" s="2"/>
      <c r="KD2995" s="2"/>
    </row>
    <row r="2996" spans="24:303" ht="15" customHeight="1" x14ac:dyDescent="0.25">
      <c r="X2996" s="2"/>
      <c r="AM2996" s="2"/>
      <c r="EO2996" s="2"/>
      <c r="GT2996" s="155"/>
      <c r="HZ2996" s="2"/>
      <c r="KD2996" s="2"/>
      <c r="KE2996" s="2"/>
      <c r="KF2996" s="2"/>
      <c r="KG2996" s="2"/>
    </row>
    <row r="2997" spans="24:303" ht="15" customHeight="1" x14ac:dyDescent="0.25">
      <c r="X2997" s="2"/>
      <c r="AM2997" s="2"/>
      <c r="EO2997" s="2"/>
      <c r="GT2997" s="155"/>
      <c r="HZ2997" s="2"/>
      <c r="KD2997" s="2"/>
      <c r="KE2997" s="2"/>
    </row>
    <row r="2998" spans="24:303" ht="15" customHeight="1" x14ac:dyDescent="0.25">
      <c r="X2998" s="2"/>
      <c r="AM2998" s="2"/>
      <c r="EO2998" s="2"/>
      <c r="GT2998" s="155"/>
      <c r="HZ2998" s="2"/>
      <c r="KD2998" s="2"/>
    </row>
    <row r="2999" spans="24:303" ht="15" customHeight="1" x14ac:dyDescent="0.25">
      <c r="X2999" s="2"/>
      <c r="AM2999" s="2"/>
      <c r="EO2999" s="2"/>
      <c r="GT2999" s="155"/>
      <c r="HZ2999" s="2"/>
    </row>
    <row r="3000" spans="24:303" ht="15" customHeight="1" x14ac:dyDescent="0.25">
      <c r="X3000" s="2"/>
      <c r="AM3000" s="2"/>
      <c r="EO3000" s="2"/>
      <c r="GT3000" s="155"/>
      <c r="HZ3000" s="2"/>
      <c r="KD3000" s="2"/>
      <c r="KE3000" s="2"/>
    </row>
    <row r="3001" spans="24:303" ht="15" customHeight="1" x14ac:dyDescent="0.25">
      <c r="Y3001" s="2"/>
      <c r="AO3001" s="2"/>
      <c r="ER3001" s="2"/>
      <c r="GY3001" s="155"/>
      <c r="IK3001" s="2"/>
      <c r="KP3001" s="2"/>
      <c r="KQ3001" s="2"/>
    </row>
    <row r="3002" spans="24:303" ht="15" customHeight="1" x14ac:dyDescent="0.25">
      <c r="Y3002" s="2"/>
      <c r="AO3002" s="2"/>
      <c r="ER3002" s="2"/>
      <c r="GY3002" s="155"/>
      <c r="IK3002" s="2"/>
      <c r="KP3002" s="2"/>
    </row>
    <row r="3003" spans="24:303" ht="15" customHeight="1" x14ac:dyDescent="0.25">
      <c r="X3003" s="2"/>
      <c r="AM3003" s="2"/>
      <c r="GT3003" s="155"/>
      <c r="HZ3003" s="2"/>
      <c r="KD3003" s="2"/>
      <c r="KE3003" s="2"/>
      <c r="KF3003" s="2"/>
    </row>
    <row r="3004" spans="24:303" ht="15" customHeight="1" x14ac:dyDescent="0.25">
      <c r="X3004" s="2"/>
      <c r="AM3004" s="2"/>
      <c r="GT3004" s="155"/>
      <c r="HZ3004" s="2"/>
      <c r="KD3004" s="2"/>
    </row>
    <row r="3005" spans="24:303" ht="15" customHeight="1" x14ac:dyDescent="0.25">
      <c r="X3005" s="2"/>
      <c r="AM3005" s="2"/>
      <c r="GT3005" s="155"/>
      <c r="HZ3005" s="2"/>
      <c r="KD3005" s="2"/>
    </row>
    <row r="3006" spans="24:303" ht="15" customHeight="1" x14ac:dyDescent="0.25">
      <c r="X3006" s="2"/>
      <c r="AM3006" s="2"/>
      <c r="GT3006" s="155"/>
      <c r="HZ3006" s="2"/>
      <c r="KD3006" s="2"/>
    </row>
    <row r="3007" spans="24:303" ht="15" customHeight="1" x14ac:dyDescent="0.25">
      <c r="X3007" s="2"/>
      <c r="AM3007" s="2"/>
      <c r="GT3007" s="155"/>
      <c r="HZ3007" s="2"/>
      <c r="KD3007" s="2"/>
    </row>
    <row r="3008" spans="24:303" ht="15" customHeight="1" x14ac:dyDescent="0.25">
      <c r="X3008" s="2"/>
      <c r="AM3008" s="2"/>
      <c r="GT3008" s="155"/>
      <c r="HZ3008" s="2"/>
      <c r="KD3008" s="2"/>
    </row>
    <row r="3009" spans="24:293" ht="15" customHeight="1" x14ac:dyDescent="0.25">
      <c r="X3009" s="2"/>
      <c r="AM3009" s="2"/>
      <c r="GT3009" s="155"/>
      <c r="HZ3009" s="2"/>
      <c r="KD3009" s="2"/>
    </row>
    <row r="3010" spans="24:293" ht="15" customHeight="1" x14ac:dyDescent="0.25">
      <c r="X3010" s="2"/>
      <c r="AM3010" s="2"/>
      <c r="GT3010" s="155"/>
      <c r="HZ3010" s="2"/>
      <c r="KD3010" s="2"/>
    </row>
    <row r="3011" spans="24:293" ht="15" customHeight="1" x14ac:dyDescent="0.25">
      <c r="X3011" s="2"/>
      <c r="AM3011" s="2"/>
      <c r="GT3011" s="155"/>
      <c r="HZ3011" s="2"/>
      <c r="KD3011" s="2"/>
    </row>
    <row r="3012" spans="24:293" ht="15" customHeight="1" x14ac:dyDescent="0.25">
      <c r="X3012" s="2"/>
      <c r="AM3012" s="2"/>
      <c r="GT3012" s="155"/>
      <c r="HZ3012" s="2"/>
      <c r="KD3012" s="2"/>
    </row>
    <row r="3013" spans="24:293" ht="15" customHeight="1" x14ac:dyDescent="0.25">
      <c r="X3013" s="2"/>
      <c r="AM3013" s="2"/>
      <c r="GT3013" s="155"/>
      <c r="HZ3013" s="2"/>
      <c r="KD3013" s="2"/>
    </row>
    <row r="3014" spans="24:293" ht="15" customHeight="1" x14ac:dyDescent="0.25">
      <c r="X3014" s="2"/>
      <c r="AM3014" s="2"/>
      <c r="GT3014" s="155"/>
      <c r="HZ3014" s="2"/>
      <c r="KD3014" s="2"/>
      <c r="KE3014" s="2"/>
    </row>
    <row r="3015" spans="24:293" ht="15" customHeight="1" x14ac:dyDescent="0.25">
      <c r="X3015" s="2"/>
      <c r="AM3015" s="2"/>
      <c r="GT3015" s="155"/>
      <c r="HZ3015" s="2"/>
      <c r="KD3015" s="2"/>
    </row>
    <row r="3016" spans="24:293" ht="15" customHeight="1" x14ac:dyDescent="0.25">
      <c r="X3016" s="2"/>
      <c r="AM3016" s="2"/>
      <c r="GT3016" s="155"/>
      <c r="HZ3016" s="2"/>
      <c r="KD3016" s="2"/>
    </row>
    <row r="3017" spans="24:293" ht="15" customHeight="1" x14ac:dyDescent="0.25">
      <c r="X3017" s="2"/>
      <c r="AM3017" s="2"/>
      <c r="GT3017" s="155"/>
      <c r="HZ3017" s="2"/>
      <c r="KD3017" s="2"/>
    </row>
    <row r="3018" spans="24:293" ht="15" customHeight="1" x14ac:dyDescent="0.25">
      <c r="X3018" s="2"/>
      <c r="AM3018" s="2"/>
      <c r="GT3018" s="155"/>
      <c r="HZ3018" s="2"/>
      <c r="KD3018" s="2"/>
    </row>
    <row r="3019" spans="24:293" ht="15" customHeight="1" x14ac:dyDescent="0.25">
      <c r="X3019" s="2"/>
      <c r="AM3019" s="2"/>
      <c r="GT3019" s="155"/>
      <c r="HZ3019" s="2"/>
      <c r="KD3019" s="2"/>
    </row>
    <row r="3020" spans="24:293" ht="15" customHeight="1" x14ac:dyDescent="0.25">
      <c r="X3020" s="2"/>
      <c r="AM3020" s="2"/>
      <c r="GT3020" s="155"/>
      <c r="HZ3020" s="2"/>
      <c r="KD3020" s="2"/>
    </row>
    <row r="3021" spans="24:293" ht="15" customHeight="1" x14ac:dyDescent="0.25">
      <c r="X3021" s="2"/>
      <c r="AM3021" s="2"/>
      <c r="GT3021" s="155"/>
      <c r="HZ3021" s="2"/>
      <c r="KD3021" s="2"/>
    </row>
    <row r="3022" spans="24:293" ht="15" customHeight="1" x14ac:dyDescent="0.25">
      <c r="X3022" s="2"/>
      <c r="AM3022" s="2"/>
      <c r="EO3022" s="2"/>
      <c r="GT3022" s="155"/>
      <c r="HZ3022" s="2"/>
    </row>
    <row r="3023" spans="24:293" ht="15" customHeight="1" x14ac:dyDescent="0.25">
      <c r="X3023" s="2"/>
      <c r="AM3023" s="2"/>
      <c r="EO3023" s="2"/>
      <c r="GT3023" s="155"/>
      <c r="HZ3023" s="2"/>
      <c r="KD3023" s="2"/>
      <c r="KE3023" s="2"/>
      <c r="KF3023" s="2"/>
      <c r="KG3023" s="2"/>
    </row>
    <row r="3024" spans="24:293" ht="15" customHeight="1" x14ac:dyDescent="0.25">
      <c r="X3024" s="2"/>
      <c r="AM3024" s="2"/>
      <c r="EO3024" s="2"/>
      <c r="GT3024" s="155"/>
      <c r="HZ3024" s="2"/>
    </row>
    <row r="3025" spans="24:295" ht="15" customHeight="1" x14ac:dyDescent="0.25">
      <c r="X3025" s="2"/>
      <c r="AM3025" s="2"/>
      <c r="EO3025" s="2"/>
      <c r="GT3025" s="155"/>
      <c r="HZ3025" s="2"/>
    </row>
    <row r="3026" spans="24:295" ht="15" customHeight="1" x14ac:dyDescent="0.25">
      <c r="X3026" s="2"/>
      <c r="AM3026" s="2"/>
      <c r="EO3026" s="2"/>
      <c r="GT3026" s="155"/>
      <c r="HZ3026" s="2"/>
    </row>
    <row r="3027" spans="24:295" ht="15" customHeight="1" x14ac:dyDescent="0.25">
      <c r="X3027" s="2"/>
      <c r="AM3027" s="2"/>
      <c r="EO3027" s="2"/>
      <c r="GT3027" s="155"/>
      <c r="HZ3027" s="2"/>
    </row>
    <row r="3028" spans="24:295" ht="15" customHeight="1" x14ac:dyDescent="0.25">
      <c r="X3028" s="2"/>
      <c r="AM3028" s="2"/>
      <c r="EO3028" s="2"/>
      <c r="GT3028" s="155"/>
      <c r="HZ3028" s="2"/>
    </row>
    <row r="3029" spans="24:295" ht="15" customHeight="1" x14ac:dyDescent="0.25">
      <c r="X3029" s="2"/>
      <c r="AM3029" s="2"/>
      <c r="EO3029" s="2"/>
      <c r="GT3029" s="155"/>
      <c r="HZ3029" s="2"/>
      <c r="KD3029" s="2"/>
    </row>
    <row r="3030" spans="24:295" ht="15" customHeight="1" x14ac:dyDescent="0.25">
      <c r="X3030" s="2"/>
      <c r="AM3030" s="2"/>
      <c r="EO3030" s="2"/>
      <c r="GT3030" s="155"/>
      <c r="HZ3030" s="2"/>
    </row>
    <row r="3031" spans="24:295" ht="15" customHeight="1" x14ac:dyDescent="0.25">
      <c r="X3031" s="2"/>
      <c r="AM3031" s="2"/>
      <c r="EO3031" s="2"/>
      <c r="GT3031" s="155"/>
      <c r="HZ3031" s="2"/>
    </row>
    <row r="3032" spans="24:295" ht="15" customHeight="1" x14ac:dyDescent="0.25">
      <c r="X3032" s="2"/>
      <c r="AM3032" s="2"/>
      <c r="EO3032" s="2"/>
      <c r="GT3032" s="155"/>
      <c r="HZ3032" s="2"/>
      <c r="KD3032" s="2"/>
      <c r="KE3032" s="2"/>
      <c r="KF3032" s="2"/>
    </row>
    <row r="3033" spans="24:295" ht="15" customHeight="1" x14ac:dyDescent="0.25">
      <c r="X3033" s="2"/>
      <c r="AM3033" s="2"/>
      <c r="EO3033" s="2"/>
      <c r="GT3033" s="155"/>
      <c r="HZ3033" s="2"/>
      <c r="KD3033" s="2"/>
      <c r="KE3033" s="2"/>
      <c r="KF3033" s="2"/>
      <c r="KG3033" s="2"/>
      <c r="KH3033" s="2"/>
    </row>
    <row r="3034" spans="24:295" ht="15" customHeight="1" x14ac:dyDescent="0.25">
      <c r="X3034" s="2"/>
      <c r="AM3034" s="2"/>
      <c r="EO3034" s="2"/>
      <c r="GT3034" s="155"/>
      <c r="HZ3034" s="2"/>
    </row>
    <row r="3035" spans="24:295" ht="15" customHeight="1" x14ac:dyDescent="0.25">
      <c r="X3035" s="2"/>
      <c r="AM3035" s="2"/>
      <c r="EO3035" s="2"/>
      <c r="GT3035" s="155"/>
      <c r="HZ3035" s="2"/>
    </row>
    <row r="3036" spans="24:295" ht="15" customHeight="1" x14ac:dyDescent="0.25">
      <c r="X3036" s="2"/>
      <c r="AM3036" s="2"/>
      <c r="EO3036" s="2"/>
      <c r="GT3036" s="155"/>
      <c r="HZ3036" s="2"/>
    </row>
    <row r="3037" spans="24:295" ht="15" customHeight="1" x14ac:dyDescent="0.25">
      <c r="X3037" s="2"/>
      <c r="AM3037" s="2"/>
      <c r="EO3037" s="2"/>
      <c r="GT3037" s="155"/>
      <c r="HZ3037" s="2"/>
    </row>
    <row r="3038" spans="24:295" ht="15" customHeight="1" x14ac:dyDescent="0.25">
      <c r="X3038" s="2"/>
      <c r="AM3038" s="2"/>
      <c r="EO3038" s="2"/>
      <c r="GT3038" s="155"/>
      <c r="HZ3038" s="2"/>
    </row>
    <row r="3039" spans="24:295" ht="15" customHeight="1" x14ac:dyDescent="0.25">
      <c r="X3039" s="2"/>
      <c r="AM3039" s="2"/>
      <c r="EO3039" s="2"/>
      <c r="GT3039" s="155"/>
      <c r="HZ3039" s="2"/>
      <c r="KD3039" s="2"/>
      <c r="KE3039" s="2"/>
      <c r="KF3039" s="2"/>
      <c r="KG3039" s="2"/>
      <c r="KH3039" s="2"/>
      <c r="KI3039" s="2"/>
    </row>
    <row r="3040" spans="24:295" ht="15" customHeight="1" x14ac:dyDescent="0.25">
      <c r="X3040" s="2"/>
      <c r="AM3040" s="2"/>
      <c r="EO3040" s="2"/>
      <c r="GT3040" s="155"/>
      <c r="HZ3040" s="2"/>
      <c r="KD3040" s="2"/>
      <c r="KE3040" s="2"/>
    </row>
    <row r="3041" spans="24:293" ht="15" customHeight="1" x14ac:dyDescent="0.25">
      <c r="X3041" s="2"/>
      <c r="AM3041" s="2"/>
      <c r="EO3041" s="2"/>
      <c r="GT3041" s="155"/>
      <c r="HZ3041" s="2"/>
      <c r="KD3041" s="2"/>
      <c r="KE3041" s="2"/>
    </row>
    <row r="3042" spans="24:293" ht="15" customHeight="1" x14ac:dyDescent="0.25">
      <c r="X3042" s="2"/>
      <c r="AM3042" s="2"/>
      <c r="EO3042" s="2"/>
      <c r="GT3042" s="155"/>
      <c r="HZ3042" s="2"/>
      <c r="KD3042" s="2"/>
    </row>
    <row r="3043" spans="24:293" ht="15" customHeight="1" x14ac:dyDescent="0.25">
      <c r="X3043" s="2"/>
      <c r="AM3043" s="2"/>
      <c r="EO3043" s="2"/>
      <c r="GT3043" s="155"/>
      <c r="HZ3043" s="2"/>
      <c r="KD3043" s="2"/>
      <c r="KE3043" s="2"/>
      <c r="KF3043" s="2"/>
    </row>
    <row r="3044" spans="24:293" ht="15" customHeight="1" x14ac:dyDescent="0.25">
      <c r="X3044" s="2"/>
      <c r="AM3044" s="2"/>
      <c r="EO3044" s="2"/>
      <c r="GT3044" s="155"/>
      <c r="HZ3044" s="2"/>
      <c r="KD3044" s="2"/>
      <c r="KE3044" s="2"/>
      <c r="KF3044" s="2"/>
    </row>
    <row r="3045" spans="24:293" ht="15" customHeight="1" x14ac:dyDescent="0.25">
      <c r="X3045" s="2"/>
      <c r="AM3045" s="2"/>
      <c r="EO3045" s="2"/>
      <c r="GT3045" s="155"/>
      <c r="HZ3045" s="2"/>
      <c r="KD3045" s="2"/>
    </row>
    <row r="3046" spans="24:293" ht="15" customHeight="1" x14ac:dyDescent="0.25">
      <c r="X3046" s="2"/>
      <c r="AM3046" s="2"/>
      <c r="EO3046" s="2"/>
      <c r="GT3046" s="155"/>
      <c r="HZ3046" s="2"/>
      <c r="KD3046" s="2"/>
    </row>
    <row r="3047" spans="24:293" ht="15" customHeight="1" x14ac:dyDescent="0.25">
      <c r="X3047" s="2"/>
      <c r="AM3047" s="2"/>
      <c r="EO3047" s="2"/>
      <c r="GT3047" s="155"/>
      <c r="HZ3047" s="2"/>
    </row>
    <row r="3048" spans="24:293" ht="15" customHeight="1" x14ac:dyDescent="0.25">
      <c r="X3048" s="2"/>
      <c r="AM3048" s="2"/>
      <c r="EO3048" s="2"/>
      <c r="GT3048" s="155"/>
      <c r="HZ3048" s="2"/>
      <c r="KD3048" s="2"/>
      <c r="KE3048" s="2"/>
      <c r="KF3048" s="2"/>
      <c r="KG3048" s="2"/>
    </row>
    <row r="3049" spans="24:293" ht="15" customHeight="1" x14ac:dyDescent="0.25">
      <c r="X3049" s="2"/>
      <c r="AM3049" s="2"/>
      <c r="EO3049" s="2"/>
      <c r="GT3049" s="155"/>
      <c r="HZ3049" s="2"/>
      <c r="KD3049" s="2"/>
    </row>
    <row r="3050" spans="24:293" ht="15" customHeight="1" x14ac:dyDescent="0.25">
      <c r="X3050" s="2"/>
      <c r="AM3050" s="2"/>
      <c r="EO3050" s="2"/>
      <c r="GT3050" s="155"/>
      <c r="HZ3050" s="2"/>
      <c r="KD3050" s="2"/>
      <c r="KE3050" s="2"/>
    </row>
    <row r="3051" spans="24:293" ht="15" customHeight="1" x14ac:dyDescent="0.25">
      <c r="X3051" s="2"/>
      <c r="AM3051" s="2"/>
      <c r="EO3051" s="2"/>
      <c r="GT3051" s="155"/>
      <c r="HZ3051" s="2"/>
      <c r="KD3051" s="2"/>
      <c r="KE3051" s="2"/>
      <c r="KF3051" s="2"/>
    </row>
    <row r="3052" spans="24:293" ht="15" customHeight="1" x14ac:dyDescent="0.25">
      <c r="X3052" s="2"/>
      <c r="AM3052" s="2"/>
      <c r="EO3052" s="2"/>
      <c r="GT3052" s="155"/>
      <c r="HZ3052" s="2"/>
      <c r="KD3052" s="2"/>
    </row>
    <row r="3053" spans="24:293" ht="15" customHeight="1" x14ac:dyDescent="0.25">
      <c r="X3053" s="2"/>
      <c r="AM3053" s="2"/>
      <c r="EO3053" s="2"/>
      <c r="GT3053" s="155"/>
      <c r="HZ3053" s="2"/>
      <c r="KD3053" s="2"/>
    </row>
    <row r="3054" spans="24:293" ht="15" customHeight="1" x14ac:dyDescent="0.25">
      <c r="X3054" s="2"/>
      <c r="AM3054" s="2"/>
      <c r="EO3054" s="2"/>
      <c r="GT3054" s="155"/>
      <c r="HZ3054" s="2"/>
    </row>
    <row r="3055" spans="24:293" ht="15" customHeight="1" x14ac:dyDescent="0.25">
      <c r="X3055" s="2"/>
      <c r="AM3055" s="2"/>
      <c r="EO3055" s="2"/>
      <c r="GT3055" s="155"/>
      <c r="HZ3055" s="2"/>
    </row>
    <row r="3056" spans="24:293" ht="15" customHeight="1" x14ac:dyDescent="0.25">
      <c r="X3056" s="2"/>
      <c r="AM3056" s="2"/>
      <c r="EO3056" s="2"/>
      <c r="GT3056" s="155"/>
      <c r="HZ3056" s="2"/>
      <c r="KD3056" s="2"/>
    </row>
    <row r="3057" spans="24:293" ht="15" customHeight="1" x14ac:dyDescent="0.25">
      <c r="X3057" s="2"/>
      <c r="AM3057" s="2"/>
      <c r="EO3057" s="2"/>
      <c r="GT3057" s="155"/>
      <c r="HZ3057" s="2"/>
      <c r="KD3057" s="2"/>
    </row>
    <row r="3058" spans="24:293" ht="15" customHeight="1" x14ac:dyDescent="0.25">
      <c r="X3058" s="2"/>
      <c r="AM3058" s="2"/>
      <c r="EO3058" s="2"/>
      <c r="GT3058" s="155"/>
      <c r="HZ3058" s="2"/>
      <c r="KD3058" s="2"/>
      <c r="KE3058" s="2"/>
    </row>
    <row r="3059" spans="24:293" ht="15" customHeight="1" x14ac:dyDescent="0.25">
      <c r="X3059" s="2"/>
      <c r="AM3059" s="2"/>
      <c r="EO3059" s="2"/>
      <c r="GT3059" s="155"/>
      <c r="HZ3059" s="2"/>
      <c r="KD3059" s="2"/>
    </row>
    <row r="3060" spans="24:293" ht="15" customHeight="1" x14ac:dyDescent="0.25">
      <c r="X3060" s="2"/>
      <c r="AM3060" s="2"/>
      <c r="EO3060" s="2"/>
      <c r="GT3060" s="155"/>
      <c r="HZ3060" s="2"/>
      <c r="KD3060" s="2"/>
      <c r="KE3060" s="2"/>
    </row>
    <row r="3061" spans="24:293" ht="15" customHeight="1" x14ac:dyDescent="0.25">
      <c r="X3061" s="2"/>
      <c r="AM3061" s="2"/>
      <c r="EO3061" s="2"/>
      <c r="GT3061" s="155"/>
      <c r="HZ3061" s="2"/>
    </row>
    <row r="3062" spans="24:293" ht="15" customHeight="1" x14ac:dyDescent="0.25">
      <c r="X3062" s="2"/>
      <c r="AM3062" s="2"/>
      <c r="EO3062" s="2"/>
      <c r="GT3062" s="155"/>
      <c r="HZ3062" s="2"/>
      <c r="KD3062" s="2"/>
      <c r="KE3062" s="2"/>
    </row>
    <row r="3063" spans="24:293" ht="15" customHeight="1" x14ac:dyDescent="0.25">
      <c r="X3063" s="2"/>
      <c r="AM3063" s="2"/>
      <c r="EO3063" s="2"/>
      <c r="GT3063" s="155"/>
      <c r="HZ3063" s="2"/>
    </row>
    <row r="3064" spans="24:293" ht="15" customHeight="1" x14ac:dyDescent="0.25">
      <c r="X3064" s="2"/>
      <c r="AM3064" s="2"/>
      <c r="EO3064" s="2"/>
      <c r="GT3064" s="155"/>
      <c r="HZ3064" s="2"/>
      <c r="KD3064" s="2"/>
    </row>
    <row r="3065" spans="24:293" ht="15" customHeight="1" x14ac:dyDescent="0.25">
      <c r="X3065" s="2"/>
      <c r="AM3065" s="2"/>
      <c r="EO3065" s="2"/>
      <c r="GT3065" s="155"/>
      <c r="HZ3065" s="2"/>
      <c r="KD3065" s="2"/>
      <c r="KE3065" s="2"/>
      <c r="KF3065" s="2"/>
    </row>
    <row r="3066" spans="24:293" ht="15" customHeight="1" x14ac:dyDescent="0.25">
      <c r="X3066" s="2"/>
      <c r="AM3066" s="2"/>
      <c r="EO3066" s="2"/>
      <c r="GT3066" s="155"/>
      <c r="HZ3066" s="2"/>
      <c r="KD3066" s="2"/>
      <c r="KE3066" s="2"/>
      <c r="KF3066" s="2"/>
      <c r="KG3066" s="2"/>
    </row>
    <row r="3067" spans="24:293" ht="15" customHeight="1" x14ac:dyDescent="0.25">
      <c r="X3067" s="2"/>
      <c r="AM3067" s="2"/>
      <c r="EO3067" s="2"/>
      <c r="GT3067" s="155"/>
      <c r="HZ3067" s="2"/>
    </row>
    <row r="3068" spans="24:293" ht="15" customHeight="1" x14ac:dyDescent="0.25">
      <c r="X3068" s="2"/>
      <c r="AM3068" s="2"/>
      <c r="EO3068" s="2"/>
      <c r="GT3068" s="155"/>
      <c r="HZ3068" s="2"/>
      <c r="KD3068" s="2"/>
    </row>
    <row r="3069" spans="24:293" ht="15" customHeight="1" x14ac:dyDescent="0.25">
      <c r="X3069" s="2"/>
      <c r="AM3069" s="2"/>
      <c r="EO3069" s="2"/>
      <c r="GT3069" s="155"/>
      <c r="HZ3069" s="2"/>
      <c r="KD3069" s="2"/>
      <c r="KE3069" s="2"/>
    </row>
    <row r="3070" spans="24:293" ht="15" customHeight="1" x14ac:dyDescent="0.25">
      <c r="X3070" s="2"/>
      <c r="AM3070" s="2"/>
      <c r="EO3070" s="2"/>
      <c r="GT3070" s="155"/>
      <c r="HZ3070" s="2"/>
      <c r="KD3070" s="2"/>
    </row>
    <row r="3071" spans="24:293" ht="15" customHeight="1" x14ac:dyDescent="0.25">
      <c r="X3071" s="2"/>
      <c r="AM3071" s="2"/>
      <c r="EO3071" s="2"/>
      <c r="GT3071" s="155"/>
      <c r="HZ3071" s="2"/>
      <c r="KD3071" s="2"/>
    </row>
    <row r="3072" spans="24:293" ht="15" customHeight="1" x14ac:dyDescent="0.25">
      <c r="X3072" s="2"/>
      <c r="AM3072" s="2"/>
      <c r="EO3072" s="2"/>
      <c r="GT3072" s="155"/>
      <c r="HZ3072" s="2"/>
      <c r="KD3072" s="2"/>
    </row>
    <row r="3073" spans="24:303" ht="15" customHeight="1" x14ac:dyDescent="0.25">
      <c r="Y3073" s="2"/>
      <c r="AO3073" s="2"/>
      <c r="ER3073" s="2"/>
      <c r="GY3073" s="155"/>
      <c r="IK3073" s="2"/>
      <c r="KP3073" s="2"/>
      <c r="KQ3073" s="2"/>
    </row>
    <row r="3074" spans="24:303" ht="15" customHeight="1" x14ac:dyDescent="0.25">
      <c r="Y3074" s="2"/>
      <c r="AO3074" s="2"/>
      <c r="ER3074" s="2"/>
      <c r="GY3074" s="155"/>
      <c r="IK3074" s="2"/>
      <c r="KP3074" s="2"/>
    </row>
    <row r="3075" spans="24:303" ht="15" customHeight="1" x14ac:dyDescent="0.25">
      <c r="Y3075" s="2"/>
      <c r="AO3075" s="2"/>
      <c r="ER3075" s="2"/>
      <c r="GY3075" s="155"/>
      <c r="IK3075" s="2"/>
      <c r="KP3075" s="2"/>
    </row>
    <row r="3076" spans="24:303" ht="15" customHeight="1" x14ac:dyDescent="0.25">
      <c r="Y3076" s="2"/>
      <c r="AO3076" s="2"/>
      <c r="ER3076" s="2"/>
      <c r="GY3076" s="155"/>
      <c r="IK3076" s="2"/>
      <c r="KP3076" s="2"/>
    </row>
    <row r="3077" spans="24:303" ht="15" customHeight="1" x14ac:dyDescent="0.25">
      <c r="Y3077" s="2"/>
      <c r="AO3077" s="2"/>
      <c r="ER3077" s="2"/>
      <c r="GY3077" s="155"/>
      <c r="IK3077" s="2"/>
      <c r="KP3077" s="2"/>
    </row>
    <row r="3078" spans="24:303" ht="15" customHeight="1" x14ac:dyDescent="0.25">
      <c r="Y3078" s="2"/>
      <c r="AO3078" s="2"/>
      <c r="ER3078" s="2"/>
      <c r="GY3078" s="155"/>
      <c r="IK3078" s="2"/>
      <c r="KP3078" s="2"/>
    </row>
    <row r="3079" spans="24:303" ht="15" customHeight="1" x14ac:dyDescent="0.25">
      <c r="Y3079" s="2"/>
      <c r="AO3079" s="2"/>
      <c r="ER3079" s="2"/>
      <c r="GY3079" s="155"/>
      <c r="IK3079" s="2"/>
      <c r="KP3079" s="2"/>
    </row>
    <row r="3080" spans="24:303" ht="15" customHeight="1" x14ac:dyDescent="0.25">
      <c r="Y3080" s="2"/>
      <c r="AO3080" s="2"/>
      <c r="ER3080" s="2"/>
      <c r="GY3080" s="155"/>
      <c r="IK3080" s="2"/>
      <c r="KP3080" s="2"/>
    </row>
    <row r="3081" spans="24:303" ht="15" customHeight="1" x14ac:dyDescent="0.25">
      <c r="Y3081" s="2"/>
      <c r="AO3081" s="2"/>
      <c r="ER3081" s="2"/>
      <c r="GY3081" s="155"/>
      <c r="IK3081" s="2"/>
      <c r="KP3081" s="2"/>
    </row>
    <row r="3082" spans="24:303" ht="15" customHeight="1" x14ac:dyDescent="0.25">
      <c r="Y3082" s="2"/>
      <c r="AO3082" s="2"/>
      <c r="ER3082" s="2"/>
      <c r="GY3082" s="155"/>
      <c r="IK3082" s="2"/>
    </row>
    <row r="3083" spans="24:303" ht="15" customHeight="1" x14ac:dyDescent="0.25">
      <c r="Y3083" s="2"/>
      <c r="AO3083" s="2"/>
      <c r="ER3083" s="2"/>
      <c r="GY3083" s="155"/>
      <c r="IK3083" s="2"/>
      <c r="KP3083" s="2"/>
    </row>
    <row r="3084" spans="24:303" ht="15" customHeight="1" x14ac:dyDescent="0.25">
      <c r="Y3084" s="2"/>
      <c r="AO3084" s="2"/>
      <c r="ER3084" s="2"/>
      <c r="GY3084" s="155"/>
      <c r="IK3084" s="2"/>
    </row>
    <row r="3085" spans="24:303" ht="15" customHeight="1" x14ac:dyDescent="0.25">
      <c r="Y3085" s="2"/>
      <c r="AO3085" s="2"/>
      <c r="ER3085" s="2"/>
      <c r="GY3085" s="155"/>
      <c r="IK3085" s="2"/>
    </row>
    <row r="3086" spans="24:303" ht="15" customHeight="1" x14ac:dyDescent="0.25">
      <c r="Y3086" s="2"/>
      <c r="AO3086" s="2"/>
      <c r="ER3086" s="2"/>
      <c r="GY3086" s="155"/>
      <c r="IK3086" s="2"/>
      <c r="KP3086" s="2"/>
    </row>
    <row r="3087" spans="24:303" ht="15" customHeight="1" x14ac:dyDescent="0.25">
      <c r="Y3087" s="2"/>
      <c r="AO3087" s="2"/>
      <c r="ER3087" s="2"/>
      <c r="GY3087" s="155"/>
      <c r="IK3087" s="2"/>
      <c r="KP3087" s="2"/>
    </row>
    <row r="3088" spans="24:303" ht="15" customHeight="1" x14ac:dyDescent="0.25">
      <c r="X3088" s="2"/>
      <c r="AM3088" s="2"/>
      <c r="GT3088" s="155"/>
      <c r="HZ3088" s="2"/>
      <c r="KD3088" s="2"/>
    </row>
    <row r="3089" spans="24:292" ht="15" customHeight="1" x14ac:dyDescent="0.25">
      <c r="X3089" s="2"/>
      <c r="AM3089" s="2"/>
      <c r="GT3089" s="155"/>
      <c r="HZ3089" s="2"/>
      <c r="KD3089" s="2"/>
    </row>
    <row r="3090" spans="24:292" ht="15" customHeight="1" x14ac:dyDescent="0.25">
      <c r="X3090" s="2"/>
      <c r="AM3090" s="2"/>
      <c r="GT3090" s="155"/>
      <c r="HZ3090" s="2"/>
      <c r="KD3090" s="2"/>
    </row>
    <row r="3091" spans="24:292" ht="15" customHeight="1" x14ac:dyDescent="0.25">
      <c r="X3091" s="2"/>
      <c r="AM3091" s="2"/>
      <c r="GT3091" s="155"/>
      <c r="HZ3091" s="2"/>
      <c r="KD3091" s="2"/>
    </row>
    <row r="3092" spans="24:292" ht="15" customHeight="1" x14ac:dyDescent="0.25">
      <c r="X3092" s="2"/>
      <c r="AM3092" s="2"/>
      <c r="GT3092" s="155"/>
      <c r="HZ3092" s="2"/>
      <c r="KD3092" s="2"/>
      <c r="KE3092" s="2"/>
    </row>
    <row r="3093" spans="24:292" ht="15" customHeight="1" x14ac:dyDescent="0.25">
      <c r="X3093" s="2"/>
      <c r="AM3093" s="2"/>
      <c r="GT3093" s="155"/>
      <c r="HZ3093" s="2"/>
      <c r="KD3093" s="2"/>
    </row>
    <row r="3094" spans="24:292" ht="15" customHeight="1" x14ac:dyDescent="0.25">
      <c r="X3094" s="2"/>
      <c r="AM3094" s="2"/>
      <c r="GT3094" s="155"/>
      <c r="HZ3094" s="2"/>
      <c r="KD3094" s="2"/>
    </row>
    <row r="3095" spans="24:292" ht="15" customHeight="1" x14ac:dyDescent="0.25">
      <c r="X3095" s="2"/>
      <c r="AM3095" s="2"/>
      <c r="GT3095" s="155"/>
      <c r="HZ3095" s="2"/>
      <c r="KD3095" s="2"/>
    </row>
    <row r="3096" spans="24:292" ht="15" customHeight="1" x14ac:dyDescent="0.25">
      <c r="X3096" s="2"/>
      <c r="AM3096" s="2"/>
      <c r="GT3096" s="155"/>
      <c r="HZ3096" s="2"/>
      <c r="KD3096" s="2"/>
    </row>
    <row r="3097" spans="24:292" ht="15" customHeight="1" x14ac:dyDescent="0.25">
      <c r="X3097" s="2"/>
      <c r="AM3097" s="2"/>
      <c r="GT3097" s="155"/>
      <c r="HZ3097" s="2"/>
      <c r="KD3097" s="2"/>
    </row>
    <row r="3098" spans="24:292" ht="15" customHeight="1" x14ac:dyDescent="0.25">
      <c r="X3098" s="2"/>
      <c r="AM3098" s="2"/>
      <c r="GT3098" s="155"/>
      <c r="HZ3098" s="2"/>
      <c r="KD3098" s="2"/>
    </row>
    <row r="3099" spans="24:292" ht="15" customHeight="1" x14ac:dyDescent="0.25">
      <c r="X3099" s="2"/>
      <c r="AM3099" s="2"/>
      <c r="EO3099" s="2"/>
      <c r="GT3099" s="155"/>
      <c r="HZ3099" s="2"/>
      <c r="KD3099" s="2"/>
      <c r="KE3099" s="2"/>
    </row>
    <row r="3100" spans="24:292" ht="15" customHeight="1" x14ac:dyDescent="0.25">
      <c r="X3100" s="2"/>
      <c r="AM3100" s="2"/>
      <c r="EO3100" s="2"/>
      <c r="GT3100" s="155"/>
      <c r="HZ3100" s="2"/>
      <c r="KD3100" s="2"/>
    </row>
    <row r="3101" spans="24:292" ht="15" customHeight="1" x14ac:dyDescent="0.25">
      <c r="X3101" s="2"/>
      <c r="AM3101" s="2"/>
      <c r="EO3101" s="2"/>
      <c r="GT3101" s="155"/>
      <c r="HZ3101" s="2"/>
      <c r="KD3101" s="2"/>
      <c r="KE3101" s="2"/>
    </row>
    <row r="3102" spans="24:292" ht="15" customHeight="1" x14ac:dyDescent="0.25">
      <c r="X3102" s="2"/>
      <c r="AM3102" s="2"/>
      <c r="EO3102" s="2"/>
      <c r="GT3102" s="155"/>
      <c r="HZ3102" s="2"/>
      <c r="KD3102" s="2"/>
    </row>
    <row r="3103" spans="24:292" ht="15" customHeight="1" x14ac:dyDescent="0.25">
      <c r="X3103" s="2"/>
      <c r="AM3103" s="2"/>
      <c r="EO3103" s="2"/>
      <c r="GT3103" s="155"/>
      <c r="HZ3103" s="2"/>
      <c r="KD3103" s="2"/>
      <c r="KE3103" s="2"/>
    </row>
    <row r="3104" spans="24:292" ht="15" customHeight="1" x14ac:dyDescent="0.25">
      <c r="X3104" s="2"/>
      <c r="AM3104" s="2"/>
      <c r="EO3104" s="2"/>
      <c r="GT3104" s="155"/>
      <c r="HZ3104" s="2"/>
      <c r="KD3104" s="2"/>
      <c r="KE3104" s="2"/>
      <c r="KF3104" s="2"/>
    </row>
    <row r="3105" spans="24:292" ht="15" customHeight="1" x14ac:dyDescent="0.25">
      <c r="X3105" s="2"/>
      <c r="AM3105" s="2"/>
      <c r="EO3105" s="2"/>
      <c r="GT3105" s="155"/>
      <c r="HZ3105" s="2"/>
      <c r="KD3105" s="2"/>
    </row>
    <row r="3106" spans="24:292" ht="15" customHeight="1" x14ac:dyDescent="0.25">
      <c r="X3106" s="2"/>
      <c r="AM3106" s="2"/>
      <c r="EO3106" s="2"/>
      <c r="GT3106" s="155"/>
      <c r="HZ3106" s="2"/>
      <c r="KD3106" s="2"/>
    </row>
    <row r="3107" spans="24:292" ht="15" customHeight="1" x14ac:dyDescent="0.25">
      <c r="X3107" s="2"/>
      <c r="AM3107" s="2"/>
      <c r="EO3107" s="2"/>
      <c r="GT3107" s="155"/>
      <c r="HZ3107" s="2"/>
      <c r="KD3107" s="2"/>
      <c r="KE3107" s="2"/>
    </row>
    <row r="3108" spans="24:292" ht="15" customHeight="1" x14ac:dyDescent="0.25">
      <c r="X3108" s="2"/>
      <c r="AM3108" s="2"/>
      <c r="EO3108" s="2"/>
      <c r="GT3108" s="155"/>
      <c r="HZ3108" s="2"/>
      <c r="KD3108" s="2"/>
    </row>
    <row r="3109" spans="24:292" ht="15" customHeight="1" x14ac:dyDescent="0.25">
      <c r="X3109" s="2"/>
      <c r="AM3109" s="2"/>
      <c r="EO3109" s="2"/>
      <c r="GT3109" s="155"/>
      <c r="HZ3109" s="2"/>
    </row>
    <row r="3110" spans="24:292" ht="15" customHeight="1" x14ac:dyDescent="0.25">
      <c r="X3110" s="2"/>
      <c r="AM3110" s="2"/>
      <c r="EO3110" s="2"/>
      <c r="GT3110" s="155"/>
      <c r="HZ3110" s="2"/>
      <c r="KD3110" s="2"/>
      <c r="KE3110" s="2"/>
    </row>
    <row r="3111" spans="24:292" ht="15" customHeight="1" x14ac:dyDescent="0.25">
      <c r="X3111" s="2"/>
      <c r="AM3111" s="2"/>
      <c r="EO3111" s="2"/>
      <c r="GT3111" s="155"/>
      <c r="HZ3111" s="2"/>
      <c r="KD3111" s="2"/>
    </row>
    <row r="3112" spans="24:292" ht="15" customHeight="1" x14ac:dyDescent="0.25">
      <c r="X3112" s="2"/>
      <c r="AM3112" s="2"/>
      <c r="EO3112" s="2"/>
      <c r="GT3112" s="155"/>
      <c r="HZ3112" s="2"/>
      <c r="KD3112" s="2"/>
      <c r="KE3112" s="2"/>
    </row>
    <row r="3113" spans="24:292" ht="15" customHeight="1" x14ac:dyDescent="0.25">
      <c r="X3113" s="2"/>
      <c r="AM3113" s="2"/>
      <c r="EO3113" s="2"/>
      <c r="GT3113" s="155"/>
      <c r="HZ3113" s="2"/>
      <c r="KD3113" s="2"/>
      <c r="KE3113" s="2"/>
      <c r="KF3113" s="2"/>
    </row>
    <row r="3114" spans="24:292" ht="15" customHeight="1" x14ac:dyDescent="0.25">
      <c r="X3114" s="2"/>
      <c r="AM3114" s="2"/>
      <c r="EO3114" s="2"/>
      <c r="GT3114" s="155"/>
      <c r="HZ3114" s="2"/>
    </row>
    <row r="3115" spans="24:292" ht="15" customHeight="1" x14ac:dyDescent="0.25">
      <c r="X3115" s="2"/>
      <c r="AM3115" s="2"/>
      <c r="EO3115" s="2"/>
      <c r="GT3115" s="155"/>
      <c r="HZ3115" s="2"/>
    </row>
    <row r="3116" spans="24:292" ht="15" customHeight="1" x14ac:dyDescent="0.25">
      <c r="X3116" s="2"/>
      <c r="AM3116" s="2"/>
      <c r="EO3116" s="2"/>
      <c r="GT3116" s="155"/>
      <c r="HZ3116" s="2"/>
    </row>
    <row r="3117" spans="24:292" ht="15" customHeight="1" x14ac:dyDescent="0.25">
      <c r="X3117" s="2"/>
      <c r="AM3117" s="2"/>
      <c r="EO3117" s="2"/>
      <c r="GT3117" s="155"/>
      <c r="HZ3117" s="2"/>
      <c r="KD3117" s="2"/>
    </row>
    <row r="3118" spans="24:292" ht="15" customHeight="1" x14ac:dyDescent="0.25">
      <c r="X3118" s="2"/>
      <c r="AM3118" s="2"/>
      <c r="EO3118" s="2"/>
      <c r="GT3118" s="155"/>
      <c r="HZ3118" s="2"/>
      <c r="KD3118" s="2"/>
    </row>
    <row r="3119" spans="24:292" ht="15" customHeight="1" x14ac:dyDescent="0.25">
      <c r="X3119" s="2"/>
      <c r="AM3119" s="2"/>
      <c r="EO3119" s="2"/>
      <c r="GT3119" s="155"/>
      <c r="HZ3119" s="2"/>
      <c r="KD3119" s="2"/>
      <c r="KE3119" s="2"/>
      <c r="KF3119" s="2"/>
    </row>
    <row r="3120" spans="24:292" ht="15" customHeight="1" x14ac:dyDescent="0.25">
      <c r="X3120" s="2"/>
      <c r="AM3120" s="2"/>
      <c r="EO3120" s="2"/>
      <c r="GT3120" s="155"/>
      <c r="HZ3120" s="2"/>
      <c r="KD3120" s="2"/>
    </row>
    <row r="3121" spans="24:293" ht="15" customHeight="1" x14ac:dyDescent="0.25">
      <c r="X3121" s="2"/>
      <c r="AM3121" s="2"/>
      <c r="EO3121" s="2"/>
      <c r="GT3121" s="155"/>
      <c r="HZ3121" s="2"/>
      <c r="KD3121" s="2"/>
    </row>
    <row r="3122" spans="24:293" ht="15" customHeight="1" x14ac:dyDescent="0.25">
      <c r="X3122" s="2"/>
      <c r="AM3122" s="2"/>
      <c r="EO3122" s="2"/>
      <c r="GT3122" s="155"/>
      <c r="HZ3122" s="2"/>
      <c r="KD3122" s="2"/>
    </row>
    <row r="3123" spans="24:293" ht="15" customHeight="1" x14ac:dyDescent="0.25">
      <c r="X3123" s="2"/>
      <c r="AM3123" s="2"/>
      <c r="EO3123" s="2"/>
      <c r="GT3123" s="155"/>
      <c r="HZ3123" s="2"/>
    </row>
    <row r="3124" spans="24:293" ht="15" customHeight="1" x14ac:dyDescent="0.25">
      <c r="X3124" s="2"/>
      <c r="AM3124" s="2"/>
      <c r="EO3124" s="2"/>
      <c r="GT3124" s="155"/>
      <c r="HZ3124" s="2"/>
      <c r="KD3124" s="2"/>
      <c r="KE3124" s="2"/>
      <c r="KF3124" s="2"/>
    </row>
    <row r="3125" spans="24:293" ht="15" customHeight="1" x14ac:dyDescent="0.25">
      <c r="X3125" s="2"/>
      <c r="AM3125" s="2"/>
      <c r="EO3125" s="2"/>
      <c r="GT3125" s="155"/>
      <c r="HZ3125" s="2"/>
      <c r="KD3125" s="2"/>
      <c r="KE3125" s="2"/>
    </row>
    <row r="3126" spans="24:293" ht="15" customHeight="1" x14ac:dyDescent="0.25">
      <c r="X3126" s="2"/>
      <c r="AM3126" s="2"/>
      <c r="EO3126" s="2"/>
      <c r="GT3126" s="155"/>
      <c r="HZ3126" s="2"/>
      <c r="KD3126" s="2"/>
      <c r="KE3126" s="2"/>
      <c r="KF3126" s="2"/>
    </row>
    <row r="3127" spans="24:293" ht="15" customHeight="1" x14ac:dyDescent="0.25">
      <c r="X3127" s="2"/>
      <c r="AM3127" s="2"/>
      <c r="EO3127" s="2"/>
      <c r="GT3127" s="155"/>
      <c r="HZ3127" s="2"/>
    </row>
    <row r="3128" spans="24:293" ht="15" customHeight="1" x14ac:dyDescent="0.25">
      <c r="X3128" s="2"/>
      <c r="AM3128" s="2"/>
      <c r="EO3128" s="2"/>
      <c r="GT3128" s="155"/>
      <c r="HZ3128" s="2"/>
    </row>
    <row r="3129" spans="24:293" ht="15" customHeight="1" x14ac:dyDescent="0.25">
      <c r="X3129" s="2"/>
      <c r="AM3129" s="2"/>
      <c r="EO3129" s="2"/>
      <c r="GT3129" s="155"/>
      <c r="HZ3129" s="2"/>
      <c r="KD3129" s="2"/>
    </row>
    <row r="3130" spans="24:293" ht="15" customHeight="1" x14ac:dyDescent="0.25">
      <c r="X3130" s="2"/>
      <c r="AM3130" s="2"/>
      <c r="EO3130" s="2"/>
      <c r="GT3130" s="155"/>
      <c r="HZ3130" s="2"/>
    </row>
    <row r="3131" spans="24:293" ht="15" customHeight="1" x14ac:dyDescent="0.25">
      <c r="X3131" s="2"/>
      <c r="AM3131" s="2"/>
      <c r="EO3131" s="2"/>
      <c r="GT3131" s="155"/>
      <c r="HZ3131" s="2"/>
      <c r="KD3131" s="2"/>
    </row>
    <row r="3132" spans="24:293" ht="15" customHeight="1" x14ac:dyDescent="0.25">
      <c r="X3132" s="2"/>
      <c r="AM3132" s="2"/>
      <c r="EO3132" s="2"/>
      <c r="GT3132" s="155"/>
      <c r="HZ3132" s="2"/>
      <c r="KD3132" s="2"/>
      <c r="KE3132" s="2"/>
    </row>
    <row r="3133" spans="24:293" ht="15" customHeight="1" x14ac:dyDescent="0.25">
      <c r="X3133" s="2"/>
      <c r="AM3133" s="2"/>
      <c r="EO3133" s="2"/>
      <c r="GT3133" s="155"/>
      <c r="HZ3133" s="2"/>
      <c r="KD3133" s="2"/>
    </row>
    <row r="3134" spans="24:293" ht="15" customHeight="1" x14ac:dyDescent="0.25">
      <c r="X3134" s="2"/>
      <c r="AM3134" s="2"/>
      <c r="EO3134" s="2"/>
      <c r="GT3134" s="155"/>
      <c r="HZ3134" s="2"/>
      <c r="KD3134" s="2"/>
      <c r="KE3134" s="2"/>
      <c r="KF3134" s="2"/>
      <c r="KG3134" s="2"/>
    </row>
    <row r="3135" spans="24:293" ht="15" customHeight="1" x14ac:dyDescent="0.25">
      <c r="X3135" s="2"/>
      <c r="AM3135" s="2"/>
      <c r="EO3135" s="2"/>
      <c r="GT3135" s="155"/>
      <c r="HZ3135" s="2"/>
      <c r="KD3135" s="2"/>
      <c r="KE3135" s="2"/>
      <c r="KF3135" s="2"/>
      <c r="KG3135" s="2"/>
    </row>
    <row r="3136" spans="24:293" ht="15" customHeight="1" x14ac:dyDescent="0.25">
      <c r="X3136" s="2"/>
      <c r="AM3136" s="2"/>
      <c r="EO3136" s="2"/>
      <c r="GT3136" s="155"/>
      <c r="HZ3136" s="2"/>
      <c r="KD3136" s="2"/>
      <c r="KE3136" s="2"/>
      <c r="KF3136" s="2"/>
      <c r="KG3136" s="2"/>
    </row>
    <row r="3137" spans="24:305" ht="15" customHeight="1" x14ac:dyDescent="0.25">
      <c r="X3137" s="2"/>
      <c r="AM3137" s="2"/>
      <c r="EO3137" s="2"/>
      <c r="GT3137" s="155"/>
      <c r="HZ3137" s="2"/>
    </row>
    <row r="3138" spans="24:305" ht="15" customHeight="1" x14ac:dyDescent="0.25">
      <c r="X3138" s="2"/>
      <c r="AM3138" s="2"/>
      <c r="EO3138" s="2"/>
      <c r="GT3138" s="155"/>
      <c r="HZ3138" s="2"/>
      <c r="KD3138" s="2"/>
    </row>
    <row r="3139" spans="24:305" ht="15" customHeight="1" x14ac:dyDescent="0.25">
      <c r="X3139" s="2"/>
      <c r="AM3139" s="2"/>
      <c r="EO3139" s="2"/>
      <c r="GT3139" s="155"/>
      <c r="HZ3139" s="2"/>
    </row>
    <row r="3140" spans="24:305" ht="15" customHeight="1" x14ac:dyDescent="0.25">
      <c r="Y3140" s="2"/>
      <c r="AO3140" s="2"/>
      <c r="ER3140" s="2"/>
      <c r="GY3140" s="155"/>
      <c r="IK3140" s="2"/>
      <c r="KP3140" s="2"/>
      <c r="KQ3140" s="2"/>
    </row>
    <row r="3141" spans="24:305" ht="15" customHeight="1" x14ac:dyDescent="0.25">
      <c r="Y3141" s="2"/>
      <c r="AO3141" s="2"/>
      <c r="ER3141" s="2"/>
      <c r="GY3141" s="155"/>
      <c r="IK3141" s="2"/>
    </row>
    <row r="3142" spans="24:305" ht="15" customHeight="1" x14ac:dyDescent="0.25">
      <c r="Y3142" s="2"/>
      <c r="AO3142" s="2"/>
      <c r="ER3142" s="2"/>
      <c r="GY3142" s="155"/>
      <c r="IK3142" s="2"/>
    </row>
    <row r="3143" spans="24:305" ht="15" customHeight="1" x14ac:dyDescent="0.25">
      <c r="Y3143" s="2"/>
      <c r="AO3143" s="2"/>
      <c r="ER3143" s="2"/>
      <c r="GY3143" s="155"/>
      <c r="IK3143" s="2"/>
      <c r="KP3143" s="2"/>
    </row>
    <row r="3144" spans="24:305" ht="15" customHeight="1" x14ac:dyDescent="0.25">
      <c r="Y3144" s="2"/>
      <c r="AO3144" s="2"/>
      <c r="ER3144" s="2"/>
      <c r="GY3144" s="155"/>
      <c r="IK3144" s="2"/>
      <c r="KP3144" s="2"/>
      <c r="KQ3144" s="2"/>
      <c r="KR3144" s="2"/>
      <c r="KS3144" s="2"/>
    </row>
    <row r="3145" spans="24:305" ht="15" customHeight="1" x14ac:dyDescent="0.25">
      <c r="Y3145" s="2"/>
      <c r="AO3145" s="2"/>
      <c r="ER3145" s="2"/>
      <c r="GY3145" s="155"/>
      <c r="IK3145" s="2"/>
      <c r="KP3145" s="2"/>
      <c r="KQ3145" s="2"/>
      <c r="KR3145" s="2"/>
    </row>
    <row r="3146" spans="24:305" ht="15" customHeight="1" x14ac:dyDescent="0.25">
      <c r="Y3146" s="2"/>
      <c r="AO3146" s="2"/>
      <c r="ER3146" s="2"/>
      <c r="GY3146" s="155"/>
      <c r="IK3146" s="2"/>
      <c r="KP3146" s="2"/>
    </row>
    <row r="3147" spans="24:305" ht="15" customHeight="1" x14ac:dyDescent="0.25">
      <c r="Y3147" s="2"/>
      <c r="AO3147" s="2"/>
      <c r="ER3147" s="2"/>
      <c r="GY3147" s="155"/>
      <c r="IK3147" s="2"/>
      <c r="KP3147" s="2"/>
    </row>
    <row r="3148" spans="24:305" ht="15" customHeight="1" x14ac:dyDescent="0.25">
      <c r="Y3148" s="2"/>
      <c r="AO3148" s="2"/>
      <c r="ER3148" s="2"/>
      <c r="GY3148" s="155"/>
      <c r="IK3148" s="2"/>
      <c r="KP3148" s="2"/>
      <c r="KQ3148" s="2"/>
    </row>
    <row r="3149" spans="24:305" ht="15" customHeight="1" x14ac:dyDescent="0.25">
      <c r="Y3149" s="2"/>
      <c r="AO3149" s="2"/>
      <c r="ER3149" s="2"/>
      <c r="GY3149" s="155"/>
      <c r="IK3149" s="2"/>
      <c r="KP3149" s="2"/>
      <c r="KQ3149" s="2"/>
      <c r="KR3149" s="2"/>
      <c r="KS3149" s="2"/>
    </row>
    <row r="3150" spans="24:305" ht="15" customHeight="1" x14ac:dyDescent="0.25">
      <c r="Y3150" s="2"/>
      <c r="AO3150" s="2"/>
      <c r="ER3150" s="2"/>
      <c r="GY3150" s="155"/>
      <c r="IK3150" s="2"/>
      <c r="KP3150" s="2"/>
      <c r="KQ3150" s="2"/>
    </row>
    <row r="3151" spans="24:305" ht="15" customHeight="1" x14ac:dyDescent="0.25">
      <c r="Y3151" s="2"/>
      <c r="AO3151" s="2"/>
      <c r="ER3151" s="2"/>
      <c r="GY3151" s="155"/>
      <c r="IK3151" s="2"/>
      <c r="KP3151" s="2"/>
      <c r="KQ3151" s="2"/>
    </row>
    <row r="3152" spans="24:305" ht="15" customHeight="1" x14ac:dyDescent="0.25">
      <c r="Y3152" s="2"/>
      <c r="AO3152" s="2"/>
      <c r="ER3152" s="2"/>
      <c r="GY3152" s="155"/>
      <c r="IK3152" s="2"/>
    </row>
    <row r="3153" spans="18:302" ht="15" customHeight="1" x14ac:dyDescent="0.25">
      <c r="Y3153" s="2"/>
      <c r="AO3153" s="2"/>
      <c r="ER3153" s="2"/>
      <c r="GY3153" s="155"/>
      <c r="IK3153" s="2"/>
    </row>
    <row r="3154" spans="18:302" ht="15" customHeight="1" x14ac:dyDescent="0.25">
      <c r="Y3154" s="2"/>
      <c r="AO3154" s="2"/>
      <c r="ER3154" s="2"/>
      <c r="GY3154" s="155"/>
      <c r="IK3154" s="2"/>
      <c r="KP3154" s="2"/>
    </row>
    <row r="3155" spans="18:302" ht="15" customHeight="1" x14ac:dyDescent="0.25">
      <c r="Y3155" s="2"/>
      <c r="AO3155" s="2"/>
      <c r="ER3155" s="2"/>
      <c r="GY3155" s="155"/>
      <c r="IK3155" s="2"/>
    </row>
    <row r="3156" spans="18:302" ht="15" customHeight="1" x14ac:dyDescent="0.25">
      <c r="Y3156" s="2"/>
      <c r="AO3156" s="2"/>
      <c r="ER3156" s="2"/>
      <c r="GY3156" s="155"/>
      <c r="IK3156" s="2"/>
    </row>
    <row r="3157" spans="18:302" ht="15" customHeight="1" x14ac:dyDescent="0.25">
      <c r="Y3157" s="2"/>
      <c r="AO3157" s="2"/>
      <c r="ER3157" s="2"/>
      <c r="GY3157" s="155"/>
      <c r="IK3157" s="2"/>
      <c r="KP3157" s="2"/>
    </row>
    <row r="3158" spans="18:302" ht="15" customHeight="1" x14ac:dyDescent="0.25">
      <c r="AM3158" s="2"/>
      <c r="EO3158" s="2"/>
      <c r="EV3158" s="2"/>
      <c r="GT3158" s="155"/>
      <c r="HZ3158" s="2"/>
    </row>
    <row r="3159" spans="18:302" ht="15" customHeight="1" x14ac:dyDescent="0.25">
      <c r="R3159" s="1"/>
      <c r="X3159" s="2"/>
      <c r="AM3159" s="2"/>
      <c r="EO3159" s="2"/>
      <c r="GT3159" s="155"/>
      <c r="HZ3159" s="2"/>
      <c r="KD3159" s="2"/>
    </row>
    <row r="3160" spans="18:302" ht="15" customHeight="1" x14ac:dyDescent="0.25">
      <c r="X3160" s="2"/>
      <c r="AM3160" s="2"/>
      <c r="GT3160" s="155"/>
      <c r="HZ3160" s="2"/>
      <c r="KD3160" s="2"/>
    </row>
    <row r="3161" spans="18:302" ht="15" customHeight="1" x14ac:dyDescent="0.25">
      <c r="X3161" s="2"/>
      <c r="AM3161" s="2"/>
      <c r="GT3161" s="155"/>
      <c r="HZ3161" s="2"/>
      <c r="KD3161" s="2"/>
    </row>
    <row r="3162" spans="18:302" ht="15" customHeight="1" x14ac:dyDescent="0.25">
      <c r="X3162" s="2"/>
      <c r="AM3162" s="2"/>
      <c r="GT3162" s="155"/>
      <c r="HZ3162" s="2"/>
      <c r="KD3162" s="2"/>
    </row>
    <row r="3163" spans="18:302" ht="15" customHeight="1" x14ac:dyDescent="0.25">
      <c r="X3163" s="2"/>
      <c r="AM3163" s="2"/>
      <c r="GT3163" s="155"/>
      <c r="HZ3163" s="2"/>
      <c r="KD3163" s="2"/>
    </row>
    <row r="3164" spans="18:302" ht="15" customHeight="1" x14ac:dyDescent="0.25">
      <c r="X3164" s="2"/>
      <c r="AM3164" s="2"/>
      <c r="GT3164" s="155"/>
      <c r="HZ3164" s="2"/>
      <c r="KD3164" s="2"/>
    </row>
    <row r="3165" spans="18:302" ht="15" customHeight="1" x14ac:dyDescent="0.25">
      <c r="X3165" s="2"/>
      <c r="AM3165" s="2"/>
      <c r="GT3165" s="155"/>
      <c r="HZ3165" s="2"/>
      <c r="KD3165" s="2"/>
    </row>
    <row r="3166" spans="18:302" ht="15" customHeight="1" x14ac:dyDescent="0.25">
      <c r="X3166" s="2"/>
      <c r="AM3166" s="2"/>
      <c r="GT3166" s="155"/>
      <c r="HZ3166" s="2"/>
      <c r="KD3166" s="2"/>
    </row>
    <row r="3167" spans="18:302" ht="15" customHeight="1" x14ac:dyDescent="0.25">
      <c r="X3167" s="2"/>
      <c r="AM3167" s="2"/>
      <c r="GT3167" s="155"/>
      <c r="HZ3167" s="2"/>
      <c r="KD3167" s="2"/>
    </row>
    <row r="3168" spans="18:302" ht="15" customHeight="1" x14ac:dyDescent="0.25">
      <c r="X3168" s="2"/>
      <c r="AM3168" s="2"/>
      <c r="GT3168" s="155"/>
      <c r="HZ3168" s="2"/>
      <c r="KD3168" s="2"/>
    </row>
    <row r="3169" spans="24:295" ht="15" customHeight="1" x14ac:dyDescent="0.25">
      <c r="X3169" s="2"/>
      <c r="AM3169" s="2"/>
      <c r="GT3169" s="155"/>
      <c r="HZ3169" s="2"/>
      <c r="KD3169" s="2"/>
    </row>
    <row r="3170" spans="24:295" ht="15" customHeight="1" x14ac:dyDescent="0.25">
      <c r="X3170" s="2"/>
      <c r="AM3170" s="2"/>
      <c r="GT3170" s="155"/>
      <c r="HZ3170" s="2"/>
      <c r="KD3170" s="2"/>
      <c r="KE3170" s="2"/>
      <c r="KF3170" s="2"/>
    </row>
    <row r="3171" spans="24:295" ht="15" customHeight="1" x14ac:dyDescent="0.25">
      <c r="X3171" s="2"/>
      <c r="AM3171" s="2"/>
      <c r="GT3171" s="155"/>
      <c r="HZ3171" s="2"/>
      <c r="KD3171" s="2"/>
    </row>
    <row r="3172" spans="24:295" ht="15" customHeight="1" x14ac:dyDescent="0.25">
      <c r="X3172" s="2"/>
      <c r="AM3172" s="2"/>
      <c r="GT3172" s="155"/>
      <c r="HZ3172" s="2"/>
      <c r="KD3172" s="2"/>
    </row>
    <row r="3173" spans="24:295" ht="15" customHeight="1" x14ac:dyDescent="0.25">
      <c r="X3173" s="2"/>
      <c r="AM3173" s="2"/>
      <c r="GT3173" s="155"/>
      <c r="HZ3173" s="2"/>
      <c r="KD3173" s="2"/>
    </row>
    <row r="3174" spans="24:295" ht="15" customHeight="1" x14ac:dyDescent="0.25">
      <c r="X3174" s="2"/>
      <c r="AM3174" s="2"/>
      <c r="GT3174" s="155"/>
      <c r="HZ3174" s="2"/>
      <c r="KD3174" s="2"/>
    </row>
    <row r="3175" spans="24:295" ht="15" customHeight="1" x14ac:dyDescent="0.25">
      <c r="X3175" s="2"/>
      <c r="AM3175" s="2"/>
      <c r="EO3175" s="2"/>
      <c r="GT3175" s="155"/>
      <c r="HZ3175" s="2"/>
      <c r="KD3175" s="2"/>
      <c r="KE3175" s="2"/>
    </row>
    <row r="3176" spans="24:295" ht="15" customHeight="1" x14ac:dyDescent="0.25">
      <c r="X3176" s="2"/>
      <c r="AM3176" s="2"/>
      <c r="EO3176" s="2"/>
      <c r="GT3176" s="155"/>
      <c r="HZ3176" s="2"/>
    </row>
    <row r="3177" spans="24:295" ht="15" customHeight="1" x14ac:dyDescent="0.25">
      <c r="X3177" s="2"/>
      <c r="AM3177" s="2"/>
      <c r="EO3177" s="2"/>
      <c r="GT3177" s="155"/>
      <c r="HZ3177" s="2"/>
    </row>
    <row r="3178" spans="24:295" ht="15" customHeight="1" x14ac:dyDescent="0.25">
      <c r="X3178" s="2"/>
      <c r="AM3178" s="2"/>
      <c r="EO3178" s="2"/>
      <c r="GT3178" s="155"/>
      <c r="HZ3178" s="2"/>
      <c r="KD3178" s="2"/>
      <c r="KE3178" s="2"/>
    </row>
    <row r="3179" spans="24:295" ht="15" customHeight="1" x14ac:dyDescent="0.25">
      <c r="X3179" s="2"/>
      <c r="AM3179" s="2"/>
      <c r="EO3179" s="2"/>
      <c r="GT3179" s="155"/>
      <c r="HZ3179" s="2"/>
      <c r="KD3179" s="2"/>
    </row>
    <row r="3180" spans="24:295" ht="15" customHeight="1" x14ac:dyDescent="0.25">
      <c r="X3180" s="2"/>
      <c r="AM3180" s="2"/>
      <c r="EO3180" s="2"/>
      <c r="GT3180" s="155"/>
      <c r="HZ3180" s="2"/>
      <c r="KD3180" s="2"/>
      <c r="KE3180" s="2"/>
    </row>
    <row r="3181" spans="24:295" ht="15" customHeight="1" x14ac:dyDescent="0.25">
      <c r="X3181" s="2"/>
      <c r="AM3181" s="2"/>
      <c r="EO3181" s="2"/>
      <c r="GT3181" s="155"/>
      <c r="HZ3181" s="2"/>
      <c r="KD3181" s="2"/>
    </row>
    <row r="3182" spans="24:295" ht="15" customHeight="1" x14ac:dyDescent="0.25">
      <c r="X3182" s="2"/>
      <c r="AM3182" s="2"/>
      <c r="EO3182" s="2"/>
      <c r="GT3182" s="155"/>
      <c r="HZ3182" s="2"/>
      <c r="KD3182" s="2"/>
      <c r="KE3182" s="2"/>
      <c r="KF3182" s="2"/>
      <c r="KG3182" s="2"/>
      <c r="KH3182" s="2"/>
      <c r="KI3182" s="2"/>
    </row>
    <row r="3183" spans="24:295" ht="15" customHeight="1" x14ac:dyDescent="0.25">
      <c r="X3183" s="2"/>
      <c r="AM3183" s="2"/>
      <c r="EO3183" s="2"/>
      <c r="GT3183" s="155"/>
      <c r="HZ3183" s="2"/>
      <c r="KD3183" s="2"/>
      <c r="KE3183" s="2"/>
    </row>
    <row r="3184" spans="24:295" ht="15" customHeight="1" x14ac:dyDescent="0.25">
      <c r="X3184" s="2"/>
      <c r="AM3184" s="2"/>
      <c r="EO3184" s="2"/>
      <c r="GT3184" s="155"/>
      <c r="HZ3184" s="2"/>
      <c r="KD3184" s="2"/>
    </row>
    <row r="3185" spans="18:295" ht="15" customHeight="1" x14ac:dyDescent="0.25">
      <c r="X3185" s="2"/>
      <c r="AM3185" s="2"/>
      <c r="EO3185" s="2"/>
      <c r="GT3185" s="155"/>
      <c r="HZ3185" s="2"/>
      <c r="KD3185" s="2"/>
      <c r="KE3185" s="2"/>
    </row>
    <row r="3186" spans="18:295" ht="15" customHeight="1" x14ac:dyDescent="0.25">
      <c r="R3186" s="1"/>
      <c r="T3186" s="1"/>
      <c r="X3186" s="2"/>
      <c r="AM3186" s="2"/>
      <c r="EO3186" s="2"/>
      <c r="GT3186" s="155"/>
      <c r="HZ3186" s="2"/>
      <c r="KD3186" s="2"/>
      <c r="KE3186" s="2"/>
    </row>
    <row r="3187" spans="18:295" ht="15" customHeight="1" x14ac:dyDescent="0.25">
      <c r="X3187" s="2"/>
      <c r="AM3187" s="2"/>
      <c r="EO3187" s="2"/>
      <c r="GT3187" s="155"/>
      <c r="HZ3187" s="2"/>
      <c r="KD3187" s="2"/>
      <c r="KE3187" s="2"/>
      <c r="KF3187" s="2"/>
      <c r="KG3187" s="2"/>
      <c r="KH3187" s="2"/>
      <c r="KI3187" s="2"/>
    </row>
    <row r="3188" spans="18:295" ht="15" customHeight="1" x14ac:dyDescent="0.25">
      <c r="X3188" s="2"/>
      <c r="AM3188" s="2"/>
      <c r="EO3188" s="2"/>
      <c r="GT3188" s="155"/>
      <c r="HZ3188" s="2"/>
      <c r="KD3188" s="2"/>
      <c r="KE3188" s="2"/>
    </row>
    <row r="3189" spans="18:295" ht="15" customHeight="1" x14ac:dyDescent="0.25">
      <c r="X3189" s="2"/>
      <c r="AM3189" s="2"/>
      <c r="EO3189" s="2"/>
      <c r="GT3189" s="155"/>
      <c r="HZ3189" s="2"/>
      <c r="KD3189" s="2"/>
      <c r="KE3189" s="2"/>
    </row>
    <row r="3190" spans="18:295" ht="15" customHeight="1" x14ac:dyDescent="0.25">
      <c r="X3190" s="2"/>
      <c r="AM3190" s="2"/>
      <c r="EO3190" s="2"/>
      <c r="GT3190" s="155"/>
      <c r="HZ3190" s="2"/>
      <c r="KD3190" s="2"/>
      <c r="KE3190" s="2"/>
    </row>
    <row r="3191" spans="18:295" ht="15" customHeight="1" x14ac:dyDescent="0.25">
      <c r="X3191" s="2"/>
      <c r="AM3191" s="2"/>
      <c r="EO3191" s="2"/>
      <c r="GT3191" s="155"/>
      <c r="HZ3191" s="2"/>
      <c r="KD3191" s="2"/>
    </row>
    <row r="3192" spans="18:295" ht="15" customHeight="1" x14ac:dyDescent="0.25">
      <c r="X3192" s="2"/>
      <c r="AM3192" s="2"/>
      <c r="EO3192" s="2"/>
      <c r="GT3192" s="155"/>
      <c r="HZ3192" s="2"/>
      <c r="KD3192" s="2"/>
    </row>
    <row r="3193" spans="18:295" ht="15" customHeight="1" x14ac:dyDescent="0.25">
      <c r="X3193" s="2"/>
      <c r="AM3193" s="2"/>
      <c r="EO3193" s="2"/>
      <c r="GT3193" s="155"/>
      <c r="HZ3193" s="2"/>
    </row>
    <row r="3194" spans="18:295" ht="15" customHeight="1" x14ac:dyDescent="0.25">
      <c r="X3194" s="2"/>
      <c r="AM3194" s="2"/>
      <c r="EO3194" s="2"/>
      <c r="GT3194" s="155"/>
      <c r="HZ3194" s="2"/>
      <c r="KD3194" s="2"/>
    </row>
    <row r="3195" spans="18:295" ht="15" customHeight="1" x14ac:dyDescent="0.25">
      <c r="X3195" s="2"/>
      <c r="AM3195" s="2"/>
      <c r="EO3195" s="2"/>
      <c r="GT3195" s="155"/>
      <c r="HZ3195" s="2"/>
      <c r="KD3195" s="2"/>
      <c r="KE3195" s="2"/>
      <c r="KF3195" s="2"/>
    </row>
    <row r="3196" spans="18:295" ht="15" customHeight="1" x14ac:dyDescent="0.25">
      <c r="X3196" s="2"/>
      <c r="AM3196" s="2"/>
      <c r="EO3196" s="2"/>
      <c r="GT3196" s="155"/>
      <c r="HZ3196" s="2"/>
      <c r="KD3196" s="2"/>
    </row>
    <row r="3197" spans="18:295" ht="15" customHeight="1" x14ac:dyDescent="0.25">
      <c r="X3197" s="2"/>
      <c r="AM3197" s="2"/>
      <c r="EO3197" s="2"/>
      <c r="GT3197" s="155"/>
      <c r="HZ3197" s="2"/>
    </row>
    <row r="3198" spans="18:295" ht="15" customHeight="1" x14ac:dyDescent="0.25">
      <c r="X3198" s="2"/>
      <c r="AM3198" s="2"/>
      <c r="EO3198" s="2"/>
      <c r="GT3198" s="155"/>
      <c r="HZ3198" s="2"/>
      <c r="KD3198" s="2"/>
    </row>
    <row r="3199" spans="18:295" ht="15" customHeight="1" x14ac:dyDescent="0.25">
      <c r="X3199" s="2"/>
      <c r="AM3199" s="2"/>
      <c r="EO3199" s="2"/>
      <c r="GT3199" s="155"/>
      <c r="HZ3199" s="2"/>
      <c r="KD3199" s="2"/>
    </row>
    <row r="3200" spans="18:295" ht="15" customHeight="1" x14ac:dyDescent="0.25">
      <c r="X3200" s="2"/>
      <c r="AM3200" s="2"/>
      <c r="EO3200" s="2"/>
      <c r="GT3200" s="155"/>
      <c r="HZ3200" s="2"/>
      <c r="KD3200" s="2"/>
      <c r="KE3200" s="2"/>
    </row>
    <row r="3201" spans="24:301" ht="15" customHeight="1" x14ac:dyDescent="0.25">
      <c r="X3201" s="2"/>
      <c r="AM3201" s="2"/>
      <c r="EO3201" s="2"/>
      <c r="GT3201" s="155"/>
      <c r="HZ3201" s="2"/>
      <c r="KD3201" s="2"/>
    </row>
    <row r="3202" spans="24:301" ht="15" customHeight="1" x14ac:dyDescent="0.25">
      <c r="X3202" s="2"/>
      <c r="AM3202" s="2"/>
      <c r="EO3202" s="2"/>
      <c r="GT3202" s="155"/>
      <c r="HZ3202" s="2"/>
      <c r="KD3202" s="2"/>
      <c r="KE3202" s="2"/>
    </row>
    <row r="3203" spans="24:301" ht="15" customHeight="1" x14ac:dyDescent="0.25">
      <c r="X3203" s="2"/>
      <c r="AM3203" s="2"/>
      <c r="EO3203" s="2"/>
      <c r="GT3203" s="155"/>
      <c r="HZ3203" s="2"/>
      <c r="KD3203" s="2"/>
      <c r="KE3203" s="2"/>
      <c r="KF3203" s="2"/>
      <c r="KG3203" s="2"/>
      <c r="KH3203" s="2"/>
      <c r="KI3203" s="2"/>
      <c r="KJ3203" s="2"/>
      <c r="KK3203" s="2"/>
      <c r="KL3203" s="2"/>
      <c r="KM3203" s="2"/>
      <c r="KN3203" s="2"/>
      <c r="KO3203" s="2"/>
    </row>
    <row r="3204" spans="24:301" ht="15" customHeight="1" x14ac:dyDescent="0.25">
      <c r="X3204" s="2"/>
      <c r="AM3204" s="2"/>
      <c r="EO3204" s="2"/>
      <c r="GT3204" s="155"/>
      <c r="HZ3204" s="2"/>
      <c r="KD3204" s="2"/>
      <c r="KE3204" s="2"/>
      <c r="KF3204" s="2"/>
    </row>
    <row r="3205" spans="24:301" ht="15" customHeight="1" x14ac:dyDescent="0.25">
      <c r="X3205" s="2"/>
      <c r="AM3205" s="2"/>
      <c r="EO3205" s="2"/>
      <c r="GT3205" s="155"/>
      <c r="HZ3205" s="2"/>
      <c r="KD3205" s="2"/>
    </row>
    <row r="3206" spans="24:301" ht="15" customHeight="1" x14ac:dyDescent="0.25">
      <c r="X3206" s="2"/>
      <c r="AM3206" s="2"/>
      <c r="EO3206" s="2"/>
      <c r="GT3206" s="155"/>
      <c r="HZ3206" s="2"/>
      <c r="KD3206" s="2"/>
    </row>
    <row r="3207" spans="24:301" ht="15" customHeight="1" x14ac:dyDescent="0.25">
      <c r="X3207" s="2"/>
      <c r="AM3207" s="2"/>
      <c r="EO3207" s="2"/>
      <c r="GT3207" s="155"/>
      <c r="HZ3207" s="2"/>
      <c r="KD3207" s="2"/>
      <c r="KE3207" s="2"/>
    </row>
    <row r="3208" spans="24:301" ht="15" customHeight="1" x14ac:dyDescent="0.25">
      <c r="X3208" s="2"/>
      <c r="AM3208" s="2"/>
      <c r="EO3208" s="2"/>
      <c r="GT3208" s="155"/>
      <c r="HZ3208" s="2"/>
      <c r="KD3208" s="2"/>
    </row>
    <row r="3209" spans="24:301" ht="15" customHeight="1" x14ac:dyDescent="0.25">
      <c r="X3209" s="2"/>
      <c r="AM3209" s="2"/>
      <c r="EO3209" s="2"/>
      <c r="GT3209" s="155"/>
      <c r="HZ3209" s="2"/>
      <c r="KD3209" s="2"/>
    </row>
    <row r="3210" spans="24:301" ht="15" customHeight="1" x14ac:dyDescent="0.25">
      <c r="X3210" s="2"/>
      <c r="AM3210" s="2"/>
      <c r="EO3210" s="2"/>
      <c r="GT3210" s="155"/>
      <c r="HZ3210" s="2"/>
    </row>
    <row r="3211" spans="24:301" ht="15" customHeight="1" x14ac:dyDescent="0.25">
      <c r="X3211" s="2"/>
      <c r="AM3211" s="2"/>
      <c r="EO3211" s="2"/>
      <c r="GT3211" s="155"/>
      <c r="HZ3211" s="2"/>
    </row>
    <row r="3212" spans="24:301" ht="15" customHeight="1" x14ac:dyDescent="0.25">
      <c r="X3212" s="2"/>
      <c r="AM3212" s="2"/>
      <c r="EO3212" s="2"/>
      <c r="GT3212" s="155"/>
      <c r="HZ3212" s="2"/>
    </row>
    <row r="3213" spans="24:301" ht="15" customHeight="1" x14ac:dyDescent="0.25">
      <c r="X3213" s="2"/>
      <c r="AM3213" s="2"/>
      <c r="EO3213" s="2"/>
      <c r="GT3213" s="155"/>
      <c r="HZ3213" s="2"/>
      <c r="KD3213" s="2"/>
    </row>
    <row r="3214" spans="24:301" ht="15" customHeight="1" x14ac:dyDescent="0.25">
      <c r="X3214" s="2"/>
      <c r="AM3214" s="2"/>
      <c r="EO3214" s="2"/>
      <c r="GT3214" s="155"/>
      <c r="HZ3214" s="2"/>
      <c r="KD3214" s="2"/>
    </row>
    <row r="3215" spans="24:301" ht="15" customHeight="1" x14ac:dyDescent="0.25">
      <c r="X3215" s="2"/>
      <c r="AM3215" s="2"/>
      <c r="EO3215" s="2"/>
      <c r="GT3215" s="155"/>
      <c r="HZ3215" s="2"/>
      <c r="KD3215" s="2"/>
      <c r="KE3215" s="2"/>
    </row>
    <row r="3216" spans="24:301" ht="15" customHeight="1" x14ac:dyDescent="0.25">
      <c r="X3216" s="2"/>
      <c r="AM3216" s="2"/>
      <c r="EO3216" s="2"/>
      <c r="GT3216" s="155"/>
      <c r="HZ3216" s="2"/>
      <c r="KD3216" s="2"/>
      <c r="KE3216" s="2"/>
    </row>
    <row r="3217" spans="24:302" ht="15" customHeight="1" x14ac:dyDescent="0.25">
      <c r="X3217" s="2"/>
      <c r="AM3217" s="2"/>
      <c r="EO3217" s="2"/>
      <c r="GT3217" s="155"/>
      <c r="HZ3217" s="2"/>
      <c r="KD3217" s="2"/>
    </row>
    <row r="3218" spans="24:302" ht="15" customHeight="1" x14ac:dyDescent="0.25">
      <c r="X3218" s="2"/>
      <c r="AM3218" s="2"/>
      <c r="EO3218" s="2"/>
      <c r="GT3218" s="155"/>
      <c r="HZ3218" s="2"/>
    </row>
    <row r="3219" spans="24:302" ht="15" customHeight="1" x14ac:dyDescent="0.25">
      <c r="X3219" s="2"/>
      <c r="AM3219" s="2"/>
      <c r="EO3219" s="2"/>
      <c r="GT3219" s="155"/>
      <c r="HZ3219" s="2"/>
      <c r="KD3219" s="2"/>
      <c r="KE3219" s="2"/>
    </row>
    <row r="3220" spans="24:302" ht="15" customHeight="1" x14ac:dyDescent="0.25">
      <c r="Y3220" s="2"/>
      <c r="AO3220" s="2"/>
      <c r="ER3220" s="2"/>
      <c r="GY3220" s="155"/>
      <c r="IK3220" s="2"/>
    </row>
    <row r="3221" spans="24:302" ht="15" customHeight="1" x14ac:dyDescent="0.25">
      <c r="Y3221" s="2"/>
      <c r="AO3221" s="2"/>
      <c r="ER3221" s="2"/>
      <c r="GY3221" s="155"/>
      <c r="IK3221" s="2"/>
      <c r="KP3221" s="2"/>
    </row>
    <row r="3222" spans="24:302" ht="15" customHeight="1" x14ac:dyDescent="0.25">
      <c r="Y3222" s="2"/>
      <c r="AO3222" s="2"/>
      <c r="ER3222" s="2"/>
      <c r="GY3222" s="155"/>
      <c r="IK3222" s="2"/>
    </row>
    <row r="3223" spans="24:302" ht="15" customHeight="1" x14ac:dyDescent="0.25">
      <c r="Y3223" s="2"/>
      <c r="AO3223" s="2"/>
      <c r="ER3223" s="2"/>
      <c r="GY3223" s="155"/>
      <c r="IK3223" s="2"/>
      <c r="KP3223" s="2"/>
    </row>
    <row r="3224" spans="24:302" ht="15" customHeight="1" x14ac:dyDescent="0.25">
      <c r="X3224" s="2"/>
      <c r="AM3224" s="2"/>
      <c r="EO3224" s="2"/>
      <c r="GT3224" s="155"/>
      <c r="HZ3224" s="2"/>
    </row>
    <row r="3225" spans="24:302" ht="15" customHeight="1" x14ac:dyDescent="0.25">
      <c r="X3225" s="2"/>
      <c r="AM3225" s="2"/>
      <c r="GT3225" s="155"/>
      <c r="HZ3225" s="2"/>
      <c r="KD3225" s="2"/>
      <c r="KE3225" s="2"/>
      <c r="KF3225" s="2"/>
    </row>
    <row r="3226" spans="24:302" ht="15" customHeight="1" x14ac:dyDescent="0.25">
      <c r="X3226" s="2"/>
      <c r="AM3226" s="2"/>
      <c r="GT3226" s="155"/>
      <c r="HZ3226" s="2"/>
      <c r="KD3226" s="2"/>
    </row>
    <row r="3227" spans="24:302" ht="15" customHeight="1" x14ac:dyDescent="0.25">
      <c r="X3227" s="2"/>
      <c r="AM3227" s="2"/>
      <c r="GT3227" s="155"/>
      <c r="HZ3227" s="2"/>
      <c r="KD3227" s="2"/>
    </row>
    <row r="3228" spans="24:302" ht="15" customHeight="1" x14ac:dyDescent="0.25">
      <c r="X3228" s="2"/>
      <c r="AM3228" s="2"/>
      <c r="GT3228" s="155"/>
      <c r="HZ3228" s="2"/>
      <c r="KD3228" s="2"/>
    </row>
    <row r="3229" spans="24:302" ht="15" customHeight="1" x14ac:dyDescent="0.25">
      <c r="X3229" s="2"/>
      <c r="AM3229" s="2"/>
      <c r="GT3229" s="155"/>
      <c r="HZ3229" s="2"/>
      <c r="KD3229" s="2"/>
    </row>
    <row r="3230" spans="24:302" ht="15" customHeight="1" x14ac:dyDescent="0.25">
      <c r="X3230" s="2"/>
      <c r="AM3230" s="2"/>
      <c r="GT3230" s="155"/>
      <c r="HZ3230" s="2"/>
      <c r="KD3230" s="2"/>
    </row>
    <row r="3231" spans="24:302" ht="15" customHeight="1" x14ac:dyDescent="0.25">
      <c r="X3231" s="2"/>
      <c r="AM3231" s="2"/>
      <c r="GT3231" s="155"/>
      <c r="HZ3231" s="2"/>
      <c r="KD3231" s="2"/>
    </row>
    <row r="3232" spans="24:302" ht="15" customHeight="1" x14ac:dyDescent="0.25">
      <c r="X3232" s="2"/>
      <c r="AM3232" s="2"/>
      <c r="GT3232" s="155"/>
      <c r="HZ3232" s="2"/>
      <c r="KD3232" s="2"/>
    </row>
    <row r="3233" spans="24:293" ht="15" customHeight="1" x14ac:dyDescent="0.25">
      <c r="X3233" s="2"/>
      <c r="AM3233" s="2"/>
      <c r="GT3233" s="155"/>
      <c r="HZ3233" s="2"/>
      <c r="KD3233" s="2"/>
    </row>
    <row r="3234" spans="24:293" ht="15" customHeight="1" x14ac:dyDescent="0.25">
      <c r="X3234" s="2"/>
      <c r="AM3234" s="2"/>
      <c r="GT3234" s="155"/>
      <c r="HZ3234" s="2"/>
      <c r="KD3234" s="2"/>
    </row>
    <row r="3235" spans="24:293" ht="15" customHeight="1" x14ac:dyDescent="0.25">
      <c r="X3235" s="2"/>
      <c r="AM3235" s="2"/>
      <c r="GT3235" s="155"/>
      <c r="HZ3235" s="2"/>
      <c r="KD3235" s="2"/>
      <c r="KE3235" s="2"/>
    </row>
    <row r="3236" spans="24:293" ht="15" customHeight="1" x14ac:dyDescent="0.25">
      <c r="X3236" s="2"/>
      <c r="AM3236" s="2"/>
      <c r="GT3236" s="155"/>
      <c r="HZ3236" s="2"/>
      <c r="KD3236" s="2"/>
    </row>
    <row r="3237" spans="24:293" ht="15" customHeight="1" x14ac:dyDescent="0.25">
      <c r="X3237" s="2"/>
      <c r="AM3237" s="2"/>
      <c r="GT3237" s="155"/>
      <c r="HZ3237" s="2"/>
      <c r="KD3237" s="2"/>
    </row>
    <row r="3238" spans="24:293" ht="15" customHeight="1" x14ac:dyDescent="0.25">
      <c r="X3238" s="2"/>
      <c r="AM3238" s="2"/>
      <c r="GT3238" s="155"/>
      <c r="HZ3238" s="2"/>
      <c r="KD3238" s="2"/>
      <c r="KE3238" s="2"/>
    </row>
    <row r="3239" spans="24:293" ht="15" customHeight="1" x14ac:dyDescent="0.25">
      <c r="X3239" s="2"/>
      <c r="AM3239" s="2"/>
      <c r="GT3239" s="155"/>
      <c r="HZ3239" s="2"/>
      <c r="KD3239" s="2"/>
      <c r="KE3239" s="2"/>
    </row>
    <row r="3240" spans="24:293" ht="15" customHeight="1" x14ac:dyDescent="0.25">
      <c r="X3240" s="2"/>
      <c r="AM3240" s="2"/>
      <c r="EO3240" s="2"/>
      <c r="GT3240" s="155"/>
      <c r="HZ3240" s="2"/>
      <c r="KD3240" s="2"/>
      <c r="KE3240" s="2"/>
      <c r="KF3240" s="2"/>
    </row>
    <row r="3241" spans="24:293" ht="15" customHeight="1" x14ac:dyDescent="0.25">
      <c r="X3241" s="2"/>
      <c r="AM3241" s="2"/>
      <c r="EO3241" s="2"/>
      <c r="GT3241" s="155"/>
      <c r="HZ3241" s="2"/>
      <c r="KD3241" s="2"/>
      <c r="KE3241" s="2"/>
    </row>
    <row r="3242" spans="24:293" ht="15" customHeight="1" x14ac:dyDescent="0.25">
      <c r="X3242" s="2"/>
      <c r="AM3242" s="2"/>
      <c r="EO3242" s="2"/>
      <c r="GT3242" s="155"/>
      <c r="HZ3242" s="2"/>
    </row>
    <row r="3243" spans="24:293" ht="15" customHeight="1" x14ac:dyDescent="0.25">
      <c r="X3243" s="2"/>
      <c r="AM3243" s="2"/>
      <c r="EO3243" s="2"/>
      <c r="GT3243" s="155"/>
      <c r="HZ3243" s="2"/>
    </row>
    <row r="3244" spans="24:293" ht="15" customHeight="1" x14ac:dyDescent="0.25">
      <c r="X3244" s="2"/>
      <c r="AM3244" s="2"/>
      <c r="EO3244" s="2"/>
      <c r="GT3244" s="155"/>
      <c r="HZ3244" s="2"/>
      <c r="KD3244" s="2"/>
    </row>
    <row r="3245" spans="24:293" ht="15" customHeight="1" x14ac:dyDescent="0.25">
      <c r="X3245" s="2"/>
      <c r="AM3245" s="2"/>
      <c r="EO3245" s="2"/>
      <c r="GT3245" s="155"/>
      <c r="HZ3245" s="2"/>
      <c r="KD3245" s="2"/>
    </row>
    <row r="3246" spans="24:293" ht="15" customHeight="1" x14ac:dyDescent="0.25">
      <c r="X3246" s="2"/>
      <c r="AM3246" s="2"/>
      <c r="EO3246" s="2"/>
      <c r="GT3246" s="155"/>
      <c r="HZ3246" s="2"/>
      <c r="KD3246" s="2"/>
    </row>
    <row r="3247" spans="24:293" ht="15" customHeight="1" x14ac:dyDescent="0.25">
      <c r="X3247" s="2"/>
      <c r="AM3247" s="2"/>
      <c r="EO3247" s="2"/>
      <c r="GT3247" s="155"/>
      <c r="HZ3247" s="2"/>
      <c r="KD3247" s="2"/>
      <c r="KE3247" s="2"/>
    </row>
    <row r="3248" spans="24:293" ht="15" customHeight="1" x14ac:dyDescent="0.25">
      <c r="X3248" s="2"/>
      <c r="AM3248" s="2"/>
      <c r="EO3248" s="2"/>
      <c r="GT3248" s="155"/>
      <c r="HZ3248" s="2"/>
      <c r="KD3248" s="2"/>
      <c r="KE3248" s="2"/>
      <c r="KF3248" s="2"/>
      <c r="KG3248" s="2"/>
    </row>
    <row r="3249" spans="24:293" ht="15" customHeight="1" x14ac:dyDescent="0.25">
      <c r="X3249" s="2"/>
      <c r="AM3249" s="2"/>
      <c r="EO3249" s="2"/>
      <c r="GT3249" s="155"/>
      <c r="HZ3249" s="2"/>
      <c r="KD3249" s="2"/>
      <c r="KE3249" s="2"/>
      <c r="KF3249" s="2"/>
      <c r="KG3249" s="2"/>
    </row>
    <row r="3250" spans="24:293" ht="15" customHeight="1" x14ac:dyDescent="0.25">
      <c r="X3250" s="2"/>
      <c r="AM3250" s="2"/>
      <c r="EO3250" s="2"/>
      <c r="GT3250" s="155"/>
      <c r="HZ3250" s="2"/>
      <c r="KD3250" s="2"/>
      <c r="KE3250" s="2"/>
      <c r="KF3250" s="2"/>
    </row>
    <row r="3251" spans="24:293" ht="15" customHeight="1" x14ac:dyDescent="0.25">
      <c r="X3251" s="2"/>
      <c r="AM3251" s="2"/>
      <c r="EO3251" s="2"/>
      <c r="GT3251" s="155"/>
      <c r="HZ3251" s="2"/>
      <c r="KD3251" s="2"/>
    </row>
    <row r="3252" spans="24:293" ht="15" customHeight="1" x14ac:dyDescent="0.25">
      <c r="X3252" s="2"/>
      <c r="AM3252" s="2"/>
      <c r="EO3252" s="2"/>
      <c r="GT3252" s="155"/>
      <c r="HZ3252" s="2"/>
      <c r="KD3252" s="2"/>
    </row>
    <row r="3253" spans="24:293" ht="15" customHeight="1" x14ac:dyDescent="0.25">
      <c r="X3253" s="2"/>
      <c r="AM3253" s="2"/>
      <c r="EO3253" s="2"/>
      <c r="GT3253" s="155"/>
      <c r="HZ3253" s="2"/>
      <c r="KD3253" s="2"/>
      <c r="KE3253" s="2"/>
    </row>
    <row r="3254" spans="24:293" ht="15" customHeight="1" x14ac:dyDescent="0.25">
      <c r="X3254" s="2"/>
      <c r="AM3254" s="2"/>
      <c r="EO3254" s="2"/>
      <c r="GT3254" s="155"/>
      <c r="HZ3254" s="2"/>
      <c r="KD3254" s="2"/>
      <c r="KE3254" s="2"/>
    </row>
    <row r="3255" spans="24:293" ht="15" customHeight="1" x14ac:dyDescent="0.25">
      <c r="X3255" s="2"/>
      <c r="AM3255" s="2"/>
      <c r="EO3255" s="2"/>
      <c r="GT3255" s="155"/>
      <c r="HZ3255" s="2"/>
      <c r="KD3255" s="2"/>
      <c r="KE3255" s="2"/>
    </row>
    <row r="3256" spans="24:293" ht="15" customHeight="1" x14ac:dyDescent="0.25">
      <c r="X3256" s="2"/>
      <c r="AM3256" s="2"/>
      <c r="EO3256" s="2"/>
      <c r="GT3256" s="155"/>
      <c r="HZ3256" s="2"/>
      <c r="KD3256" s="2"/>
      <c r="KE3256" s="2"/>
    </row>
    <row r="3257" spans="24:293" ht="15" customHeight="1" x14ac:dyDescent="0.25">
      <c r="X3257" s="2"/>
      <c r="AM3257" s="2"/>
      <c r="EO3257" s="2"/>
      <c r="GT3257" s="155"/>
      <c r="HZ3257" s="2"/>
      <c r="KD3257" s="2"/>
    </row>
    <row r="3258" spans="24:293" ht="15" customHeight="1" x14ac:dyDescent="0.25">
      <c r="X3258" s="2"/>
      <c r="AM3258" s="2"/>
      <c r="EO3258" s="2"/>
      <c r="GT3258" s="155"/>
      <c r="HZ3258" s="2"/>
      <c r="KD3258" s="2"/>
      <c r="KE3258" s="2"/>
      <c r="KF3258" s="2"/>
      <c r="KG3258" s="2"/>
    </row>
    <row r="3259" spans="24:293" ht="15" customHeight="1" x14ac:dyDescent="0.25">
      <c r="X3259" s="2"/>
      <c r="AM3259" s="2"/>
      <c r="EO3259" s="2"/>
      <c r="GT3259" s="155"/>
      <c r="HZ3259" s="2"/>
    </row>
    <row r="3260" spans="24:293" ht="15" customHeight="1" x14ac:dyDescent="0.25">
      <c r="X3260" s="2"/>
      <c r="AM3260" s="2"/>
      <c r="EO3260" s="2"/>
      <c r="GT3260" s="155"/>
      <c r="HZ3260" s="2"/>
    </row>
    <row r="3261" spans="24:293" ht="15" customHeight="1" x14ac:dyDescent="0.25">
      <c r="X3261" s="2"/>
      <c r="AM3261" s="2"/>
      <c r="EO3261" s="2"/>
      <c r="GT3261" s="155"/>
      <c r="HZ3261" s="2"/>
    </row>
    <row r="3262" spans="24:293" ht="15" customHeight="1" x14ac:dyDescent="0.25">
      <c r="X3262" s="2"/>
      <c r="AM3262" s="2"/>
      <c r="EO3262" s="2"/>
      <c r="GT3262" s="155"/>
      <c r="HZ3262" s="2"/>
    </row>
    <row r="3263" spans="24:293" ht="15" customHeight="1" x14ac:dyDescent="0.25">
      <c r="X3263" s="2"/>
      <c r="AM3263" s="2"/>
      <c r="EO3263" s="2"/>
      <c r="GT3263" s="155"/>
      <c r="HZ3263" s="2"/>
    </row>
    <row r="3264" spans="24:293" ht="15" customHeight="1" x14ac:dyDescent="0.25">
      <c r="X3264" s="2"/>
      <c r="AM3264" s="2"/>
      <c r="EO3264" s="2"/>
      <c r="GT3264" s="155"/>
      <c r="HZ3264" s="2"/>
      <c r="KD3264" s="2"/>
    </row>
    <row r="3265" spans="24:292" ht="15" customHeight="1" x14ac:dyDescent="0.25">
      <c r="X3265" s="2"/>
      <c r="AM3265" s="2"/>
      <c r="EO3265" s="2"/>
      <c r="GT3265" s="155"/>
      <c r="HZ3265" s="2"/>
      <c r="KD3265" s="2"/>
      <c r="KE3265" s="2"/>
    </row>
    <row r="3266" spans="24:292" ht="15" customHeight="1" x14ac:dyDescent="0.25">
      <c r="X3266" s="2"/>
      <c r="AM3266" s="2"/>
      <c r="EO3266" s="2"/>
      <c r="GT3266" s="155"/>
      <c r="HZ3266" s="2"/>
      <c r="KD3266" s="2"/>
    </row>
    <row r="3267" spans="24:292" ht="15" customHeight="1" x14ac:dyDescent="0.25">
      <c r="X3267" s="2"/>
      <c r="AM3267" s="2"/>
      <c r="EO3267" s="2"/>
      <c r="GT3267" s="155"/>
      <c r="HZ3267" s="2"/>
      <c r="KD3267" s="2"/>
    </row>
    <row r="3268" spans="24:292" ht="15" customHeight="1" x14ac:dyDescent="0.25">
      <c r="X3268" s="2"/>
      <c r="AM3268" s="2"/>
      <c r="EO3268" s="2"/>
      <c r="GT3268" s="155"/>
      <c r="HZ3268" s="2"/>
      <c r="KD3268" s="2"/>
      <c r="KE3268" s="2"/>
      <c r="KF3268" s="2"/>
    </row>
    <row r="3269" spans="24:292" ht="15" customHeight="1" x14ac:dyDescent="0.25">
      <c r="X3269" s="2"/>
      <c r="AM3269" s="2"/>
      <c r="EO3269" s="2"/>
      <c r="GT3269" s="155"/>
      <c r="HZ3269" s="2"/>
      <c r="KD3269" s="2"/>
      <c r="KE3269" s="2"/>
      <c r="KF3269" s="2"/>
    </row>
    <row r="3270" spans="24:292" ht="15" customHeight="1" x14ac:dyDescent="0.25">
      <c r="X3270" s="2"/>
      <c r="AM3270" s="2"/>
      <c r="EO3270" s="2"/>
      <c r="GT3270" s="155"/>
      <c r="HZ3270" s="2"/>
      <c r="KD3270" s="2"/>
      <c r="KE3270" s="2"/>
    </row>
    <row r="3271" spans="24:292" ht="15" customHeight="1" x14ac:dyDescent="0.25">
      <c r="X3271" s="2"/>
      <c r="AM3271" s="2"/>
      <c r="EO3271" s="2"/>
      <c r="GT3271" s="155"/>
      <c r="HZ3271" s="2"/>
      <c r="KD3271" s="2"/>
      <c r="KE3271" s="2"/>
    </row>
    <row r="3272" spans="24:292" ht="15" customHeight="1" x14ac:dyDescent="0.25">
      <c r="X3272" s="2"/>
      <c r="AM3272" s="2"/>
      <c r="EO3272" s="2"/>
      <c r="GT3272" s="155"/>
      <c r="HZ3272" s="2"/>
      <c r="KD3272" s="2"/>
      <c r="KE3272" s="2"/>
    </row>
    <row r="3273" spans="24:292" ht="15" customHeight="1" x14ac:dyDescent="0.25">
      <c r="X3273" s="2"/>
      <c r="AM3273" s="2"/>
      <c r="EO3273" s="2"/>
      <c r="GT3273" s="155"/>
      <c r="HZ3273" s="2"/>
      <c r="KD3273" s="2"/>
    </row>
    <row r="3274" spans="24:292" ht="15" customHeight="1" x14ac:dyDescent="0.25">
      <c r="X3274" s="2"/>
      <c r="AM3274" s="2"/>
      <c r="EO3274" s="2"/>
      <c r="GT3274" s="155"/>
      <c r="HZ3274" s="2"/>
    </row>
    <row r="3275" spans="24:292" ht="15" customHeight="1" x14ac:dyDescent="0.25">
      <c r="X3275" s="2"/>
      <c r="AM3275" s="2"/>
      <c r="EO3275" s="2"/>
      <c r="GT3275" s="155"/>
      <c r="HZ3275" s="2"/>
      <c r="KD3275" s="2"/>
    </row>
    <row r="3276" spans="24:292" ht="15" customHeight="1" x14ac:dyDescent="0.25">
      <c r="X3276" s="2"/>
      <c r="AM3276" s="2"/>
      <c r="EO3276" s="2"/>
      <c r="GT3276" s="155"/>
      <c r="HZ3276" s="2"/>
      <c r="KD3276" s="2"/>
    </row>
    <row r="3277" spans="24:292" ht="15" customHeight="1" x14ac:dyDescent="0.25">
      <c r="X3277" s="2"/>
      <c r="AM3277" s="2"/>
      <c r="EO3277" s="2"/>
      <c r="GT3277" s="155"/>
      <c r="HZ3277" s="2"/>
      <c r="KD3277" s="2"/>
    </row>
    <row r="3278" spans="24:292" ht="15" customHeight="1" x14ac:dyDescent="0.25">
      <c r="X3278" s="2"/>
      <c r="AM3278" s="2"/>
      <c r="EO3278" s="2"/>
      <c r="GT3278" s="155"/>
      <c r="HZ3278" s="2"/>
      <c r="KD3278" s="2"/>
      <c r="KE3278" s="2"/>
    </row>
    <row r="3279" spans="24:292" ht="15" customHeight="1" x14ac:dyDescent="0.25">
      <c r="X3279" s="2"/>
      <c r="AM3279" s="2"/>
      <c r="EO3279" s="2"/>
      <c r="GT3279" s="155"/>
      <c r="HZ3279" s="2"/>
      <c r="KD3279" s="2"/>
      <c r="KE3279" s="2"/>
    </row>
    <row r="3280" spans="24:292" ht="15" customHeight="1" x14ac:dyDescent="0.25">
      <c r="X3280" s="2"/>
      <c r="AM3280" s="2"/>
      <c r="EO3280" s="2"/>
      <c r="GT3280" s="155"/>
      <c r="HZ3280" s="2"/>
      <c r="KD3280" s="2"/>
      <c r="KE3280" s="2"/>
      <c r="KF3280" s="2"/>
    </row>
    <row r="3281" spans="24:292" ht="15" customHeight="1" x14ac:dyDescent="0.25">
      <c r="X3281" s="2"/>
      <c r="AM3281" s="2"/>
      <c r="EO3281" s="2"/>
      <c r="GT3281" s="155"/>
      <c r="HZ3281" s="2"/>
    </row>
    <row r="3282" spans="24:292" ht="15" customHeight="1" x14ac:dyDescent="0.25">
      <c r="X3282" s="2"/>
      <c r="AM3282" s="2"/>
      <c r="EO3282" s="2"/>
      <c r="GT3282" s="155"/>
      <c r="HZ3282" s="2"/>
      <c r="KD3282" s="2"/>
    </row>
    <row r="3283" spans="24:292" ht="15" customHeight="1" x14ac:dyDescent="0.25">
      <c r="X3283" s="2"/>
      <c r="AM3283" s="2"/>
      <c r="EO3283" s="2"/>
      <c r="GT3283" s="155"/>
      <c r="HZ3283" s="2"/>
      <c r="KD3283" s="2"/>
      <c r="KE3283" s="2"/>
      <c r="KF3283" s="2"/>
    </row>
    <row r="3284" spans="24:292" ht="15" customHeight="1" x14ac:dyDescent="0.25">
      <c r="X3284" s="2"/>
      <c r="AM3284" s="2"/>
      <c r="EO3284" s="2"/>
      <c r="GT3284" s="155"/>
      <c r="HZ3284" s="2"/>
      <c r="KD3284" s="2"/>
      <c r="KE3284" s="2"/>
    </row>
    <row r="3285" spans="24:292" ht="15" customHeight="1" x14ac:dyDescent="0.25">
      <c r="X3285" s="2"/>
      <c r="AM3285" s="2"/>
      <c r="EO3285" s="2"/>
      <c r="GT3285" s="155"/>
      <c r="HZ3285" s="2"/>
    </row>
    <row r="3286" spans="24:292" ht="15" customHeight="1" x14ac:dyDescent="0.25">
      <c r="X3286" s="2"/>
      <c r="AM3286" s="2"/>
      <c r="EO3286" s="2"/>
      <c r="GT3286" s="155"/>
      <c r="HZ3286" s="2"/>
      <c r="KD3286" s="2"/>
    </row>
    <row r="3287" spans="24:292" ht="15" customHeight="1" x14ac:dyDescent="0.25">
      <c r="X3287" s="2"/>
      <c r="AM3287" s="2"/>
      <c r="EO3287" s="2"/>
      <c r="GT3287" s="155"/>
      <c r="HZ3287" s="2"/>
      <c r="KD3287" s="2"/>
    </row>
    <row r="3288" spans="24:292" ht="15" customHeight="1" x14ac:dyDescent="0.25">
      <c r="X3288" s="2"/>
      <c r="AM3288" s="2"/>
      <c r="EO3288" s="2"/>
      <c r="GT3288" s="155"/>
      <c r="HZ3288" s="2"/>
    </row>
    <row r="3289" spans="24:292" ht="15" customHeight="1" x14ac:dyDescent="0.25">
      <c r="X3289" s="2"/>
      <c r="AM3289" s="2"/>
      <c r="EO3289" s="2"/>
      <c r="GT3289" s="155"/>
      <c r="HZ3289" s="2"/>
    </row>
    <row r="3290" spans="24:292" ht="15" customHeight="1" x14ac:dyDescent="0.25">
      <c r="X3290" s="2"/>
      <c r="AM3290" s="2"/>
      <c r="EO3290" s="2"/>
      <c r="GT3290" s="155"/>
      <c r="HZ3290" s="2"/>
      <c r="KD3290" s="2"/>
      <c r="KE3290" s="2"/>
      <c r="KF3290" s="2"/>
    </row>
    <row r="3291" spans="24:292" ht="15" customHeight="1" x14ac:dyDescent="0.25">
      <c r="X3291" s="2"/>
      <c r="AM3291" s="2"/>
      <c r="EO3291" s="2"/>
      <c r="GT3291" s="155"/>
      <c r="HZ3291" s="2"/>
      <c r="KD3291" s="2"/>
    </row>
    <row r="3292" spans="24:292" ht="15" customHeight="1" x14ac:dyDescent="0.25">
      <c r="X3292" s="2"/>
      <c r="AM3292" s="2"/>
      <c r="EO3292" s="2"/>
      <c r="GT3292" s="155"/>
      <c r="HZ3292" s="2"/>
      <c r="KD3292" s="2"/>
    </row>
    <row r="3293" spans="24:292" ht="15" customHeight="1" x14ac:dyDescent="0.25">
      <c r="X3293" s="2"/>
      <c r="AM3293" s="2"/>
      <c r="EO3293" s="2"/>
      <c r="GT3293" s="155"/>
      <c r="HZ3293" s="2"/>
      <c r="KD3293" s="2"/>
      <c r="KE3293" s="2"/>
    </row>
    <row r="3294" spans="24:292" ht="15" customHeight="1" x14ac:dyDescent="0.25">
      <c r="X3294" s="2"/>
      <c r="AM3294" s="2"/>
      <c r="EO3294" s="2"/>
      <c r="GT3294" s="155"/>
      <c r="HZ3294" s="2"/>
      <c r="KD3294" s="2"/>
    </row>
    <row r="3295" spans="24:292" ht="15" customHeight="1" x14ac:dyDescent="0.25">
      <c r="X3295" s="2"/>
      <c r="AM3295" s="2"/>
      <c r="EO3295" s="2"/>
      <c r="GT3295" s="155"/>
      <c r="HZ3295" s="2"/>
      <c r="KD3295" s="2"/>
    </row>
    <row r="3296" spans="24:292" ht="15" customHeight="1" x14ac:dyDescent="0.25">
      <c r="X3296" s="2"/>
      <c r="AM3296" s="2"/>
      <c r="EO3296" s="2"/>
      <c r="GT3296" s="155"/>
      <c r="HZ3296" s="2"/>
      <c r="KD3296" s="2"/>
    </row>
    <row r="3297" spans="24:303" ht="15" customHeight="1" x14ac:dyDescent="0.25">
      <c r="X3297" s="2"/>
      <c r="AM3297" s="2"/>
      <c r="EO3297" s="2"/>
      <c r="GT3297" s="155"/>
      <c r="HZ3297" s="2"/>
      <c r="KD3297" s="2"/>
      <c r="KE3297" s="2"/>
    </row>
    <row r="3298" spans="24:303" ht="15" customHeight="1" x14ac:dyDescent="0.25">
      <c r="X3298" s="2"/>
      <c r="AM3298" s="2"/>
      <c r="EO3298" s="2"/>
      <c r="GT3298" s="155"/>
      <c r="HZ3298" s="2"/>
      <c r="KD3298" s="2"/>
    </row>
    <row r="3299" spans="24:303" ht="15" customHeight="1" x14ac:dyDescent="0.25">
      <c r="Y3299" s="2"/>
      <c r="AO3299" s="2"/>
      <c r="ER3299" s="2"/>
      <c r="GY3299" s="155"/>
      <c r="IK3299" s="2"/>
    </row>
    <row r="3300" spans="24:303" ht="15" customHeight="1" x14ac:dyDescent="0.25">
      <c r="Y3300" s="2"/>
      <c r="AO3300" s="2"/>
      <c r="ER3300" s="2"/>
      <c r="GY3300" s="155"/>
      <c r="IK3300" s="2"/>
      <c r="KP3300" s="2"/>
      <c r="KQ3300" s="2"/>
    </row>
    <row r="3301" spans="24:303" ht="15" customHeight="1" x14ac:dyDescent="0.25">
      <c r="Y3301" s="2"/>
      <c r="AO3301" s="2"/>
      <c r="ER3301" s="2"/>
      <c r="GY3301" s="155"/>
      <c r="IK3301" s="2"/>
      <c r="KP3301" s="2"/>
    </row>
    <row r="3302" spans="24:303" ht="15" customHeight="1" x14ac:dyDescent="0.25">
      <c r="Y3302" s="2"/>
      <c r="AO3302" s="2"/>
      <c r="ER3302" s="2"/>
      <c r="GY3302" s="155"/>
      <c r="IK3302" s="2"/>
      <c r="KP3302" s="2"/>
    </row>
    <row r="3303" spans="24:303" ht="15" customHeight="1" x14ac:dyDescent="0.25">
      <c r="Y3303" s="2"/>
      <c r="AO3303" s="2"/>
      <c r="ER3303" s="2"/>
      <c r="GY3303" s="155"/>
      <c r="IK3303" s="2"/>
      <c r="KP3303" s="2"/>
      <c r="KQ3303" s="2"/>
    </row>
    <row r="3304" spans="24:303" ht="15" customHeight="1" x14ac:dyDescent="0.25">
      <c r="Y3304" s="2"/>
      <c r="AO3304" s="2"/>
      <c r="ER3304" s="2"/>
      <c r="GY3304" s="155"/>
      <c r="IK3304" s="2"/>
      <c r="KP3304" s="2"/>
      <c r="KQ3304" s="2"/>
    </row>
    <row r="3305" spans="24:303" ht="15" customHeight="1" x14ac:dyDescent="0.25">
      <c r="Y3305" s="2"/>
      <c r="AO3305" s="2"/>
      <c r="ER3305" s="2"/>
      <c r="GY3305" s="155"/>
      <c r="IK3305" s="2"/>
      <c r="KP3305" s="2"/>
      <c r="KQ3305" s="2"/>
    </row>
    <row r="3306" spans="24:303" ht="15" customHeight="1" x14ac:dyDescent="0.25">
      <c r="Y3306" s="2"/>
      <c r="AO3306" s="2"/>
      <c r="ER3306" s="2"/>
      <c r="GY3306" s="155"/>
      <c r="IK3306" s="2"/>
      <c r="KP3306" s="2"/>
    </row>
    <row r="3307" spans="24:303" ht="15" customHeight="1" x14ac:dyDescent="0.25">
      <c r="Y3307" s="2"/>
      <c r="AO3307" s="2"/>
      <c r="ER3307" s="2"/>
      <c r="GY3307" s="155"/>
      <c r="IK3307" s="2"/>
      <c r="KP3307" s="2"/>
    </row>
    <row r="3308" spans="24:303" ht="15" customHeight="1" x14ac:dyDescent="0.25">
      <c r="Y3308" s="2"/>
      <c r="AO3308" s="2"/>
      <c r="ER3308" s="2"/>
      <c r="GY3308" s="155"/>
      <c r="IK3308" s="2"/>
    </row>
    <row r="3309" spans="24:303" ht="15" customHeight="1" x14ac:dyDescent="0.25">
      <c r="X3309" s="2"/>
      <c r="AM3309" s="2"/>
      <c r="GT3309" s="155"/>
      <c r="HZ3309" s="2"/>
      <c r="KD3309" s="2"/>
    </row>
    <row r="3310" spans="24:303" ht="15" customHeight="1" x14ac:dyDescent="0.25">
      <c r="X3310" s="2"/>
      <c r="AM3310" s="2"/>
      <c r="GT3310" s="155"/>
      <c r="HZ3310" s="2"/>
      <c r="KD3310" s="2"/>
    </row>
    <row r="3311" spans="24:303" ht="15" customHeight="1" x14ac:dyDescent="0.25">
      <c r="X3311" s="2"/>
      <c r="AM3311" s="2"/>
      <c r="GT3311" s="155"/>
      <c r="HZ3311" s="2"/>
      <c r="KD3311" s="2"/>
    </row>
    <row r="3312" spans="24:303" ht="15" customHeight="1" x14ac:dyDescent="0.25">
      <c r="X3312" s="2"/>
      <c r="AM3312" s="2"/>
      <c r="GT3312" s="155"/>
      <c r="HZ3312" s="2"/>
      <c r="KD3312" s="2"/>
    </row>
    <row r="3313" spans="24:291" ht="15" customHeight="1" x14ac:dyDescent="0.25">
      <c r="X3313" s="2"/>
      <c r="AM3313" s="2"/>
      <c r="GT3313" s="155"/>
      <c r="HZ3313" s="2"/>
      <c r="KD3313" s="2"/>
    </row>
    <row r="3314" spans="24:291" ht="15" customHeight="1" x14ac:dyDescent="0.25">
      <c r="X3314" s="2"/>
      <c r="AM3314" s="2"/>
      <c r="GT3314" s="155"/>
      <c r="HZ3314" s="2"/>
      <c r="KD3314" s="2"/>
    </row>
    <row r="3315" spans="24:291" ht="15" customHeight="1" x14ac:dyDescent="0.25">
      <c r="X3315" s="2"/>
      <c r="AM3315" s="2"/>
      <c r="GT3315" s="155"/>
      <c r="HZ3315" s="2"/>
      <c r="KD3315" s="2"/>
    </row>
    <row r="3316" spans="24:291" ht="15" customHeight="1" x14ac:dyDescent="0.25">
      <c r="X3316" s="2"/>
      <c r="AM3316" s="2"/>
      <c r="GT3316" s="155"/>
      <c r="HZ3316" s="2"/>
      <c r="KD3316" s="2"/>
    </row>
    <row r="3317" spans="24:291" ht="15" customHeight="1" x14ac:dyDescent="0.25">
      <c r="X3317" s="2"/>
      <c r="AM3317" s="2"/>
      <c r="GT3317" s="155"/>
      <c r="HZ3317" s="2"/>
      <c r="KD3317" s="2"/>
    </row>
    <row r="3318" spans="24:291" ht="15" customHeight="1" x14ac:dyDescent="0.25">
      <c r="X3318" s="2"/>
      <c r="AM3318" s="2"/>
      <c r="GT3318" s="155"/>
      <c r="HZ3318" s="2"/>
      <c r="KD3318" s="2"/>
    </row>
    <row r="3319" spans="24:291" ht="15" customHeight="1" x14ac:dyDescent="0.25">
      <c r="X3319" s="2"/>
      <c r="AM3319" s="2"/>
      <c r="GT3319" s="155"/>
      <c r="HZ3319" s="2"/>
      <c r="KD3319" s="2"/>
    </row>
    <row r="3320" spans="24:291" ht="15" customHeight="1" x14ac:dyDescent="0.25">
      <c r="X3320" s="2"/>
      <c r="AM3320" s="2"/>
      <c r="GT3320" s="155"/>
      <c r="HZ3320" s="2"/>
      <c r="KD3320" s="2"/>
    </row>
    <row r="3321" spans="24:291" ht="15" customHeight="1" x14ac:dyDescent="0.25">
      <c r="X3321" s="2"/>
      <c r="AM3321" s="2"/>
      <c r="GT3321" s="155"/>
      <c r="HZ3321" s="2"/>
      <c r="KD3321" s="2"/>
    </row>
    <row r="3322" spans="24:291" ht="15" customHeight="1" x14ac:dyDescent="0.25">
      <c r="X3322" s="2"/>
      <c r="AM3322" s="2"/>
      <c r="GT3322" s="155"/>
      <c r="HZ3322" s="2"/>
      <c r="KD3322" s="2"/>
    </row>
    <row r="3323" spans="24:291" ht="15" customHeight="1" x14ac:dyDescent="0.25">
      <c r="X3323" s="2"/>
      <c r="AM3323" s="2"/>
      <c r="GT3323" s="155"/>
      <c r="HZ3323" s="2"/>
      <c r="KD3323" s="2"/>
    </row>
    <row r="3324" spans="24:291" ht="15" customHeight="1" x14ac:dyDescent="0.25">
      <c r="X3324" s="2"/>
      <c r="AM3324" s="2"/>
      <c r="GT3324" s="155"/>
      <c r="HZ3324" s="2"/>
      <c r="KD3324" s="2"/>
    </row>
    <row r="3325" spans="24:291" ht="15" customHeight="1" x14ac:dyDescent="0.25">
      <c r="X3325" s="2"/>
      <c r="AM3325" s="2"/>
      <c r="GT3325" s="155"/>
      <c r="HZ3325" s="2"/>
      <c r="KD3325" s="2"/>
    </row>
    <row r="3326" spans="24:291" ht="15" customHeight="1" x14ac:dyDescent="0.25">
      <c r="X3326" s="2"/>
      <c r="AM3326" s="2"/>
      <c r="GT3326" s="155"/>
      <c r="HZ3326" s="2"/>
      <c r="KD3326" s="2"/>
    </row>
    <row r="3327" spans="24:291" ht="15" customHeight="1" x14ac:dyDescent="0.25">
      <c r="X3327" s="2"/>
      <c r="AM3327" s="2"/>
      <c r="EO3327" s="2"/>
      <c r="GT3327" s="155"/>
      <c r="HZ3327" s="2"/>
      <c r="KD3327" s="2"/>
      <c r="KE3327" s="2"/>
    </row>
    <row r="3328" spans="24:291" ht="15" customHeight="1" x14ac:dyDescent="0.25">
      <c r="X3328" s="2"/>
      <c r="AM3328" s="2"/>
      <c r="EO3328" s="2"/>
      <c r="GT3328" s="155"/>
      <c r="HZ3328" s="2"/>
    </row>
    <row r="3329" spans="24:303" ht="15" customHeight="1" x14ac:dyDescent="0.25">
      <c r="X3329" s="2"/>
      <c r="AM3329" s="2"/>
      <c r="EO3329" s="2"/>
      <c r="GT3329" s="155"/>
      <c r="HZ3329" s="2"/>
    </row>
    <row r="3330" spans="24:303" ht="15" customHeight="1" x14ac:dyDescent="0.25">
      <c r="X3330" s="2"/>
      <c r="AM3330" s="2"/>
      <c r="EO3330" s="2"/>
      <c r="GT3330" s="155"/>
      <c r="HZ3330" s="2"/>
    </row>
    <row r="3331" spans="24:303" ht="15" customHeight="1" x14ac:dyDescent="0.25">
      <c r="X3331" s="2"/>
      <c r="AM3331" s="2"/>
      <c r="EO3331" s="2"/>
      <c r="GT3331" s="155"/>
      <c r="HZ3331" s="2"/>
    </row>
    <row r="3332" spans="24:303" ht="15" customHeight="1" x14ac:dyDescent="0.25">
      <c r="X3332" s="2"/>
      <c r="AM3332" s="2"/>
      <c r="EO3332" s="2"/>
      <c r="GT3332" s="155"/>
      <c r="HZ3332" s="2"/>
      <c r="KD3332" s="2"/>
      <c r="KE3332" s="2"/>
    </row>
    <row r="3333" spans="24:303" ht="15" customHeight="1" x14ac:dyDescent="0.25">
      <c r="X3333" s="2"/>
      <c r="AM3333" s="2"/>
      <c r="EO3333" s="2"/>
      <c r="GT3333" s="155"/>
      <c r="HZ3333" s="2"/>
      <c r="KD3333" s="2"/>
    </row>
    <row r="3334" spans="24:303" ht="15" customHeight="1" x14ac:dyDescent="0.25">
      <c r="X3334" s="2"/>
      <c r="AM3334" s="2"/>
      <c r="EO3334" s="2"/>
      <c r="GT3334" s="155"/>
      <c r="HZ3334" s="2"/>
      <c r="KD3334" s="2"/>
    </row>
    <row r="3335" spans="24:303" ht="15" customHeight="1" x14ac:dyDescent="0.25">
      <c r="X3335" s="2"/>
      <c r="AM3335" s="2"/>
      <c r="EO3335" s="2"/>
      <c r="GT3335" s="155"/>
      <c r="HZ3335" s="2"/>
      <c r="KD3335" s="2"/>
      <c r="KE3335" s="2"/>
      <c r="KF3335" s="2"/>
    </row>
    <row r="3336" spans="24:303" ht="15" customHeight="1" x14ac:dyDescent="0.25">
      <c r="X3336" s="2"/>
      <c r="AM3336" s="2"/>
      <c r="EO3336" s="2"/>
      <c r="GT3336" s="155"/>
      <c r="HZ3336" s="2"/>
      <c r="KD3336" s="2"/>
      <c r="KE3336" s="2"/>
      <c r="KF3336" s="2"/>
      <c r="KG3336" s="2"/>
      <c r="KH3336" s="2"/>
      <c r="KI3336" s="2"/>
      <c r="KJ3336" s="2"/>
      <c r="KK3336" s="2"/>
      <c r="KL3336" s="2"/>
      <c r="KM3336" s="2"/>
      <c r="KN3336" s="2"/>
      <c r="KO3336" s="2"/>
      <c r="KP3336" s="2"/>
      <c r="KQ3336" s="2"/>
    </row>
    <row r="3337" spans="24:303" ht="15" customHeight="1" x14ac:dyDescent="0.25">
      <c r="X3337" s="2"/>
      <c r="AM3337" s="2"/>
      <c r="EO3337" s="2"/>
      <c r="GT3337" s="155"/>
      <c r="HZ3337" s="2"/>
      <c r="KD3337" s="2"/>
      <c r="KE3337" s="2"/>
      <c r="KF3337" s="2"/>
      <c r="KG3337" s="2"/>
      <c r="KH3337" s="2"/>
      <c r="KI3337" s="2"/>
      <c r="KJ3337" s="2"/>
      <c r="KK3337" s="2"/>
      <c r="KL3337" s="2"/>
    </row>
    <row r="3338" spans="24:303" ht="15" customHeight="1" x14ac:dyDescent="0.25">
      <c r="X3338" s="2"/>
      <c r="AM3338" s="2"/>
      <c r="EO3338" s="2"/>
      <c r="GT3338" s="155"/>
      <c r="HZ3338" s="2"/>
    </row>
    <row r="3339" spans="24:303" ht="15" customHeight="1" x14ac:dyDescent="0.25">
      <c r="X3339" s="2"/>
      <c r="AM3339" s="2"/>
      <c r="EO3339" s="2"/>
      <c r="GT3339" s="155"/>
      <c r="HZ3339" s="2"/>
      <c r="KD3339" s="2"/>
    </row>
    <row r="3340" spans="24:303" ht="15" customHeight="1" x14ac:dyDescent="0.25">
      <c r="X3340" s="2"/>
      <c r="AM3340" s="2"/>
      <c r="EO3340" s="2"/>
      <c r="GT3340" s="155"/>
      <c r="HZ3340" s="2"/>
      <c r="KD3340" s="2"/>
      <c r="KE3340" s="2"/>
    </row>
    <row r="3341" spans="24:303" ht="15" customHeight="1" x14ac:dyDescent="0.25">
      <c r="X3341" s="2"/>
      <c r="AM3341" s="2"/>
      <c r="EO3341" s="2"/>
      <c r="GT3341" s="155"/>
      <c r="HZ3341" s="2"/>
      <c r="KD3341" s="2"/>
      <c r="KE3341" s="2"/>
      <c r="KF3341" s="2"/>
    </row>
    <row r="3342" spans="24:303" ht="15" customHeight="1" x14ac:dyDescent="0.25">
      <c r="X3342" s="2"/>
      <c r="AM3342" s="2"/>
      <c r="EO3342" s="2"/>
      <c r="GT3342" s="155"/>
      <c r="HZ3342" s="2"/>
      <c r="KD3342" s="2"/>
      <c r="KE3342" s="2"/>
    </row>
    <row r="3343" spans="24:303" ht="15" customHeight="1" x14ac:dyDescent="0.25">
      <c r="X3343" s="2"/>
      <c r="AM3343" s="2"/>
      <c r="EO3343" s="2"/>
      <c r="GT3343" s="155"/>
      <c r="HZ3343" s="2"/>
      <c r="KD3343" s="2"/>
      <c r="KE3343" s="2"/>
    </row>
    <row r="3344" spans="24:303" ht="15" customHeight="1" x14ac:dyDescent="0.25">
      <c r="X3344" s="2"/>
      <c r="AM3344" s="2"/>
      <c r="EO3344" s="2"/>
      <c r="GT3344" s="155"/>
      <c r="HZ3344" s="2"/>
      <c r="KD3344" s="2"/>
      <c r="KE3344" s="2"/>
      <c r="KF3344" s="2"/>
    </row>
    <row r="3345" spans="18:293" ht="15" customHeight="1" x14ac:dyDescent="0.25">
      <c r="X3345" s="2"/>
      <c r="AM3345" s="2"/>
      <c r="EO3345" s="2"/>
      <c r="GT3345" s="155"/>
      <c r="HZ3345" s="2"/>
      <c r="KD3345" s="2"/>
      <c r="KE3345" s="2"/>
      <c r="KF3345" s="2"/>
      <c r="KG3345" s="2"/>
    </row>
    <row r="3346" spans="18:293" ht="15" customHeight="1" x14ac:dyDescent="0.25">
      <c r="X3346" s="2"/>
      <c r="AM3346" s="2"/>
      <c r="EO3346" s="2"/>
      <c r="GT3346" s="155"/>
      <c r="HZ3346" s="2"/>
      <c r="KD3346" s="2"/>
      <c r="KE3346" s="2"/>
      <c r="KF3346" s="2"/>
      <c r="KG3346" s="2"/>
    </row>
    <row r="3347" spans="18:293" ht="15" customHeight="1" x14ac:dyDescent="0.25">
      <c r="X3347" s="2"/>
      <c r="AM3347" s="2"/>
      <c r="EO3347" s="2"/>
      <c r="GT3347" s="155"/>
      <c r="HZ3347" s="2"/>
      <c r="KD3347" s="2"/>
      <c r="KE3347" s="2"/>
      <c r="KF3347" s="2"/>
      <c r="KG3347" s="2"/>
    </row>
    <row r="3348" spans="18:293" ht="15" customHeight="1" x14ac:dyDescent="0.25">
      <c r="X3348" s="2"/>
      <c r="AM3348" s="2"/>
      <c r="EO3348" s="2"/>
      <c r="GT3348" s="155"/>
      <c r="HZ3348" s="2"/>
      <c r="KD3348" s="2"/>
      <c r="KE3348" s="2"/>
      <c r="KF3348" s="2"/>
    </row>
    <row r="3349" spans="18:293" ht="15" customHeight="1" x14ac:dyDescent="0.25">
      <c r="X3349" s="2"/>
      <c r="AM3349" s="2"/>
      <c r="EO3349" s="2"/>
      <c r="GT3349" s="155"/>
      <c r="HZ3349" s="2"/>
      <c r="KD3349" s="2"/>
      <c r="KE3349" s="2"/>
      <c r="KF3349" s="2"/>
      <c r="KG3349" s="2"/>
    </row>
    <row r="3350" spans="18:293" ht="15" customHeight="1" x14ac:dyDescent="0.25">
      <c r="X3350" s="2"/>
      <c r="AM3350" s="2"/>
      <c r="EO3350" s="2"/>
      <c r="GT3350" s="155"/>
      <c r="HZ3350" s="2"/>
      <c r="KD3350" s="2"/>
      <c r="KE3350" s="2"/>
    </row>
    <row r="3351" spans="18:293" ht="15" customHeight="1" x14ac:dyDescent="0.25">
      <c r="X3351" s="2"/>
      <c r="AM3351" s="2"/>
      <c r="EO3351" s="2"/>
      <c r="GT3351" s="155"/>
      <c r="HZ3351" s="2"/>
      <c r="KD3351" s="2"/>
    </row>
    <row r="3352" spans="18:293" ht="15" customHeight="1" x14ac:dyDescent="0.25">
      <c r="R3352" s="1"/>
      <c r="T3352" s="1"/>
      <c r="X3352" s="2"/>
      <c r="AM3352" s="2"/>
      <c r="EO3352" s="2"/>
      <c r="GT3352" s="155"/>
      <c r="HZ3352" s="2"/>
      <c r="KD3352" s="2"/>
      <c r="KE3352" s="2"/>
      <c r="KF3352" s="2"/>
    </row>
    <row r="3353" spans="18:293" ht="15" customHeight="1" x14ac:dyDescent="0.25">
      <c r="X3353" s="2"/>
      <c r="AM3353" s="2"/>
      <c r="EO3353" s="2"/>
      <c r="GT3353" s="155"/>
      <c r="HZ3353" s="2"/>
      <c r="KD3353" s="2"/>
      <c r="KE3353" s="2"/>
    </row>
    <row r="3354" spans="18:293" ht="15" customHeight="1" x14ac:dyDescent="0.25">
      <c r="R3354" s="1"/>
      <c r="T3354" s="1"/>
      <c r="X3354" s="2"/>
      <c r="AM3354" s="2"/>
      <c r="EO3354" s="2"/>
      <c r="GT3354" s="155"/>
      <c r="HZ3354" s="2"/>
    </row>
    <row r="3355" spans="18:293" ht="15" customHeight="1" x14ac:dyDescent="0.25">
      <c r="X3355" s="2"/>
      <c r="AM3355" s="2"/>
      <c r="EO3355" s="2"/>
      <c r="GT3355" s="155"/>
      <c r="HZ3355" s="2"/>
      <c r="KD3355" s="2"/>
      <c r="KE3355" s="2"/>
    </row>
    <row r="3356" spans="18:293" ht="15" customHeight="1" x14ac:dyDescent="0.25">
      <c r="R3356" s="1"/>
      <c r="T3356" s="1"/>
      <c r="X3356" s="2"/>
      <c r="AM3356" s="2"/>
      <c r="EO3356" s="2"/>
      <c r="GT3356" s="155"/>
      <c r="HZ3356" s="2"/>
      <c r="KD3356" s="2"/>
    </row>
    <row r="3357" spans="18:293" ht="15" customHeight="1" x14ac:dyDescent="0.25">
      <c r="X3357" s="2"/>
      <c r="AM3357" s="2"/>
      <c r="EO3357" s="2"/>
      <c r="GT3357" s="155"/>
      <c r="HZ3357" s="2"/>
      <c r="KD3357" s="2"/>
      <c r="KE3357" s="2"/>
    </row>
    <row r="3358" spans="18:293" ht="15" customHeight="1" x14ac:dyDescent="0.25">
      <c r="X3358" s="2"/>
      <c r="AM3358" s="2"/>
      <c r="EO3358" s="2"/>
      <c r="GT3358" s="155"/>
      <c r="HZ3358" s="2"/>
      <c r="KD3358" s="2"/>
    </row>
    <row r="3359" spans="18:293" ht="15" customHeight="1" x14ac:dyDescent="0.25">
      <c r="X3359" s="2"/>
      <c r="AM3359" s="2"/>
      <c r="EO3359" s="2"/>
      <c r="GT3359" s="155"/>
      <c r="HZ3359" s="2"/>
      <c r="KD3359" s="2"/>
      <c r="KE3359" s="2"/>
      <c r="KF3359" s="2"/>
    </row>
    <row r="3360" spans="18:293" ht="15" customHeight="1" x14ac:dyDescent="0.25">
      <c r="X3360" s="2"/>
      <c r="AM3360" s="2"/>
      <c r="EO3360" s="2"/>
      <c r="GT3360" s="155"/>
      <c r="HZ3360" s="2"/>
      <c r="KD3360" s="2"/>
    </row>
    <row r="3361" spans="18:292" ht="15" customHeight="1" x14ac:dyDescent="0.25">
      <c r="X3361" s="2"/>
      <c r="AM3361" s="2"/>
      <c r="EO3361" s="2"/>
      <c r="GT3361" s="155"/>
      <c r="HZ3361" s="2"/>
      <c r="KD3361" s="2"/>
      <c r="KE3361" s="2"/>
    </row>
    <row r="3362" spans="18:292" ht="15" customHeight="1" x14ac:dyDescent="0.25">
      <c r="X3362" s="2"/>
      <c r="AM3362" s="2"/>
      <c r="EO3362" s="2"/>
      <c r="GT3362" s="155"/>
      <c r="HZ3362" s="2"/>
      <c r="KD3362" s="2"/>
      <c r="KE3362" s="2"/>
    </row>
    <row r="3363" spans="18:292" ht="15" customHeight="1" x14ac:dyDescent="0.25">
      <c r="X3363" s="2"/>
      <c r="AM3363" s="2"/>
      <c r="EO3363" s="2"/>
      <c r="GT3363" s="155"/>
      <c r="HZ3363" s="2"/>
      <c r="KD3363" s="2"/>
    </row>
    <row r="3364" spans="18:292" ht="15" customHeight="1" x14ac:dyDescent="0.25">
      <c r="R3364" s="1"/>
      <c r="T3364" s="1"/>
      <c r="X3364" s="2"/>
      <c r="AM3364" s="2"/>
      <c r="EO3364" s="2"/>
      <c r="GT3364" s="155"/>
      <c r="HZ3364" s="2"/>
    </row>
    <row r="3365" spans="18:292" ht="15" customHeight="1" x14ac:dyDescent="0.25">
      <c r="R3365" s="1"/>
      <c r="T3365" s="1"/>
      <c r="X3365" s="2"/>
      <c r="AM3365" s="2"/>
      <c r="EO3365" s="2"/>
      <c r="GT3365" s="155"/>
      <c r="HZ3365" s="2"/>
      <c r="KD3365" s="2"/>
    </row>
    <row r="3366" spans="18:292" ht="15" customHeight="1" x14ac:dyDescent="0.25">
      <c r="X3366" s="2"/>
      <c r="AM3366" s="2"/>
      <c r="EO3366" s="2"/>
      <c r="GT3366" s="155"/>
      <c r="HZ3366" s="2"/>
      <c r="KD3366" s="2"/>
    </row>
    <row r="3367" spans="18:292" ht="15" customHeight="1" x14ac:dyDescent="0.25">
      <c r="X3367" s="2"/>
      <c r="AM3367" s="2"/>
      <c r="EO3367" s="2"/>
      <c r="GT3367" s="155"/>
      <c r="HZ3367" s="2"/>
      <c r="KD3367" s="2"/>
      <c r="KE3367" s="2"/>
    </row>
    <row r="3368" spans="18:292" ht="15" customHeight="1" x14ac:dyDescent="0.25">
      <c r="X3368" s="2"/>
      <c r="AM3368" s="2"/>
      <c r="EO3368" s="2"/>
      <c r="GT3368" s="155"/>
      <c r="HZ3368" s="2"/>
      <c r="KD3368" s="2"/>
      <c r="KE3368" s="2"/>
      <c r="KF3368" s="2"/>
    </row>
    <row r="3369" spans="18:292" ht="15" customHeight="1" x14ac:dyDescent="0.25">
      <c r="X3369" s="2"/>
      <c r="AM3369" s="2"/>
      <c r="EO3369" s="2"/>
      <c r="GT3369" s="155"/>
      <c r="HZ3369" s="2"/>
      <c r="KD3369" s="2"/>
    </row>
    <row r="3370" spans="18:292" ht="15" customHeight="1" x14ac:dyDescent="0.25">
      <c r="X3370" s="2"/>
      <c r="AM3370" s="2"/>
      <c r="EO3370" s="2"/>
      <c r="GT3370" s="155"/>
      <c r="HZ3370" s="2"/>
      <c r="KD3370" s="2"/>
    </row>
    <row r="3371" spans="18:292" ht="15" customHeight="1" x14ac:dyDescent="0.25">
      <c r="X3371" s="2"/>
      <c r="AM3371" s="2"/>
      <c r="EO3371" s="2"/>
      <c r="GT3371" s="155"/>
      <c r="HZ3371" s="2"/>
      <c r="KD3371" s="2"/>
    </row>
    <row r="3372" spans="18:292" ht="15" customHeight="1" x14ac:dyDescent="0.25">
      <c r="X3372" s="2"/>
      <c r="AM3372" s="2"/>
      <c r="EO3372" s="2"/>
      <c r="GT3372" s="155"/>
      <c r="HZ3372" s="2"/>
      <c r="KD3372" s="2"/>
    </row>
    <row r="3373" spans="18:292" ht="15" customHeight="1" x14ac:dyDescent="0.25">
      <c r="X3373" s="2"/>
      <c r="AM3373" s="2"/>
      <c r="EO3373" s="2"/>
      <c r="GT3373" s="155"/>
      <c r="HZ3373" s="2"/>
      <c r="KD3373" s="2"/>
    </row>
    <row r="3374" spans="18:292" ht="15" customHeight="1" x14ac:dyDescent="0.25">
      <c r="X3374" s="2"/>
      <c r="AM3374" s="2"/>
      <c r="EO3374" s="2"/>
      <c r="GT3374" s="155"/>
      <c r="HZ3374" s="2"/>
    </row>
    <row r="3375" spans="18:292" ht="15" customHeight="1" x14ac:dyDescent="0.25">
      <c r="X3375" s="2"/>
      <c r="AM3375" s="2"/>
      <c r="EO3375" s="2"/>
      <c r="GT3375" s="155"/>
      <c r="HZ3375" s="2"/>
      <c r="KD3375" s="2"/>
      <c r="KE3375" s="2"/>
      <c r="KF3375" s="2"/>
    </row>
    <row r="3376" spans="18:292" ht="15" customHeight="1" x14ac:dyDescent="0.25">
      <c r="X3376" s="2"/>
      <c r="AM3376" s="2"/>
      <c r="EO3376" s="2"/>
      <c r="GT3376" s="155"/>
      <c r="HZ3376" s="2"/>
      <c r="KD3376" s="2"/>
    </row>
    <row r="3377" spans="24:304" ht="15" customHeight="1" x14ac:dyDescent="0.25">
      <c r="X3377" s="2"/>
      <c r="AM3377" s="2"/>
      <c r="EO3377" s="2"/>
      <c r="GT3377" s="155"/>
      <c r="HZ3377" s="2"/>
      <c r="KD3377" s="2"/>
    </row>
    <row r="3378" spans="24:304" ht="15" customHeight="1" x14ac:dyDescent="0.25">
      <c r="X3378" s="2"/>
      <c r="AM3378" s="2"/>
      <c r="EO3378" s="2"/>
      <c r="GT3378" s="155"/>
      <c r="HZ3378" s="2"/>
    </row>
    <row r="3379" spans="24:304" ht="15" customHeight="1" x14ac:dyDescent="0.25">
      <c r="X3379" s="2"/>
      <c r="AM3379" s="2"/>
      <c r="EO3379" s="2"/>
      <c r="GT3379" s="155"/>
      <c r="HZ3379" s="2"/>
      <c r="KD3379" s="2"/>
      <c r="KE3379" s="2"/>
    </row>
    <row r="3380" spans="24:304" ht="15" customHeight="1" x14ac:dyDescent="0.25">
      <c r="X3380" s="2"/>
      <c r="AM3380" s="2"/>
      <c r="EO3380" s="2"/>
      <c r="GT3380" s="155"/>
      <c r="HZ3380" s="2"/>
      <c r="KD3380" s="2"/>
      <c r="KE3380" s="2"/>
      <c r="KF3380" s="2"/>
    </row>
    <row r="3381" spans="24:304" ht="15" customHeight="1" x14ac:dyDescent="0.25">
      <c r="X3381" s="2"/>
      <c r="AM3381" s="2"/>
      <c r="EO3381" s="2"/>
      <c r="GT3381" s="155"/>
      <c r="HZ3381" s="2"/>
    </row>
    <row r="3382" spans="24:304" ht="15" customHeight="1" x14ac:dyDescent="0.25">
      <c r="X3382" s="2"/>
      <c r="AM3382" s="2"/>
      <c r="EO3382" s="2"/>
      <c r="GT3382" s="155"/>
      <c r="HZ3382" s="2"/>
      <c r="KD3382" s="2"/>
    </row>
    <row r="3383" spans="24:304" ht="15" customHeight="1" x14ac:dyDescent="0.25">
      <c r="X3383" s="2"/>
      <c r="AM3383" s="2"/>
      <c r="EO3383" s="2"/>
      <c r="GT3383" s="155"/>
      <c r="HZ3383" s="2"/>
      <c r="KD3383" s="2"/>
    </row>
    <row r="3384" spans="24:304" ht="15" customHeight="1" x14ac:dyDescent="0.25">
      <c r="X3384" s="2"/>
      <c r="AM3384" s="2"/>
      <c r="EO3384" s="2"/>
      <c r="GT3384" s="155"/>
      <c r="HZ3384" s="2"/>
      <c r="KD3384" s="2"/>
    </row>
    <row r="3385" spans="24:304" ht="15" customHeight="1" x14ac:dyDescent="0.25">
      <c r="X3385" s="2"/>
      <c r="AM3385" s="2"/>
      <c r="EO3385" s="2"/>
      <c r="GT3385" s="155"/>
      <c r="HZ3385" s="2"/>
      <c r="KD3385" s="2"/>
    </row>
    <row r="3386" spans="24:304" ht="15" customHeight="1" x14ac:dyDescent="0.25">
      <c r="X3386" s="2"/>
      <c r="AM3386" s="2"/>
      <c r="EO3386" s="2"/>
      <c r="GT3386" s="155"/>
      <c r="HZ3386" s="2"/>
      <c r="KD3386" s="2"/>
      <c r="KE3386" s="2"/>
    </row>
    <row r="3387" spans="24:304" ht="15" customHeight="1" x14ac:dyDescent="0.25">
      <c r="Y3387" s="2"/>
      <c r="AO3387" s="2"/>
      <c r="ER3387" s="2"/>
      <c r="GY3387" s="155"/>
      <c r="IK3387" s="2"/>
      <c r="KP3387" s="2"/>
    </row>
    <row r="3388" spans="24:304" ht="15" customHeight="1" x14ac:dyDescent="0.25">
      <c r="Y3388" s="2"/>
      <c r="AO3388" s="2"/>
      <c r="ER3388" s="2"/>
      <c r="GY3388" s="155"/>
      <c r="IK3388" s="2"/>
      <c r="KP3388" s="2"/>
    </row>
    <row r="3389" spans="24:304" ht="15" customHeight="1" x14ac:dyDescent="0.25">
      <c r="Y3389" s="2"/>
      <c r="AO3389" s="2"/>
      <c r="ER3389" s="2"/>
      <c r="GY3389" s="155"/>
      <c r="IK3389" s="2"/>
      <c r="KP3389" s="2"/>
    </row>
    <row r="3390" spans="24:304" ht="15" customHeight="1" x14ac:dyDescent="0.25">
      <c r="Y3390" s="2"/>
      <c r="AO3390" s="2"/>
      <c r="ER3390" s="2"/>
      <c r="GY3390" s="155"/>
      <c r="IK3390" s="2"/>
      <c r="KP3390" s="2"/>
      <c r="KQ3390" s="2"/>
      <c r="KR3390" s="2"/>
    </row>
    <row r="3391" spans="24:304" ht="15" customHeight="1" x14ac:dyDescent="0.25">
      <c r="Y3391" s="2"/>
      <c r="AO3391" s="2"/>
      <c r="ER3391" s="2"/>
      <c r="GY3391" s="155"/>
      <c r="IK3391" s="2"/>
      <c r="KP3391" s="2"/>
      <c r="KQ3391" s="2"/>
    </row>
    <row r="3392" spans="24:304" ht="15" customHeight="1" x14ac:dyDescent="0.25">
      <c r="Y3392" s="2"/>
      <c r="AO3392" s="2"/>
      <c r="ER3392" s="2"/>
      <c r="GY3392" s="155"/>
      <c r="IK3392" s="2"/>
      <c r="KP3392" s="2"/>
      <c r="KQ3392" s="2"/>
    </row>
    <row r="3393" spans="24:304" ht="15" customHeight="1" x14ac:dyDescent="0.25">
      <c r="Y3393" s="2"/>
      <c r="AO3393" s="2"/>
      <c r="ER3393" s="2"/>
      <c r="GY3393" s="155"/>
      <c r="IK3393" s="2"/>
      <c r="KP3393" s="2"/>
    </row>
    <row r="3394" spans="24:304" ht="15" customHeight="1" x14ac:dyDescent="0.25">
      <c r="Y3394" s="2"/>
      <c r="AO3394" s="2"/>
      <c r="ER3394" s="2"/>
      <c r="GY3394" s="155"/>
      <c r="IK3394" s="2"/>
      <c r="KP3394" s="2"/>
      <c r="KQ3394" s="2"/>
      <c r="KR3394" s="2"/>
    </row>
    <row r="3395" spans="24:304" ht="15" customHeight="1" x14ac:dyDescent="0.25">
      <c r="Y3395" s="2"/>
      <c r="AO3395" s="2"/>
      <c r="ER3395" s="2"/>
      <c r="GY3395" s="155"/>
      <c r="IK3395" s="2"/>
      <c r="KP3395" s="2"/>
    </row>
    <row r="3396" spans="24:304" ht="15" customHeight="1" x14ac:dyDescent="0.25">
      <c r="Y3396" s="2"/>
      <c r="AO3396" s="2"/>
      <c r="ER3396" s="2"/>
      <c r="GY3396" s="155"/>
      <c r="IK3396" s="2"/>
      <c r="KP3396" s="2"/>
      <c r="KQ3396" s="2"/>
    </row>
    <row r="3397" spans="24:304" ht="15" customHeight="1" x14ac:dyDescent="0.25">
      <c r="Y3397" s="2"/>
      <c r="AO3397" s="2"/>
      <c r="ER3397" s="2"/>
      <c r="GY3397" s="155"/>
      <c r="IK3397" s="2"/>
      <c r="KP3397" s="2"/>
    </row>
    <row r="3398" spans="24:304" ht="15" customHeight="1" x14ac:dyDescent="0.25">
      <c r="Y3398" s="2"/>
      <c r="AO3398" s="2"/>
      <c r="ER3398" s="2"/>
      <c r="GY3398" s="155"/>
      <c r="IK3398" s="2"/>
      <c r="KP3398" s="2"/>
    </row>
    <row r="3399" spans="24:304" ht="15" customHeight="1" x14ac:dyDescent="0.25">
      <c r="Y3399" s="2"/>
      <c r="AO3399" s="2"/>
      <c r="ER3399" s="2"/>
      <c r="GY3399" s="155"/>
      <c r="IK3399" s="2"/>
      <c r="KP3399" s="2"/>
      <c r="KQ3399" s="2"/>
    </row>
    <row r="3400" spans="24:304" ht="15" customHeight="1" x14ac:dyDescent="0.25">
      <c r="Y3400" s="2"/>
      <c r="AO3400" s="2"/>
      <c r="ER3400" s="2"/>
      <c r="GY3400" s="155"/>
      <c r="IK3400" s="2"/>
      <c r="KP3400" s="2"/>
      <c r="KQ3400" s="2"/>
    </row>
    <row r="3401" spans="24:304" ht="15" customHeight="1" x14ac:dyDescent="0.25">
      <c r="Y3401" s="2"/>
      <c r="AO3401" s="2"/>
      <c r="ER3401" s="2"/>
      <c r="GY3401" s="155"/>
      <c r="IK3401" s="2"/>
      <c r="KP3401" s="2"/>
      <c r="KQ3401" s="2"/>
    </row>
    <row r="3402" spans="24:304" ht="15" customHeight="1" x14ac:dyDescent="0.25">
      <c r="Y3402" s="2"/>
      <c r="AO3402" s="2"/>
      <c r="ER3402" s="2"/>
      <c r="GY3402" s="155"/>
      <c r="IK3402" s="2"/>
      <c r="KP3402" s="2"/>
      <c r="KQ3402" s="2"/>
    </row>
    <row r="3403" spans="24:304" ht="15" customHeight="1" x14ac:dyDescent="0.25">
      <c r="Y3403" s="2"/>
      <c r="AO3403" s="2"/>
      <c r="ER3403" s="2"/>
      <c r="GY3403" s="155"/>
      <c r="IK3403" s="2"/>
      <c r="KP3403" s="2"/>
      <c r="KQ3403" s="2"/>
    </row>
    <row r="3404" spans="24:304" ht="15" customHeight="1" x14ac:dyDescent="0.25">
      <c r="Y3404" s="2"/>
      <c r="AO3404" s="2"/>
      <c r="ER3404" s="2"/>
      <c r="GY3404" s="155"/>
      <c r="IK3404" s="2"/>
    </row>
    <row r="3405" spans="24:304" ht="15" customHeight="1" x14ac:dyDescent="0.25">
      <c r="Y3405" s="2"/>
      <c r="AO3405" s="2"/>
      <c r="ER3405" s="2"/>
      <c r="GY3405" s="155"/>
      <c r="IK3405" s="2"/>
    </row>
    <row r="3406" spans="24:304" ht="15" customHeight="1" x14ac:dyDescent="0.25">
      <c r="Y3406" s="2"/>
      <c r="AO3406" s="2"/>
      <c r="ER3406" s="2"/>
      <c r="GY3406" s="155"/>
      <c r="IK3406" s="2"/>
    </row>
    <row r="3407" spans="24:304" ht="15" customHeight="1" x14ac:dyDescent="0.25">
      <c r="X3407" s="2"/>
      <c r="AM3407" s="2"/>
      <c r="GT3407" s="155"/>
      <c r="HZ3407" s="2"/>
      <c r="KD3407" s="2"/>
    </row>
    <row r="3408" spans="24:304" ht="15" customHeight="1" x14ac:dyDescent="0.25">
      <c r="X3408" s="2"/>
      <c r="AM3408" s="2"/>
      <c r="GT3408" s="155"/>
      <c r="HZ3408" s="2"/>
      <c r="KD3408" s="2"/>
    </row>
    <row r="3409" spans="24:293" ht="15" customHeight="1" x14ac:dyDescent="0.25">
      <c r="X3409" s="2"/>
      <c r="AM3409" s="2"/>
      <c r="GT3409" s="155"/>
      <c r="HZ3409" s="2"/>
      <c r="KD3409" s="2"/>
    </row>
    <row r="3410" spans="24:293" ht="15" customHeight="1" x14ac:dyDescent="0.25">
      <c r="X3410" s="2"/>
      <c r="AM3410" s="2"/>
      <c r="GT3410" s="155"/>
      <c r="HZ3410" s="2"/>
      <c r="KD3410" s="2"/>
    </row>
    <row r="3411" spans="24:293" ht="15" customHeight="1" x14ac:dyDescent="0.25">
      <c r="X3411" s="2"/>
      <c r="AM3411" s="2"/>
      <c r="GT3411" s="155"/>
      <c r="HZ3411" s="2"/>
      <c r="KD3411" s="2"/>
      <c r="KE3411" s="2"/>
      <c r="KF3411" s="2"/>
    </row>
    <row r="3412" spans="24:293" ht="15" customHeight="1" x14ac:dyDescent="0.25">
      <c r="X3412" s="2"/>
      <c r="AM3412" s="2"/>
      <c r="GT3412" s="155"/>
      <c r="HZ3412" s="2"/>
      <c r="KD3412" s="2"/>
    </row>
    <row r="3413" spans="24:293" ht="15" customHeight="1" x14ac:dyDescent="0.25">
      <c r="X3413" s="2"/>
      <c r="AM3413" s="2"/>
      <c r="GT3413" s="155"/>
      <c r="HZ3413" s="2"/>
      <c r="KD3413" s="2"/>
    </row>
    <row r="3414" spans="24:293" ht="15" customHeight="1" x14ac:dyDescent="0.25">
      <c r="X3414" s="2"/>
      <c r="AM3414" s="2"/>
      <c r="GT3414" s="155"/>
      <c r="HZ3414" s="2"/>
      <c r="KD3414" s="2"/>
    </row>
    <row r="3415" spans="24:293" ht="15" customHeight="1" x14ac:dyDescent="0.25">
      <c r="X3415" s="2"/>
      <c r="AM3415" s="2"/>
      <c r="GT3415" s="155"/>
      <c r="HZ3415" s="2"/>
      <c r="KD3415" s="2"/>
    </row>
    <row r="3416" spans="24:293" ht="15" customHeight="1" x14ac:dyDescent="0.25">
      <c r="X3416" s="2"/>
      <c r="AM3416" s="2"/>
      <c r="GT3416" s="155"/>
      <c r="HZ3416" s="2"/>
      <c r="KD3416" s="2"/>
    </row>
    <row r="3417" spans="24:293" ht="15" customHeight="1" x14ac:dyDescent="0.25">
      <c r="X3417" s="2"/>
      <c r="AM3417" s="2"/>
      <c r="GT3417" s="155"/>
      <c r="HZ3417" s="2"/>
      <c r="KD3417" s="2"/>
    </row>
    <row r="3418" spans="24:293" ht="15" customHeight="1" x14ac:dyDescent="0.25">
      <c r="X3418" s="2"/>
      <c r="AM3418" s="2"/>
      <c r="GT3418" s="155"/>
      <c r="HZ3418" s="2"/>
      <c r="KD3418" s="2"/>
    </row>
    <row r="3419" spans="24:293" ht="15" customHeight="1" x14ac:dyDescent="0.25">
      <c r="X3419" s="2"/>
      <c r="AM3419" s="2"/>
      <c r="GT3419" s="155"/>
      <c r="HZ3419" s="2"/>
      <c r="KD3419" s="2"/>
      <c r="KE3419" s="2"/>
      <c r="KF3419" s="2"/>
    </row>
    <row r="3420" spans="24:293" ht="15" customHeight="1" x14ac:dyDescent="0.25">
      <c r="X3420" s="2"/>
      <c r="AM3420" s="2"/>
      <c r="EO3420" s="2"/>
      <c r="GT3420" s="155"/>
      <c r="HZ3420" s="2"/>
      <c r="KD3420" s="2"/>
      <c r="KE3420" s="2"/>
    </row>
    <row r="3421" spans="24:293" ht="15" customHeight="1" x14ac:dyDescent="0.25">
      <c r="X3421" s="2"/>
      <c r="AM3421" s="2"/>
      <c r="EO3421" s="2"/>
      <c r="GT3421" s="155"/>
      <c r="HZ3421" s="2"/>
    </row>
    <row r="3422" spans="24:293" ht="15" customHeight="1" x14ac:dyDescent="0.25">
      <c r="X3422" s="2"/>
      <c r="AM3422" s="2"/>
      <c r="EO3422" s="2"/>
      <c r="GT3422" s="155"/>
      <c r="HZ3422" s="2"/>
      <c r="KD3422" s="2"/>
      <c r="KE3422" s="2"/>
    </row>
    <row r="3423" spans="24:293" ht="15" customHeight="1" x14ac:dyDescent="0.25">
      <c r="X3423" s="2"/>
      <c r="AM3423" s="2"/>
      <c r="EO3423" s="2"/>
      <c r="GT3423" s="155"/>
      <c r="HZ3423" s="2"/>
      <c r="KD3423" s="2"/>
    </row>
    <row r="3424" spans="24:293" ht="15" customHeight="1" x14ac:dyDescent="0.25">
      <c r="X3424" s="2"/>
      <c r="AM3424" s="2"/>
      <c r="EO3424" s="2"/>
      <c r="GT3424" s="155"/>
      <c r="HZ3424" s="2"/>
      <c r="KD3424" s="2"/>
      <c r="KE3424" s="2"/>
      <c r="KF3424" s="2"/>
      <c r="KG3424" s="2"/>
    </row>
    <row r="3425" spans="18:294" ht="15" customHeight="1" x14ac:dyDescent="0.25">
      <c r="X3425" s="2"/>
      <c r="AM3425" s="2"/>
      <c r="EO3425" s="2"/>
      <c r="GT3425" s="155"/>
      <c r="HZ3425" s="2"/>
      <c r="KD3425" s="2"/>
      <c r="KE3425" s="2"/>
    </row>
    <row r="3426" spans="18:294" ht="15" customHeight="1" x14ac:dyDescent="0.25">
      <c r="X3426" s="2"/>
      <c r="AM3426" s="2"/>
      <c r="EO3426" s="2"/>
      <c r="GT3426" s="155"/>
      <c r="HZ3426" s="2"/>
      <c r="KD3426" s="2"/>
      <c r="KE3426" s="2"/>
      <c r="KF3426" s="2"/>
    </row>
    <row r="3427" spans="18:294" ht="15" customHeight="1" x14ac:dyDescent="0.25">
      <c r="X3427" s="2"/>
      <c r="AM3427" s="2"/>
      <c r="EO3427" s="2"/>
      <c r="GT3427" s="155"/>
      <c r="HZ3427" s="2"/>
      <c r="KD3427" s="2"/>
      <c r="KE3427" s="2"/>
    </row>
    <row r="3428" spans="18:294" ht="15" customHeight="1" x14ac:dyDescent="0.25">
      <c r="X3428" s="2"/>
      <c r="AM3428" s="2"/>
      <c r="EO3428" s="2"/>
      <c r="GT3428" s="155"/>
      <c r="HZ3428" s="2"/>
      <c r="KD3428" s="2"/>
    </row>
    <row r="3429" spans="18:294" ht="15" customHeight="1" x14ac:dyDescent="0.25">
      <c r="X3429" s="2"/>
      <c r="AM3429" s="2"/>
      <c r="EO3429" s="2"/>
      <c r="GT3429" s="155"/>
      <c r="HZ3429" s="2"/>
      <c r="KD3429" s="2"/>
    </row>
    <row r="3430" spans="18:294" ht="15" customHeight="1" x14ac:dyDescent="0.25">
      <c r="X3430" s="2"/>
      <c r="AM3430" s="2"/>
      <c r="EO3430" s="2"/>
      <c r="GT3430" s="155"/>
      <c r="HZ3430" s="2"/>
      <c r="KD3430" s="2"/>
    </row>
    <row r="3431" spans="18:294" ht="15" customHeight="1" x14ac:dyDescent="0.25">
      <c r="X3431" s="2"/>
      <c r="AM3431" s="2"/>
      <c r="EO3431" s="2"/>
      <c r="GT3431" s="155"/>
      <c r="HZ3431" s="2"/>
      <c r="KD3431" s="2"/>
      <c r="KE3431" s="2"/>
    </row>
    <row r="3432" spans="18:294" ht="15" customHeight="1" x14ac:dyDescent="0.25">
      <c r="X3432" s="2"/>
      <c r="AM3432" s="2"/>
      <c r="EO3432" s="2"/>
      <c r="GT3432" s="155"/>
      <c r="HZ3432" s="2"/>
      <c r="KD3432" s="2"/>
      <c r="KE3432" s="2"/>
    </row>
    <row r="3433" spans="18:294" ht="15" customHeight="1" x14ac:dyDescent="0.25">
      <c r="R3433" s="1"/>
      <c r="T3433" s="1"/>
      <c r="X3433" s="2"/>
      <c r="AM3433" s="2"/>
      <c r="EO3433" s="2"/>
      <c r="GT3433" s="155"/>
      <c r="HZ3433" s="2"/>
      <c r="KD3433" s="2"/>
      <c r="KE3433" s="2"/>
      <c r="KF3433" s="2"/>
      <c r="KG3433" s="2"/>
      <c r="KH3433" s="2"/>
    </row>
    <row r="3434" spans="18:294" ht="15" customHeight="1" x14ac:dyDescent="0.25">
      <c r="X3434" s="2"/>
      <c r="AM3434" s="2"/>
      <c r="EO3434" s="2"/>
      <c r="GT3434" s="155"/>
      <c r="HZ3434" s="2"/>
      <c r="KD3434" s="2"/>
      <c r="KE3434" s="2"/>
    </row>
    <row r="3435" spans="18:294" ht="15" customHeight="1" x14ac:dyDescent="0.25">
      <c r="R3435" s="1"/>
      <c r="T3435" s="1"/>
      <c r="X3435" s="2"/>
      <c r="AM3435" s="2"/>
      <c r="EO3435" s="2"/>
      <c r="GT3435" s="155"/>
      <c r="HZ3435" s="2"/>
      <c r="KD3435" s="2"/>
      <c r="KE3435" s="2"/>
    </row>
    <row r="3436" spans="18:294" ht="15" customHeight="1" x14ac:dyDescent="0.25">
      <c r="R3436" s="1"/>
      <c r="X3436" s="2"/>
      <c r="AM3436" s="2"/>
      <c r="EO3436" s="2"/>
      <c r="GT3436" s="155"/>
      <c r="HZ3436" s="2"/>
      <c r="KD3436" s="2"/>
      <c r="KE3436" s="2"/>
    </row>
    <row r="3437" spans="18:294" ht="15" customHeight="1" x14ac:dyDescent="0.25">
      <c r="X3437" s="2"/>
      <c r="AM3437" s="2"/>
      <c r="EO3437" s="2"/>
      <c r="GT3437" s="155"/>
      <c r="HZ3437" s="2"/>
    </row>
    <row r="3438" spans="18:294" ht="15" customHeight="1" x14ac:dyDescent="0.25">
      <c r="X3438" s="2"/>
      <c r="AM3438" s="2"/>
      <c r="EO3438" s="2"/>
      <c r="GT3438" s="155"/>
      <c r="HZ3438" s="2"/>
    </row>
    <row r="3439" spans="18:294" ht="15" customHeight="1" x14ac:dyDescent="0.25">
      <c r="X3439" s="2"/>
      <c r="AM3439" s="2"/>
      <c r="EO3439" s="2"/>
      <c r="GT3439" s="155"/>
      <c r="HZ3439" s="2"/>
    </row>
    <row r="3440" spans="18:294" ht="15" customHeight="1" x14ac:dyDescent="0.25">
      <c r="R3440" s="1"/>
      <c r="T3440" s="1"/>
      <c r="X3440" s="2"/>
      <c r="AM3440" s="2"/>
      <c r="EO3440" s="2"/>
      <c r="GT3440" s="155"/>
      <c r="HZ3440" s="2"/>
      <c r="KD3440" s="2"/>
    </row>
    <row r="3441" spans="18:293" ht="15" customHeight="1" x14ac:dyDescent="0.25">
      <c r="X3441" s="2"/>
      <c r="AM3441" s="2"/>
      <c r="EO3441" s="2"/>
      <c r="GT3441" s="155"/>
      <c r="HZ3441" s="2"/>
    </row>
    <row r="3442" spans="18:293" ht="15" customHeight="1" x14ac:dyDescent="0.25">
      <c r="X3442" s="2"/>
      <c r="AM3442" s="2"/>
      <c r="EO3442" s="2"/>
      <c r="GT3442" s="155"/>
      <c r="HZ3442" s="2"/>
      <c r="KD3442" s="2"/>
      <c r="KE3442" s="2"/>
      <c r="KF3442" s="2"/>
      <c r="KG3442" s="2"/>
    </row>
    <row r="3443" spans="18:293" ht="15" customHeight="1" x14ac:dyDescent="0.25">
      <c r="X3443" s="2"/>
      <c r="AM3443" s="2"/>
      <c r="EO3443" s="2"/>
      <c r="GT3443" s="155"/>
      <c r="HZ3443" s="2"/>
      <c r="KD3443" s="2"/>
      <c r="KE3443" s="2"/>
    </row>
    <row r="3444" spans="18:293" ht="15" customHeight="1" x14ac:dyDescent="0.25">
      <c r="X3444" s="2"/>
      <c r="AM3444" s="2"/>
      <c r="EO3444" s="2"/>
      <c r="GT3444" s="155"/>
      <c r="HZ3444" s="2"/>
    </row>
    <row r="3445" spans="18:293" ht="15" customHeight="1" x14ac:dyDescent="0.25">
      <c r="X3445" s="2"/>
      <c r="AM3445" s="2"/>
      <c r="EO3445" s="2"/>
      <c r="GT3445" s="155"/>
      <c r="HZ3445" s="2"/>
      <c r="KD3445" s="2"/>
    </row>
    <row r="3446" spans="18:293" ht="15" customHeight="1" x14ac:dyDescent="0.25">
      <c r="X3446" s="2"/>
      <c r="AM3446" s="2"/>
      <c r="EO3446" s="2"/>
      <c r="GT3446" s="155"/>
      <c r="HZ3446" s="2"/>
      <c r="KD3446" s="2"/>
    </row>
    <row r="3447" spans="18:293" ht="15" customHeight="1" x14ac:dyDescent="0.25">
      <c r="X3447" s="2"/>
      <c r="AM3447" s="2"/>
      <c r="EO3447" s="2"/>
      <c r="GT3447" s="155"/>
      <c r="HZ3447" s="2"/>
      <c r="KD3447" s="2"/>
      <c r="KE3447" s="2"/>
    </row>
    <row r="3448" spans="18:293" ht="15" customHeight="1" x14ac:dyDescent="0.25">
      <c r="X3448" s="2"/>
      <c r="AM3448" s="2"/>
      <c r="EO3448" s="2"/>
      <c r="GT3448" s="155"/>
      <c r="HZ3448" s="2"/>
      <c r="KD3448" s="2"/>
      <c r="KE3448" s="2"/>
    </row>
    <row r="3449" spans="18:293" ht="15" customHeight="1" x14ac:dyDescent="0.25">
      <c r="X3449" s="2"/>
      <c r="AM3449" s="2"/>
      <c r="EO3449" s="2"/>
      <c r="GT3449" s="155"/>
      <c r="HZ3449" s="2"/>
      <c r="KD3449" s="2"/>
      <c r="KE3449" s="2"/>
    </row>
    <row r="3450" spans="18:293" ht="15" customHeight="1" x14ac:dyDescent="0.25">
      <c r="X3450" s="2"/>
      <c r="AM3450" s="2"/>
      <c r="EO3450" s="2"/>
      <c r="GT3450" s="155"/>
      <c r="HZ3450" s="2"/>
      <c r="KD3450" s="2"/>
      <c r="KE3450" s="2"/>
      <c r="KF3450" s="2"/>
    </row>
    <row r="3451" spans="18:293" ht="15" customHeight="1" x14ac:dyDescent="0.25">
      <c r="X3451" s="2"/>
      <c r="AM3451" s="2"/>
      <c r="EO3451" s="2"/>
      <c r="GT3451" s="155"/>
      <c r="HZ3451" s="2"/>
      <c r="KD3451" s="2"/>
      <c r="KE3451" s="2"/>
    </row>
    <row r="3452" spans="18:293" ht="15" customHeight="1" x14ac:dyDescent="0.25">
      <c r="X3452" s="2"/>
      <c r="AM3452" s="2"/>
      <c r="EO3452" s="2"/>
      <c r="GT3452" s="155"/>
      <c r="HZ3452" s="2"/>
      <c r="KD3452" s="2"/>
      <c r="KE3452" s="2"/>
    </row>
    <row r="3453" spans="18:293" ht="15" customHeight="1" x14ac:dyDescent="0.25">
      <c r="X3453" s="2"/>
      <c r="AM3453" s="2"/>
      <c r="EO3453" s="2"/>
      <c r="GT3453" s="155"/>
      <c r="HZ3453" s="2"/>
      <c r="KD3453" s="2"/>
    </row>
    <row r="3454" spans="18:293" ht="15" customHeight="1" x14ac:dyDescent="0.25">
      <c r="X3454" s="2"/>
      <c r="AM3454" s="2"/>
      <c r="EO3454" s="2"/>
      <c r="GT3454" s="155"/>
      <c r="HZ3454" s="2"/>
      <c r="KD3454" s="2"/>
      <c r="KE3454" s="2"/>
    </row>
    <row r="3455" spans="18:293" ht="15" customHeight="1" x14ac:dyDescent="0.25">
      <c r="X3455" s="2"/>
      <c r="AM3455" s="2"/>
      <c r="EO3455" s="2"/>
      <c r="GT3455" s="155"/>
      <c r="HZ3455" s="2"/>
      <c r="KD3455" s="2"/>
      <c r="KE3455" s="2"/>
      <c r="KF3455" s="2"/>
    </row>
    <row r="3456" spans="18:293" ht="15" customHeight="1" x14ac:dyDescent="0.25">
      <c r="R3456" s="1"/>
      <c r="T3456" s="1"/>
      <c r="X3456" s="2"/>
      <c r="AM3456" s="2"/>
      <c r="EO3456" s="2"/>
      <c r="GT3456" s="155"/>
      <c r="HZ3456" s="2"/>
      <c r="KD3456" s="2"/>
      <c r="KE3456" s="2"/>
    </row>
    <row r="3457" spans="24:303" ht="15" customHeight="1" x14ac:dyDescent="0.25">
      <c r="X3457" s="2"/>
      <c r="AM3457" s="2"/>
      <c r="EO3457" s="2"/>
      <c r="GT3457" s="155"/>
      <c r="HZ3457" s="2"/>
      <c r="KD3457" s="2"/>
    </row>
    <row r="3458" spans="24:303" ht="15" customHeight="1" x14ac:dyDescent="0.25">
      <c r="X3458" s="2"/>
      <c r="AM3458" s="2"/>
      <c r="EO3458" s="2"/>
      <c r="GT3458" s="155"/>
      <c r="HZ3458" s="2"/>
      <c r="KD3458" s="2"/>
    </row>
    <row r="3459" spans="24:303" ht="15" customHeight="1" x14ac:dyDescent="0.25">
      <c r="X3459" s="2"/>
      <c r="AM3459" s="2"/>
      <c r="EO3459" s="2"/>
      <c r="GT3459" s="155"/>
      <c r="HZ3459" s="2"/>
      <c r="KD3459" s="2"/>
    </row>
    <row r="3460" spans="24:303" ht="15" customHeight="1" x14ac:dyDescent="0.25">
      <c r="X3460" s="2"/>
      <c r="AM3460" s="2"/>
      <c r="EO3460" s="2"/>
      <c r="GT3460" s="155"/>
      <c r="HZ3460" s="2"/>
      <c r="KD3460" s="2"/>
      <c r="KE3460" s="2"/>
    </row>
    <row r="3461" spans="24:303" ht="15" customHeight="1" x14ac:dyDescent="0.25">
      <c r="Y3461" s="2"/>
      <c r="AO3461" s="2"/>
      <c r="ER3461" s="2"/>
      <c r="GY3461" s="155"/>
      <c r="IK3461" s="2"/>
    </row>
    <row r="3462" spans="24:303" ht="15" customHeight="1" x14ac:dyDescent="0.25">
      <c r="Y3462" s="2"/>
      <c r="AO3462" s="2"/>
      <c r="ER3462" s="2"/>
      <c r="GY3462" s="155"/>
      <c r="IK3462" s="2"/>
    </row>
    <row r="3463" spans="24:303" ht="15" customHeight="1" x14ac:dyDescent="0.25">
      <c r="Y3463" s="2"/>
      <c r="AO3463" s="2"/>
      <c r="ER3463" s="2"/>
      <c r="GY3463" s="155"/>
      <c r="IK3463" s="2"/>
      <c r="KP3463" s="2"/>
      <c r="KQ3463" s="2"/>
    </row>
    <row r="3464" spans="24:303" ht="15" customHeight="1" x14ac:dyDescent="0.25">
      <c r="Y3464" s="2"/>
      <c r="AO3464" s="2"/>
      <c r="ER3464" s="2"/>
      <c r="GY3464" s="155"/>
      <c r="IK3464" s="2"/>
      <c r="KP3464" s="2"/>
      <c r="KQ3464" s="2"/>
    </row>
    <row r="3465" spans="24:303" ht="15" customHeight="1" x14ac:dyDescent="0.25">
      <c r="Y3465" s="2"/>
      <c r="AO3465" s="2"/>
      <c r="ER3465" s="2"/>
      <c r="GY3465" s="155"/>
      <c r="IK3465" s="2"/>
      <c r="KP3465" s="2"/>
      <c r="KQ3465" s="2"/>
    </row>
    <row r="3466" spans="24:303" ht="15" customHeight="1" x14ac:dyDescent="0.25">
      <c r="Y3466" s="2"/>
      <c r="AO3466" s="2"/>
      <c r="ER3466" s="2"/>
      <c r="GY3466" s="155"/>
      <c r="IK3466" s="2"/>
    </row>
    <row r="3467" spans="24:303" ht="15" customHeight="1" x14ac:dyDescent="0.25">
      <c r="Y3467" s="2"/>
      <c r="AO3467" s="2"/>
      <c r="ER3467" s="2"/>
      <c r="GY3467" s="155"/>
      <c r="IK3467" s="2"/>
    </row>
    <row r="3468" spans="24:303" ht="15" customHeight="1" x14ac:dyDescent="0.25">
      <c r="Y3468" s="2"/>
      <c r="AO3468" s="2"/>
      <c r="ER3468" s="2"/>
      <c r="GY3468" s="155"/>
      <c r="IK3468" s="2"/>
      <c r="KP3468" s="2"/>
    </row>
    <row r="3469" spans="24:303" ht="15" customHeight="1" x14ac:dyDescent="0.25">
      <c r="Y3469" s="2"/>
      <c r="AO3469" s="2"/>
      <c r="ER3469" s="2"/>
      <c r="GY3469" s="155"/>
      <c r="IK3469" s="2"/>
    </row>
    <row r="3470" spans="24:303" ht="15" customHeight="1" x14ac:dyDescent="0.25">
      <c r="Y3470" s="2"/>
      <c r="AO3470" s="2"/>
      <c r="ER3470" s="2"/>
      <c r="GY3470" s="155"/>
      <c r="IK3470" s="2"/>
    </row>
  </sheetData>
  <conditionalFormatting sqref="N1:N1048576">
    <cfRule type="cellIs" dxfId="3" priority="1" operator="equal">
      <formula>"&lt;0"</formula>
    </cfRule>
    <cfRule type="containsText" dxfId="2" priority="2" operator="containsText" text="&quot; &quot;">
      <formula>NOT(ISERROR(SEARCH(""" """,N1)))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4141"/>
  <sheetViews>
    <sheetView workbookViewId="0">
      <selection activeCell="J8" sqref="J8"/>
    </sheetView>
  </sheetViews>
  <sheetFormatPr defaultRowHeight="13.5" x14ac:dyDescent="0.25"/>
  <cols>
    <col min="1" max="1" width="18.7109375" style="117" customWidth="1"/>
    <col min="2" max="2" width="21.7109375" style="117" customWidth="1"/>
    <col min="3" max="3" width="30" style="117" bestFit="1" customWidth="1"/>
    <col min="4" max="4" width="31.7109375" style="117" bestFit="1" customWidth="1"/>
    <col min="5" max="5" width="21.7109375" style="117" customWidth="1"/>
    <col min="6" max="6" width="18.7109375" style="117" customWidth="1"/>
    <col min="7" max="7" width="19.5703125" style="121" customWidth="1"/>
    <col min="8" max="8" width="19" style="117" customWidth="1"/>
    <col min="9" max="9" width="15.85546875" style="120" bestFit="1" customWidth="1"/>
    <col min="10" max="10" width="10.42578125" style="120" customWidth="1"/>
    <col min="11" max="11" width="18.28515625" style="123" customWidth="1"/>
    <col min="12" max="12" width="8.85546875" style="126" customWidth="1"/>
    <col min="13" max="15" width="9.140625" style="114"/>
    <col min="16" max="16" width="10.7109375" style="114" bestFit="1" customWidth="1"/>
    <col min="17" max="16384" width="9.140625" style="114"/>
  </cols>
  <sheetData>
    <row r="1" spans="1:16" ht="24.75" customHeight="1" x14ac:dyDescent="0.25">
      <c r="A1" s="112" t="s">
        <v>81</v>
      </c>
      <c r="B1" s="112" t="s">
        <v>82</v>
      </c>
      <c r="C1" s="112" t="s">
        <v>83</v>
      </c>
      <c r="D1" s="112" t="s">
        <v>84</v>
      </c>
      <c r="E1" s="112" t="s">
        <v>85</v>
      </c>
      <c r="F1" s="112" t="s">
        <v>86</v>
      </c>
      <c r="G1" s="112" t="s">
        <v>87</v>
      </c>
      <c r="H1" s="112" t="s">
        <v>88</v>
      </c>
      <c r="I1" s="112" t="s">
        <v>89</v>
      </c>
      <c r="J1" s="112" t="s">
        <v>90</v>
      </c>
      <c r="K1" s="122" t="s">
        <v>91</v>
      </c>
      <c r="L1" s="124"/>
      <c r="M1" s="113"/>
    </row>
    <row r="2" spans="1:16" ht="15" customHeight="1" x14ac:dyDescent="0.25">
      <c r="A2" s="115"/>
      <c r="B2" s="115"/>
      <c r="C2" s="115"/>
      <c r="D2" s="115"/>
      <c r="E2" s="115"/>
      <c r="F2" s="115"/>
      <c r="G2" s="116"/>
      <c r="I2" s="118"/>
      <c r="J2" s="118"/>
      <c r="L2" s="125"/>
    </row>
    <row r="3" spans="1:16" x14ac:dyDescent="0.25">
      <c r="A3" s="115"/>
      <c r="B3" s="115"/>
      <c r="C3" s="115"/>
      <c r="D3" s="115"/>
      <c r="E3" s="115"/>
      <c r="F3" s="115"/>
      <c r="G3" s="116"/>
      <c r="I3" s="118"/>
      <c r="J3" s="118"/>
      <c r="L3" s="125"/>
    </row>
    <row r="4" spans="1:16" x14ac:dyDescent="0.25">
      <c r="A4" s="115"/>
      <c r="B4" s="115"/>
      <c r="C4" s="115"/>
      <c r="D4" s="115"/>
      <c r="E4" s="115"/>
      <c r="F4" s="115"/>
      <c r="G4" s="116"/>
      <c r="I4" s="118"/>
      <c r="J4" s="118"/>
      <c r="L4" s="125"/>
    </row>
    <row r="5" spans="1:16" x14ac:dyDescent="0.25">
      <c r="A5" s="115"/>
      <c r="B5" s="115"/>
      <c r="C5" s="115"/>
      <c r="D5" s="115"/>
      <c r="E5" s="115"/>
      <c r="F5" s="115"/>
      <c r="G5" s="116"/>
      <c r="I5" s="118"/>
      <c r="J5" s="118"/>
      <c r="L5" s="125"/>
      <c r="P5" s="119"/>
    </row>
    <row r="6" spans="1:16" x14ac:dyDescent="0.25">
      <c r="A6" s="115"/>
      <c r="B6" s="115"/>
      <c r="C6" s="115"/>
      <c r="D6" s="115"/>
      <c r="E6" s="115"/>
      <c r="F6" s="115"/>
      <c r="G6" s="116"/>
      <c r="I6" s="118"/>
      <c r="J6" s="118"/>
      <c r="L6" s="125"/>
    </row>
    <row r="7" spans="1:16" x14ac:dyDescent="0.25">
      <c r="A7" s="115"/>
      <c r="B7" s="115"/>
      <c r="C7" s="115"/>
      <c r="D7" s="115"/>
      <c r="E7" s="115"/>
      <c r="F7" s="115"/>
      <c r="G7" s="116"/>
      <c r="I7" s="118"/>
      <c r="J7" s="118"/>
      <c r="L7" s="125"/>
    </row>
    <row r="8" spans="1:16" x14ac:dyDescent="0.25">
      <c r="A8" s="115"/>
      <c r="B8" s="115"/>
      <c r="C8" s="115"/>
      <c r="D8" s="115"/>
      <c r="E8" s="115"/>
      <c r="F8" s="115"/>
      <c r="G8" s="116"/>
      <c r="I8" s="118"/>
      <c r="J8" s="118"/>
      <c r="L8" s="125"/>
    </row>
    <row r="9" spans="1:16" x14ac:dyDescent="0.25">
      <c r="A9" s="115"/>
      <c r="B9" s="115"/>
      <c r="C9" s="115"/>
      <c r="D9" s="115"/>
      <c r="E9" s="115"/>
      <c r="F9" s="115"/>
      <c r="G9" s="116"/>
      <c r="I9" s="118"/>
      <c r="J9" s="118"/>
      <c r="L9" s="125"/>
    </row>
    <row r="10" spans="1:16" x14ac:dyDescent="0.25">
      <c r="A10" s="115"/>
      <c r="B10" s="115"/>
      <c r="C10" s="115"/>
      <c r="D10" s="115"/>
      <c r="E10" s="115"/>
      <c r="F10" s="115"/>
      <c r="G10" s="116"/>
      <c r="I10" s="118"/>
      <c r="J10" s="118"/>
      <c r="L10" s="125"/>
    </row>
    <row r="11" spans="1:16" x14ac:dyDescent="0.25">
      <c r="A11" s="115"/>
      <c r="B11" s="115"/>
      <c r="C11" s="115"/>
      <c r="D11" s="115"/>
      <c r="E11" s="115"/>
      <c r="F11" s="115"/>
      <c r="G11" s="116"/>
      <c r="I11" s="118"/>
      <c r="J11" s="118"/>
      <c r="L11" s="125"/>
    </row>
    <row r="12" spans="1:16" x14ac:dyDescent="0.25">
      <c r="A12" s="115"/>
      <c r="B12" s="115"/>
      <c r="C12" s="115"/>
      <c r="D12" s="115"/>
      <c r="E12" s="115"/>
      <c r="F12" s="115"/>
      <c r="G12" s="116"/>
      <c r="I12" s="118"/>
      <c r="J12" s="118"/>
      <c r="L12" s="125"/>
    </row>
    <row r="13" spans="1:16" x14ac:dyDescent="0.25">
      <c r="A13" s="115"/>
      <c r="B13" s="115"/>
      <c r="C13" s="115"/>
      <c r="D13" s="115"/>
      <c r="E13" s="115"/>
      <c r="F13" s="115"/>
      <c r="G13" s="116"/>
      <c r="I13" s="118"/>
      <c r="J13" s="118"/>
      <c r="L13" s="125"/>
    </row>
    <row r="14" spans="1:16" x14ac:dyDescent="0.25">
      <c r="A14" s="115"/>
      <c r="B14" s="115"/>
      <c r="C14" s="115"/>
      <c r="D14" s="115"/>
      <c r="E14" s="115"/>
      <c r="F14" s="115"/>
      <c r="G14" s="116"/>
      <c r="I14" s="118"/>
      <c r="J14" s="118"/>
      <c r="L14" s="125"/>
    </row>
    <row r="15" spans="1:16" x14ac:dyDescent="0.25">
      <c r="A15" s="115"/>
      <c r="B15" s="115"/>
      <c r="C15" s="115"/>
      <c r="D15" s="115"/>
      <c r="E15" s="115"/>
      <c r="F15" s="115"/>
      <c r="G15" s="116"/>
      <c r="I15" s="118"/>
      <c r="J15" s="118"/>
      <c r="L15" s="125"/>
    </row>
    <row r="16" spans="1:16" x14ac:dyDescent="0.25">
      <c r="A16" s="115"/>
      <c r="B16" s="115"/>
      <c r="C16" s="115"/>
      <c r="D16" s="115"/>
      <c r="E16" s="115"/>
      <c r="F16" s="115"/>
      <c r="G16" s="116"/>
      <c r="I16" s="118"/>
      <c r="J16" s="118"/>
      <c r="L16" s="125"/>
    </row>
    <row r="17" spans="1:12" x14ac:dyDescent="0.25">
      <c r="A17" s="115"/>
      <c r="B17" s="115"/>
      <c r="C17" s="115"/>
      <c r="D17" s="115"/>
      <c r="E17" s="115"/>
      <c r="F17" s="115"/>
      <c r="G17" s="116"/>
      <c r="I17" s="118"/>
      <c r="J17" s="118"/>
      <c r="L17" s="125"/>
    </row>
    <row r="18" spans="1:12" x14ac:dyDescent="0.25">
      <c r="A18" s="115"/>
      <c r="B18" s="115"/>
      <c r="C18" s="115"/>
      <c r="D18" s="115"/>
      <c r="E18" s="115"/>
      <c r="F18" s="115"/>
      <c r="G18" s="116"/>
      <c r="I18" s="118"/>
      <c r="J18" s="118"/>
      <c r="L18" s="125"/>
    </row>
    <row r="19" spans="1:12" x14ac:dyDescent="0.25">
      <c r="A19" s="115"/>
      <c r="B19" s="115"/>
      <c r="C19" s="115"/>
      <c r="D19" s="115"/>
      <c r="E19" s="115"/>
      <c r="F19" s="115"/>
      <c r="G19" s="116"/>
      <c r="I19" s="118"/>
      <c r="J19" s="118"/>
      <c r="L19" s="125"/>
    </row>
    <row r="20" spans="1:12" x14ac:dyDescent="0.25">
      <c r="A20" s="115"/>
      <c r="B20" s="115"/>
      <c r="C20" s="115"/>
      <c r="D20" s="115"/>
      <c r="E20" s="115"/>
      <c r="F20" s="115"/>
      <c r="G20" s="116"/>
      <c r="I20" s="118"/>
      <c r="J20" s="118"/>
      <c r="L20" s="125"/>
    </row>
    <row r="21" spans="1:12" x14ac:dyDescent="0.25">
      <c r="A21" s="115"/>
      <c r="B21" s="115"/>
      <c r="C21" s="115"/>
      <c r="D21" s="115"/>
      <c r="E21" s="115"/>
      <c r="F21" s="115"/>
      <c r="G21" s="116"/>
      <c r="I21" s="118"/>
      <c r="J21" s="118"/>
      <c r="L21" s="125"/>
    </row>
    <row r="22" spans="1:12" x14ac:dyDescent="0.25">
      <c r="A22" s="115"/>
      <c r="B22" s="115"/>
      <c r="C22" s="115"/>
      <c r="D22" s="115"/>
      <c r="E22" s="115"/>
      <c r="F22" s="115"/>
      <c r="G22" s="116"/>
      <c r="I22" s="118"/>
      <c r="J22" s="118"/>
      <c r="L22" s="125"/>
    </row>
    <row r="23" spans="1:12" x14ac:dyDescent="0.25">
      <c r="A23" s="115"/>
      <c r="B23" s="115"/>
      <c r="C23" s="115"/>
      <c r="D23" s="115"/>
      <c r="E23" s="115"/>
      <c r="F23" s="115"/>
      <c r="G23" s="116"/>
      <c r="I23" s="118"/>
      <c r="J23" s="118"/>
      <c r="L23" s="125"/>
    </row>
    <row r="24" spans="1:12" x14ac:dyDescent="0.25">
      <c r="A24" s="115"/>
      <c r="B24" s="115"/>
      <c r="C24" s="115"/>
      <c r="D24" s="115"/>
      <c r="E24" s="115"/>
      <c r="F24" s="115"/>
      <c r="G24" s="116"/>
      <c r="I24" s="118"/>
      <c r="J24" s="118"/>
      <c r="L24" s="125"/>
    </row>
    <row r="25" spans="1:12" x14ac:dyDescent="0.25">
      <c r="A25" s="115"/>
      <c r="B25" s="115"/>
      <c r="C25" s="115"/>
      <c r="D25" s="115"/>
      <c r="E25" s="115"/>
      <c r="F25" s="115"/>
      <c r="G25" s="116"/>
      <c r="I25" s="118"/>
      <c r="J25" s="118"/>
      <c r="L25" s="125"/>
    </row>
    <row r="26" spans="1:12" x14ac:dyDescent="0.25">
      <c r="A26" s="115"/>
      <c r="B26" s="115"/>
      <c r="C26" s="115"/>
      <c r="D26" s="115"/>
      <c r="E26" s="115"/>
      <c r="F26" s="115"/>
      <c r="G26" s="116"/>
      <c r="I26" s="118"/>
      <c r="J26" s="118"/>
      <c r="L26" s="125"/>
    </row>
    <row r="27" spans="1:12" x14ac:dyDescent="0.25">
      <c r="A27" s="115"/>
      <c r="B27" s="115"/>
      <c r="C27" s="115"/>
      <c r="D27" s="115"/>
      <c r="E27" s="115"/>
      <c r="F27" s="115"/>
      <c r="G27" s="116"/>
      <c r="I27" s="118"/>
      <c r="J27" s="118"/>
      <c r="L27" s="125"/>
    </row>
    <row r="28" spans="1:12" x14ac:dyDescent="0.25">
      <c r="A28" s="115"/>
      <c r="B28" s="115"/>
      <c r="C28" s="115"/>
      <c r="D28" s="115"/>
      <c r="E28" s="115"/>
      <c r="F28" s="115"/>
      <c r="G28" s="116"/>
      <c r="I28" s="118"/>
      <c r="J28" s="118"/>
      <c r="L28" s="125"/>
    </row>
    <row r="29" spans="1:12" x14ac:dyDescent="0.25">
      <c r="A29" s="115"/>
      <c r="B29" s="115"/>
      <c r="C29" s="115"/>
      <c r="D29" s="115"/>
      <c r="E29" s="115"/>
      <c r="F29" s="115"/>
      <c r="G29" s="116"/>
      <c r="I29" s="118"/>
      <c r="J29" s="118"/>
      <c r="L29" s="125"/>
    </row>
    <row r="30" spans="1:12" x14ac:dyDescent="0.25">
      <c r="A30" s="115"/>
      <c r="B30" s="115"/>
      <c r="C30" s="115"/>
      <c r="D30" s="115"/>
      <c r="E30" s="115"/>
      <c r="F30" s="115"/>
      <c r="G30" s="116"/>
      <c r="I30" s="118"/>
      <c r="J30" s="118"/>
      <c r="L30" s="125"/>
    </row>
    <row r="31" spans="1:12" x14ac:dyDescent="0.25">
      <c r="A31" s="115"/>
      <c r="B31" s="115"/>
      <c r="C31" s="115"/>
      <c r="D31" s="115"/>
      <c r="E31" s="115"/>
      <c r="F31" s="115"/>
      <c r="G31" s="116"/>
      <c r="I31" s="118"/>
      <c r="J31" s="118"/>
      <c r="L31" s="125"/>
    </row>
    <row r="32" spans="1:12" x14ac:dyDescent="0.25">
      <c r="A32" s="115"/>
      <c r="B32" s="115"/>
      <c r="C32" s="115"/>
      <c r="D32" s="115"/>
      <c r="E32" s="115"/>
      <c r="F32" s="115"/>
      <c r="G32" s="116"/>
      <c r="I32" s="118"/>
      <c r="J32" s="118"/>
      <c r="L32" s="125"/>
    </row>
    <row r="33" spans="1:12" x14ac:dyDescent="0.25">
      <c r="A33" s="115"/>
      <c r="B33" s="115"/>
      <c r="C33" s="115"/>
      <c r="D33" s="115"/>
      <c r="E33" s="115"/>
      <c r="F33" s="115"/>
      <c r="G33" s="116"/>
      <c r="I33" s="118"/>
      <c r="J33" s="118"/>
      <c r="L33" s="125"/>
    </row>
    <row r="34" spans="1:12" x14ac:dyDescent="0.25">
      <c r="A34" s="115"/>
      <c r="B34" s="115"/>
      <c r="C34" s="115"/>
      <c r="D34" s="115"/>
      <c r="E34" s="115"/>
      <c r="F34" s="115"/>
      <c r="G34" s="116"/>
      <c r="I34" s="118"/>
      <c r="J34" s="118"/>
      <c r="L34" s="125"/>
    </row>
    <row r="35" spans="1:12" x14ac:dyDescent="0.25">
      <c r="A35" s="115"/>
      <c r="B35" s="115"/>
      <c r="C35" s="115"/>
      <c r="D35" s="115"/>
      <c r="E35" s="115"/>
      <c r="F35" s="115"/>
      <c r="G35" s="116"/>
      <c r="I35" s="118"/>
      <c r="J35" s="118"/>
      <c r="L35" s="125"/>
    </row>
    <row r="36" spans="1:12" x14ac:dyDescent="0.25">
      <c r="A36" s="115"/>
      <c r="B36" s="115"/>
      <c r="C36" s="115"/>
      <c r="D36" s="115"/>
      <c r="E36" s="115"/>
      <c r="F36" s="115"/>
      <c r="G36" s="116"/>
      <c r="I36" s="118"/>
      <c r="J36" s="118"/>
      <c r="L36" s="125"/>
    </row>
    <row r="37" spans="1:12" x14ac:dyDescent="0.25">
      <c r="A37" s="115"/>
      <c r="B37" s="115"/>
      <c r="C37" s="115"/>
      <c r="D37" s="115"/>
      <c r="E37" s="115"/>
      <c r="F37" s="115"/>
      <c r="G37" s="116"/>
      <c r="I37" s="118"/>
      <c r="J37" s="118"/>
      <c r="L37" s="125"/>
    </row>
    <row r="38" spans="1:12" x14ac:dyDescent="0.25">
      <c r="A38" s="115"/>
      <c r="B38" s="115"/>
      <c r="C38" s="115"/>
      <c r="D38" s="115"/>
      <c r="E38" s="115"/>
      <c r="F38" s="115"/>
      <c r="G38" s="116"/>
      <c r="I38" s="118"/>
      <c r="J38" s="118"/>
      <c r="L38" s="125"/>
    </row>
    <row r="39" spans="1:12" x14ac:dyDescent="0.25">
      <c r="A39" s="115"/>
      <c r="B39" s="115"/>
      <c r="C39" s="115"/>
      <c r="D39" s="115"/>
      <c r="E39" s="115"/>
      <c r="F39" s="115"/>
      <c r="G39" s="116"/>
      <c r="I39" s="118"/>
      <c r="J39" s="118"/>
      <c r="L39" s="125"/>
    </row>
    <row r="40" spans="1:12" x14ac:dyDescent="0.25">
      <c r="A40" s="115"/>
      <c r="B40" s="115"/>
      <c r="C40" s="115"/>
      <c r="D40" s="115"/>
      <c r="E40" s="115"/>
      <c r="F40" s="115"/>
      <c r="G40" s="116"/>
      <c r="I40" s="118"/>
      <c r="J40" s="118"/>
      <c r="L40" s="125"/>
    </row>
    <row r="41" spans="1:12" x14ac:dyDescent="0.25">
      <c r="A41" s="115"/>
      <c r="B41" s="115"/>
      <c r="C41" s="115"/>
      <c r="D41" s="115"/>
      <c r="E41" s="115"/>
      <c r="F41" s="115"/>
      <c r="G41" s="116"/>
      <c r="I41" s="118"/>
      <c r="J41" s="118"/>
      <c r="L41" s="125"/>
    </row>
    <row r="42" spans="1:12" x14ac:dyDescent="0.25">
      <c r="A42" s="115"/>
      <c r="B42" s="115"/>
      <c r="C42" s="115"/>
      <c r="D42" s="115"/>
      <c r="E42" s="115"/>
      <c r="F42" s="115"/>
      <c r="G42" s="116"/>
      <c r="I42" s="118"/>
      <c r="J42" s="118"/>
      <c r="L42" s="125"/>
    </row>
    <row r="43" spans="1:12" x14ac:dyDescent="0.25">
      <c r="A43" s="115"/>
      <c r="B43" s="115"/>
      <c r="C43" s="115"/>
      <c r="D43" s="115"/>
      <c r="E43" s="115"/>
      <c r="F43" s="115"/>
      <c r="G43" s="116"/>
      <c r="I43" s="118"/>
      <c r="J43" s="118"/>
      <c r="L43" s="125"/>
    </row>
    <row r="44" spans="1:12" x14ac:dyDescent="0.25">
      <c r="A44" s="115"/>
      <c r="B44" s="115"/>
      <c r="C44" s="115"/>
      <c r="D44" s="115"/>
      <c r="E44" s="115"/>
      <c r="F44" s="115"/>
      <c r="G44" s="116"/>
      <c r="I44" s="118"/>
      <c r="J44" s="118"/>
      <c r="L44" s="125"/>
    </row>
    <row r="45" spans="1:12" x14ac:dyDescent="0.25">
      <c r="A45" s="115"/>
      <c r="B45" s="115"/>
      <c r="C45" s="115"/>
      <c r="D45" s="115"/>
      <c r="E45" s="115"/>
      <c r="F45" s="115"/>
      <c r="G45" s="116"/>
      <c r="I45" s="118"/>
      <c r="J45" s="118"/>
      <c r="L45" s="125"/>
    </row>
    <row r="46" spans="1:12" x14ac:dyDescent="0.25">
      <c r="A46" s="115"/>
      <c r="B46" s="115"/>
      <c r="C46" s="115"/>
      <c r="D46" s="115"/>
      <c r="E46" s="115"/>
      <c r="F46" s="115"/>
      <c r="G46" s="116"/>
      <c r="I46" s="118"/>
      <c r="J46" s="118"/>
      <c r="L46" s="125"/>
    </row>
    <row r="47" spans="1:12" x14ac:dyDescent="0.25">
      <c r="A47" s="115"/>
      <c r="B47" s="115"/>
      <c r="C47" s="115"/>
      <c r="D47" s="115"/>
      <c r="E47" s="115"/>
      <c r="F47" s="115"/>
      <c r="G47" s="116"/>
      <c r="I47" s="118"/>
      <c r="J47" s="118"/>
      <c r="L47" s="125"/>
    </row>
    <row r="48" spans="1:12" x14ac:dyDescent="0.25">
      <c r="A48" s="115"/>
      <c r="B48" s="115"/>
      <c r="C48" s="115"/>
      <c r="D48" s="115"/>
      <c r="E48" s="115"/>
      <c r="F48" s="115"/>
      <c r="G48" s="116"/>
      <c r="I48" s="118"/>
      <c r="J48" s="118"/>
      <c r="L48" s="125"/>
    </row>
    <row r="49" spans="1:12" x14ac:dyDescent="0.25">
      <c r="A49" s="115"/>
      <c r="B49" s="115"/>
      <c r="C49" s="115"/>
      <c r="D49" s="115"/>
      <c r="E49" s="115"/>
      <c r="F49" s="115"/>
      <c r="G49" s="116"/>
      <c r="I49" s="118"/>
      <c r="J49" s="118"/>
      <c r="L49" s="125"/>
    </row>
    <row r="50" spans="1:12" x14ac:dyDescent="0.25">
      <c r="A50" s="115"/>
      <c r="B50" s="115"/>
      <c r="C50" s="115"/>
      <c r="D50" s="115"/>
      <c r="E50" s="115"/>
      <c r="F50" s="115"/>
      <c r="G50" s="116"/>
      <c r="I50" s="118"/>
      <c r="J50" s="118"/>
      <c r="L50" s="125"/>
    </row>
    <row r="51" spans="1:12" x14ac:dyDescent="0.25">
      <c r="A51" s="115"/>
      <c r="B51" s="115"/>
      <c r="C51" s="115"/>
      <c r="D51" s="115"/>
      <c r="E51" s="115"/>
      <c r="F51" s="115"/>
      <c r="G51" s="116"/>
      <c r="I51" s="118"/>
      <c r="J51" s="118"/>
      <c r="L51" s="125"/>
    </row>
    <row r="52" spans="1:12" x14ac:dyDescent="0.25">
      <c r="A52" s="115"/>
      <c r="B52" s="115"/>
      <c r="C52" s="115"/>
      <c r="D52" s="115"/>
      <c r="E52" s="115"/>
      <c r="F52" s="115"/>
      <c r="G52" s="116"/>
      <c r="I52" s="118"/>
      <c r="J52" s="118"/>
      <c r="L52" s="125"/>
    </row>
    <row r="53" spans="1:12" x14ac:dyDescent="0.25">
      <c r="A53" s="115"/>
      <c r="B53" s="115"/>
      <c r="C53" s="115"/>
      <c r="D53" s="115"/>
      <c r="E53" s="115"/>
      <c r="F53" s="115"/>
      <c r="G53" s="116"/>
      <c r="I53" s="118"/>
      <c r="J53" s="118"/>
      <c r="L53" s="125"/>
    </row>
    <row r="54" spans="1:12" x14ac:dyDescent="0.25">
      <c r="A54" s="115"/>
      <c r="B54" s="115"/>
      <c r="C54" s="115"/>
      <c r="D54" s="115"/>
      <c r="E54" s="115"/>
      <c r="F54" s="115"/>
      <c r="G54" s="116"/>
      <c r="I54" s="118"/>
      <c r="J54" s="118"/>
      <c r="L54" s="125"/>
    </row>
    <row r="55" spans="1:12" x14ac:dyDescent="0.25">
      <c r="A55" s="115"/>
      <c r="B55" s="115"/>
      <c r="C55" s="115"/>
      <c r="D55" s="115"/>
      <c r="E55" s="115"/>
      <c r="F55" s="115"/>
      <c r="G55" s="116"/>
      <c r="I55" s="118"/>
      <c r="J55" s="118"/>
      <c r="L55" s="125"/>
    </row>
    <row r="56" spans="1:12" x14ac:dyDescent="0.25">
      <c r="A56" s="115"/>
      <c r="B56" s="115"/>
      <c r="C56" s="115"/>
      <c r="D56" s="115"/>
      <c r="E56" s="115"/>
      <c r="F56" s="115"/>
      <c r="G56" s="116"/>
      <c r="I56" s="118"/>
      <c r="J56" s="118"/>
      <c r="L56" s="125"/>
    </row>
    <row r="57" spans="1:12" x14ac:dyDescent="0.25">
      <c r="A57" s="115"/>
      <c r="B57" s="115"/>
      <c r="C57" s="115"/>
      <c r="D57" s="115"/>
      <c r="E57" s="115"/>
      <c r="F57" s="115"/>
      <c r="G57" s="116"/>
      <c r="I57" s="118"/>
      <c r="J57" s="118"/>
      <c r="L57" s="125"/>
    </row>
    <row r="58" spans="1:12" x14ac:dyDescent="0.25">
      <c r="A58" s="115"/>
      <c r="B58" s="115"/>
      <c r="C58" s="115"/>
      <c r="D58" s="115"/>
      <c r="E58" s="115"/>
      <c r="F58" s="115"/>
      <c r="G58" s="116"/>
      <c r="I58" s="118"/>
      <c r="J58" s="118"/>
      <c r="L58" s="125"/>
    </row>
    <row r="59" spans="1:12" x14ac:dyDescent="0.25">
      <c r="A59" s="115"/>
      <c r="B59" s="115"/>
      <c r="C59" s="115"/>
      <c r="D59" s="115"/>
      <c r="E59" s="115"/>
      <c r="F59" s="115"/>
      <c r="G59" s="116"/>
      <c r="I59" s="118"/>
      <c r="J59" s="118"/>
      <c r="L59" s="125"/>
    </row>
    <row r="60" spans="1:12" x14ac:dyDescent="0.25">
      <c r="A60" s="115"/>
      <c r="B60" s="115"/>
      <c r="C60" s="115"/>
      <c r="D60" s="115"/>
      <c r="E60" s="115"/>
      <c r="F60" s="115"/>
      <c r="G60" s="116"/>
      <c r="I60" s="118"/>
      <c r="J60" s="118"/>
      <c r="L60" s="125"/>
    </row>
    <row r="61" spans="1:12" x14ac:dyDescent="0.25">
      <c r="A61" s="115"/>
      <c r="B61" s="115"/>
      <c r="C61" s="115"/>
      <c r="D61" s="115"/>
      <c r="E61" s="115"/>
      <c r="F61" s="115"/>
      <c r="G61" s="116"/>
      <c r="I61" s="118"/>
      <c r="J61" s="118"/>
      <c r="L61" s="125"/>
    </row>
    <row r="62" spans="1:12" x14ac:dyDescent="0.25">
      <c r="A62" s="115"/>
      <c r="B62" s="115"/>
      <c r="C62" s="115"/>
      <c r="D62" s="115"/>
      <c r="E62" s="115"/>
      <c r="F62" s="115"/>
      <c r="G62" s="116"/>
      <c r="I62" s="118"/>
      <c r="J62" s="118"/>
      <c r="L62" s="125"/>
    </row>
    <row r="63" spans="1:12" x14ac:dyDescent="0.25">
      <c r="A63" s="115"/>
      <c r="B63" s="115"/>
      <c r="C63" s="115"/>
      <c r="D63" s="115"/>
      <c r="E63" s="115"/>
      <c r="F63" s="115"/>
      <c r="G63" s="116"/>
      <c r="I63" s="118"/>
      <c r="J63" s="118"/>
      <c r="L63" s="125"/>
    </row>
    <row r="64" spans="1:12" x14ac:dyDescent="0.25">
      <c r="A64" s="115"/>
      <c r="B64" s="115"/>
      <c r="C64" s="115"/>
      <c r="D64" s="115"/>
      <c r="E64" s="115"/>
      <c r="F64" s="115"/>
      <c r="G64" s="116"/>
      <c r="I64" s="118"/>
      <c r="J64" s="118"/>
      <c r="L64" s="125"/>
    </row>
    <row r="65" spans="1:12" x14ac:dyDescent="0.25">
      <c r="A65" s="115"/>
      <c r="B65" s="115"/>
      <c r="C65" s="115"/>
      <c r="D65" s="115"/>
      <c r="E65" s="115"/>
      <c r="F65" s="115"/>
      <c r="G65" s="116"/>
      <c r="I65" s="118"/>
      <c r="J65" s="118"/>
      <c r="L65" s="125"/>
    </row>
    <row r="66" spans="1:12" x14ac:dyDescent="0.25">
      <c r="A66" s="115"/>
      <c r="B66" s="115"/>
      <c r="C66" s="115"/>
      <c r="D66" s="115"/>
      <c r="E66" s="115"/>
      <c r="F66" s="115"/>
      <c r="G66" s="116"/>
      <c r="I66" s="118"/>
      <c r="J66" s="118"/>
      <c r="L66" s="125"/>
    </row>
    <row r="67" spans="1:12" x14ac:dyDescent="0.25">
      <c r="A67" s="115"/>
      <c r="B67" s="115"/>
      <c r="C67" s="115"/>
      <c r="D67" s="115"/>
      <c r="E67" s="115"/>
      <c r="F67" s="115"/>
      <c r="G67" s="116"/>
      <c r="I67" s="118"/>
      <c r="J67" s="118"/>
      <c r="L67" s="125"/>
    </row>
    <row r="68" spans="1:12" x14ac:dyDescent="0.25">
      <c r="A68" s="115"/>
      <c r="B68" s="115"/>
      <c r="C68" s="115"/>
      <c r="D68" s="115"/>
      <c r="E68" s="115"/>
      <c r="F68" s="115"/>
      <c r="G68" s="116"/>
      <c r="I68" s="118"/>
      <c r="J68" s="118"/>
      <c r="L68" s="125"/>
    </row>
    <row r="69" spans="1:12" x14ac:dyDescent="0.25">
      <c r="A69" s="115"/>
      <c r="B69" s="115"/>
      <c r="C69" s="115"/>
      <c r="D69" s="115"/>
      <c r="E69" s="115"/>
      <c r="F69" s="115"/>
      <c r="G69" s="116"/>
      <c r="I69" s="118"/>
      <c r="J69" s="118"/>
      <c r="L69" s="125"/>
    </row>
    <row r="70" spans="1:12" x14ac:dyDescent="0.25">
      <c r="A70" s="115"/>
      <c r="B70" s="115"/>
      <c r="C70" s="115"/>
      <c r="D70" s="115"/>
      <c r="E70" s="115"/>
      <c r="F70" s="115"/>
      <c r="G70" s="116"/>
      <c r="I70" s="118"/>
      <c r="J70" s="118"/>
      <c r="L70" s="125"/>
    </row>
    <row r="71" spans="1:12" x14ac:dyDescent="0.25">
      <c r="A71" s="115"/>
      <c r="B71" s="115"/>
      <c r="C71" s="115"/>
      <c r="D71" s="115"/>
      <c r="E71" s="115"/>
      <c r="F71" s="115"/>
      <c r="G71" s="116"/>
      <c r="I71" s="118"/>
      <c r="J71" s="118"/>
      <c r="L71" s="125"/>
    </row>
    <row r="72" spans="1:12" x14ac:dyDescent="0.25">
      <c r="A72" s="115"/>
      <c r="B72" s="115"/>
      <c r="C72" s="115"/>
      <c r="D72" s="115"/>
      <c r="E72" s="115"/>
      <c r="F72" s="115"/>
      <c r="G72" s="116"/>
      <c r="I72" s="118"/>
      <c r="J72" s="118"/>
      <c r="L72" s="125"/>
    </row>
    <row r="73" spans="1:12" x14ac:dyDescent="0.25">
      <c r="A73" s="115"/>
      <c r="B73" s="115"/>
      <c r="C73" s="115"/>
      <c r="D73" s="115"/>
      <c r="E73" s="115"/>
      <c r="F73" s="115"/>
      <c r="G73" s="116"/>
      <c r="I73" s="118"/>
      <c r="J73" s="118"/>
      <c r="L73" s="125"/>
    </row>
    <row r="74" spans="1:12" x14ac:dyDescent="0.25">
      <c r="A74" s="115"/>
      <c r="B74" s="115"/>
      <c r="C74" s="115"/>
      <c r="D74" s="115"/>
      <c r="E74" s="115"/>
      <c r="F74" s="115"/>
      <c r="G74" s="116"/>
      <c r="I74" s="118"/>
      <c r="J74" s="118"/>
      <c r="L74" s="125"/>
    </row>
    <row r="75" spans="1:12" x14ac:dyDescent="0.25">
      <c r="A75" s="115"/>
      <c r="B75" s="115"/>
      <c r="C75" s="115"/>
      <c r="D75" s="115"/>
      <c r="E75" s="115"/>
      <c r="F75" s="115"/>
      <c r="G75" s="116"/>
      <c r="I75" s="118"/>
      <c r="J75" s="118"/>
      <c r="L75" s="125"/>
    </row>
    <row r="76" spans="1:12" x14ac:dyDescent="0.25">
      <c r="A76" s="115"/>
      <c r="B76" s="115"/>
      <c r="C76" s="115"/>
      <c r="D76" s="115"/>
      <c r="E76" s="115"/>
      <c r="F76" s="115"/>
      <c r="G76" s="116"/>
      <c r="I76" s="118"/>
      <c r="J76" s="118"/>
      <c r="L76" s="125"/>
    </row>
    <row r="77" spans="1:12" x14ac:dyDescent="0.25">
      <c r="A77" s="115"/>
      <c r="B77" s="115"/>
      <c r="C77" s="115"/>
      <c r="D77" s="115"/>
      <c r="E77" s="115"/>
      <c r="F77" s="115"/>
      <c r="G77" s="116"/>
      <c r="I77" s="118"/>
      <c r="J77" s="118"/>
      <c r="L77" s="125"/>
    </row>
    <row r="78" spans="1:12" x14ac:dyDescent="0.25">
      <c r="A78" s="115"/>
      <c r="B78" s="115"/>
      <c r="C78" s="115"/>
      <c r="D78" s="115"/>
      <c r="E78" s="115"/>
      <c r="F78" s="115"/>
      <c r="G78" s="116"/>
      <c r="I78" s="118"/>
      <c r="J78" s="118"/>
      <c r="L78" s="125"/>
    </row>
    <row r="79" spans="1:12" x14ac:dyDescent="0.25">
      <c r="A79" s="115"/>
      <c r="B79" s="115"/>
      <c r="C79" s="115"/>
      <c r="D79" s="115"/>
      <c r="E79" s="115"/>
      <c r="F79" s="115"/>
      <c r="G79" s="116"/>
      <c r="I79" s="118"/>
      <c r="J79" s="118"/>
      <c r="L79" s="125"/>
    </row>
    <row r="80" spans="1:12" x14ac:dyDescent="0.25">
      <c r="A80" s="115"/>
      <c r="B80" s="115"/>
      <c r="C80" s="115"/>
      <c r="D80" s="115"/>
      <c r="E80" s="115"/>
      <c r="F80" s="115"/>
      <c r="G80" s="116"/>
      <c r="I80" s="118"/>
      <c r="J80" s="118"/>
      <c r="L80" s="125"/>
    </row>
    <row r="81" spans="1:12" x14ac:dyDescent="0.25">
      <c r="A81" s="115"/>
      <c r="B81" s="115"/>
      <c r="C81" s="115"/>
      <c r="D81" s="115"/>
      <c r="E81" s="115"/>
      <c r="F81" s="115"/>
      <c r="G81" s="116"/>
      <c r="I81" s="118"/>
      <c r="J81" s="118"/>
      <c r="L81" s="125"/>
    </row>
    <row r="82" spans="1:12" x14ac:dyDescent="0.25">
      <c r="A82" s="115"/>
      <c r="B82" s="115"/>
      <c r="C82" s="115"/>
      <c r="D82" s="115"/>
      <c r="E82" s="115"/>
      <c r="F82" s="115"/>
      <c r="G82" s="116"/>
      <c r="I82" s="118"/>
      <c r="J82" s="118"/>
      <c r="L82" s="125"/>
    </row>
    <row r="83" spans="1:12" x14ac:dyDescent="0.25">
      <c r="A83" s="115"/>
      <c r="B83" s="115"/>
      <c r="C83" s="115"/>
      <c r="D83" s="115"/>
      <c r="E83" s="115"/>
      <c r="F83" s="115"/>
      <c r="G83" s="116"/>
      <c r="I83" s="118"/>
      <c r="J83" s="118"/>
      <c r="L83" s="125"/>
    </row>
    <row r="84" spans="1:12" x14ac:dyDescent="0.25">
      <c r="A84" s="115"/>
      <c r="B84" s="115"/>
      <c r="C84" s="115"/>
      <c r="D84" s="115"/>
      <c r="E84" s="115"/>
      <c r="F84" s="115"/>
      <c r="G84" s="116"/>
      <c r="I84" s="118"/>
      <c r="J84" s="118"/>
      <c r="L84" s="125"/>
    </row>
    <row r="85" spans="1:12" x14ac:dyDescent="0.25">
      <c r="A85" s="115"/>
      <c r="B85" s="115"/>
      <c r="C85" s="115"/>
      <c r="D85" s="115"/>
      <c r="E85" s="115"/>
      <c r="F85" s="115"/>
      <c r="G85" s="116"/>
      <c r="I85" s="118"/>
      <c r="J85" s="118"/>
      <c r="L85" s="125"/>
    </row>
    <row r="86" spans="1:12" x14ac:dyDescent="0.25">
      <c r="A86" s="115"/>
      <c r="B86" s="115"/>
      <c r="C86" s="115"/>
      <c r="D86" s="115"/>
      <c r="E86" s="115"/>
      <c r="F86" s="115"/>
      <c r="G86" s="116"/>
      <c r="I86" s="118"/>
      <c r="J86" s="118"/>
      <c r="L86" s="125"/>
    </row>
    <row r="87" spans="1:12" x14ac:dyDescent="0.25">
      <c r="A87" s="115"/>
      <c r="B87" s="115"/>
      <c r="C87" s="115"/>
      <c r="D87" s="115"/>
      <c r="E87" s="115"/>
      <c r="F87" s="115"/>
      <c r="G87" s="116"/>
      <c r="I87" s="118"/>
      <c r="J87" s="118"/>
      <c r="L87" s="125"/>
    </row>
    <row r="88" spans="1:12" x14ac:dyDescent="0.25">
      <c r="A88" s="115"/>
      <c r="B88" s="115"/>
      <c r="C88" s="115"/>
      <c r="D88" s="115"/>
      <c r="E88" s="115"/>
      <c r="F88" s="115"/>
      <c r="G88" s="116"/>
      <c r="I88" s="118"/>
      <c r="J88" s="118"/>
      <c r="L88" s="125"/>
    </row>
    <row r="89" spans="1:12" x14ac:dyDescent="0.25">
      <c r="A89" s="115"/>
      <c r="B89" s="115"/>
      <c r="C89" s="115"/>
      <c r="D89" s="115"/>
      <c r="E89" s="115"/>
      <c r="F89" s="115"/>
      <c r="G89" s="116"/>
      <c r="I89" s="118"/>
      <c r="J89" s="118"/>
      <c r="L89" s="125"/>
    </row>
    <row r="90" spans="1:12" x14ac:dyDescent="0.25">
      <c r="A90" s="115"/>
      <c r="B90" s="115"/>
      <c r="C90" s="115"/>
      <c r="D90" s="115"/>
      <c r="E90" s="115"/>
      <c r="F90" s="115"/>
      <c r="G90" s="116"/>
      <c r="I90" s="118"/>
      <c r="J90" s="118"/>
      <c r="L90" s="125"/>
    </row>
    <row r="91" spans="1:12" x14ac:dyDescent="0.25">
      <c r="A91" s="115"/>
      <c r="B91" s="115"/>
      <c r="C91" s="115"/>
      <c r="D91" s="115"/>
      <c r="E91" s="115"/>
      <c r="F91" s="115"/>
      <c r="G91" s="116"/>
      <c r="I91" s="118"/>
      <c r="J91" s="118"/>
      <c r="L91" s="125"/>
    </row>
    <row r="92" spans="1:12" x14ac:dyDescent="0.25">
      <c r="A92" s="115"/>
      <c r="B92" s="115"/>
      <c r="C92" s="115"/>
      <c r="D92" s="115"/>
      <c r="E92" s="115"/>
      <c r="F92" s="115"/>
      <c r="G92" s="116"/>
      <c r="I92" s="118"/>
      <c r="J92" s="118"/>
      <c r="L92" s="125"/>
    </row>
    <row r="93" spans="1:12" x14ac:dyDescent="0.25">
      <c r="A93" s="115"/>
      <c r="B93" s="115"/>
      <c r="C93" s="115"/>
      <c r="D93" s="115"/>
      <c r="E93" s="115"/>
      <c r="F93" s="115"/>
      <c r="G93" s="116"/>
      <c r="I93" s="118"/>
      <c r="J93" s="118"/>
      <c r="L93" s="125"/>
    </row>
    <row r="94" spans="1:12" x14ac:dyDescent="0.25">
      <c r="A94" s="115"/>
      <c r="B94" s="115"/>
      <c r="C94" s="115"/>
      <c r="D94" s="115"/>
      <c r="E94" s="115"/>
      <c r="F94" s="115"/>
      <c r="G94" s="116"/>
      <c r="I94" s="118"/>
      <c r="J94" s="118"/>
      <c r="L94" s="125"/>
    </row>
    <row r="95" spans="1:12" x14ac:dyDescent="0.25">
      <c r="A95" s="115"/>
      <c r="B95" s="115"/>
      <c r="C95" s="115"/>
      <c r="D95" s="115"/>
      <c r="E95" s="115"/>
      <c r="F95" s="115"/>
      <c r="G95" s="116"/>
      <c r="I95" s="118"/>
      <c r="J95" s="118"/>
      <c r="L95" s="125"/>
    </row>
    <row r="96" spans="1:12" x14ac:dyDescent="0.25">
      <c r="A96" s="115"/>
      <c r="B96" s="115"/>
      <c r="C96" s="115"/>
      <c r="D96" s="115"/>
      <c r="E96" s="115"/>
      <c r="F96" s="115"/>
      <c r="G96" s="116"/>
      <c r="I96" s="118"/>
      <c r="J96" s="118"/>
      <c r="L96" s="125"/>
    </row>
    <row r="97" spans="1:12" x14ac:dyDescent="0.25">
      <c r="A97" s="115"/>
      <c r="B97" s="115"/>
      <c r="C97" s="115"/>
      <c r="D97" s="115"/>
      <c r="E97" s="115"/>
      <c r="F97" s="115"/>
      <c r="G97" s="116"/>
      <c r="I97" s="118"/>
      <c r="J97" s="118"/>
      <c r="L97" s="125"/>
    </row>
    <row r="98" spans="1:12" x14ac:dyDescent="0.25">
      <c r="A98" s="115"/>
      <c r="B98" s="115"/>
      <c r="C98" s="115"/>
      <c r="D98" s="115"/>
      <c r="E98" s="115"/>
      <c r="F98" s="115"/>
      <c r="G98" s="116"/>
      <c r="I98" s="118"/>
      <c r="J98" s="118"/>
      <c r="L98" s="125"/>
    </row>
    <row r="99" spans="1:12" x14ac:dyDescent="0.25">
      <c r="A99" s="115"/>
      <c r="B99" s="115"/>
      <c r="C99" s="115"/>
      <c r="D99" s="115"/>
      <c r="E99" s="115"/>
      <c r="F99" s="115"/>
      <c r="G99" s="116"/>
      <c r="I99" s="118"/>
      <c r="J99" s="118"/>
      <c r="L99" s="125"/>
    </row>
    <row r="100" spans="1:12" x14ac:dyDescent="0.25">
      <c r="A100" s="115"/>
      <c r="B100" s="115"/>
      <c r="C100" s="115"/>
      <c r="D100" s="115"/>
      <c r="E100" s="115"/>
      <c r="F100" s="115"/>
      <c r="G100" s="116"/>
      <c r="I100" s="118"/>
      <c r="J100" s="118"/>
      <c r="L100" s="125"/>
    </row>
    <row r="101" spans="1:12" x14ac:dyDescent="0.25">
      <c r="A101" s="115"/>
      <c r="B101" s="115"/>
      <c r="C101" s="115"/>
      <c r="D101" s="115"/>
      <c r="E101" s="115"/>
      <c r="F101" s="115"/>
      <c r="G101" s="116"/>
      <c r="I101" s="118"/>
      <c r="J101" s="118"/>
      <c r="L101" s="125"/>
    </row>
    <row r="102" spans="1:12" x14ac:dyDescent="0.25">
      <c r="A102" s="115"/>
      <c r="B102" s="115"/>
      <c r="C102" s="115"/>
      <c r="D102" s="115"/>
      <c r="E102" s="115"/>
      <c r="F102" s="115"/>
      <c r="G102" s="116"/>
      <c r="I102" s="118"/>
      <c r="J102" s="118"/>
      <c r="L102" s="125"/>
    </row>
    <row r="103" spans="1:12" x14ac:dyDescent="0.25">
      <c r="A103" s="115"/>
      <c r="B103" s="115"/>
      <c r="C103" s="115"/>
      <c r="D103" s="115"/>
      <c r="E103" s="115"/>
      <c r="F103" s="115"/>
      <c r="G103" s="116"/>
      <c r="I103" s="118"/>
      <c r="J103" s="118"/>
      <c r="L103" s="125"/>
    </row>
    <row r="104" spans="1:12" x14ac:dyDescent="0.25">
      <c r="A104" s="115"/>
      <c r="B104" s="115"/>
      <c r="C104" s="115"/>
      <c r="D104" s="115"/>
      <c r="E104" s="115"/>
      <c r="F104" s="115"/>
      <c r="G104" s="116"/>
      <c r="I104" s="118"/>
      <c r="J104" s="118"/>
      <c r="L104" s="125"/>
    </row>
    <row r="105" spans="1:12" x14ac:dyDescent="0.25">
      <c r="A105" s="115"/>
      <c r="B105" s="115"/>
      <c r="C105" s="115"/>
      <c r="D105" s="115"/>
      <c r="E105" s="115"/>
      <c r="F105" s="115"/>
      <c r="G105" s="116"/>
      <c r="I105" s="118"/>
      <c r="J105" s="118"/>
      <c r="L105" s="125"/>
    </row>
    <row r="106" spans="1:12" x14ac:dyDescent="0.25">
      <c r="A106" s="115"/>
      <c r="B106" s="115"/>
      <c r="C106" s="115"/>
      <c r="D106" s="115"/>
      <c r="E106" s="115"/>
      <c r="F106" s="115"/>
      <c r="G106" s="116"/>
      <c r="I106" s="118"/>
      <c r="J106" s="118"/>
      <c r="L106" s="125"/>
    </row>
    <row r="107" spans="1:12" x14ac:dyDescent="0.25">
      <c r="A107" s="115"/>
      <c r="B107" s="115"/>
      <c r="C107" s="115"/>
      <c r="D107" s="115"/>
      <c r="E107" s="115"/>
      <c r="F107" s="115"/>
      <c r="G107" s="116"/>
      <c r="I107" s="118"/>
      <c r="J107" s="118"/>
      <c r="L107" s="125"/>
    </row>
    <row r="108" spans="1:12" x14ac:dyDescent="0.25">
      <c r="A108" s="115"/>
      <c r="B108" s="115"/>
      <c r="C108" s="115"/>
      <c r="D108" s="115"/>
      <c r="E108" s="115"/>
      <c r="F108" s="115"/>
      <c r="G108" s="116"/>
      <c r="I108" s="118"/>
      <c r="J108" s="118"/>
      <c r="L108" s="125"/>
    </row>
    <row r="109" spans="1:12" x14ac:dyDescent="0.25">
      <c r="A109" s="115"/>
      <c r="B109" s="115"/>
      <c r="C109" s="115"/>
      <c r="D109" s="115"/>
      <c r="E109" s="115"/>
      <c r="F109" s="115"/>
      <c r="G109" s="116"/>
      <c r="I109" s="118"/>
      <c r="J109" s="118"/>
      <c r="L109" s="125"/>
    </row>
    <row r="110" spans="1:12" x14ac:dyDescent="0.25">
      <c r="A110" s="115"/>
      <c r="B110" s="115"/>
      <c r="C110" s="115"/>
      <c r="D110" s="115"/>
      <c r="E110" s="115"/>
      <c r="F110" s="115"/>
      <c r="G110" s="116"/>
      <c r="I110" s="118"/>
      <c r="J110" s="118"/>
      <c r="L110" s="125"/>
    </row>
    <row r="111" spans="1:12" x14ac:dyDescent="0.25">
      <c r="A111" s="115"/>
      <c r="B111" s="115"/>
      <c r="C111" s="115"/>
      <c r="D111" s="115"/>
      <c r="E111" s="115"/>
      <c r="F111" s="115"/>
      <c r="G111" s="116"/>
      <c r="I111" s="118"/>
      <c r="J111" s="118"/>
      <c r="L111" s="125"/>
    </row>
    <row r="112" spans="1:12" x14ac:dyDescent="0.25">
      <c r="A112" s="115"/>
      <c r="B112" s="115"/>
      <c r="C112" s="115"/>
      <c r="D112" s="115"/>
      <c r="E112" s="115"/>
      <c r="F112" s="115"/>
      <c r="G112" s="116"/>
      <c r="I112" s="118"/>
      <c r="J112" s="118"/>
      <c r="L112" s="125"/>
    </row>
    <row r="113" spans="1:12" x14ac:dyDescent="0.25">
      <c r="A113" s="115"/>
      <c r="B113" s="115"/>
      <c r="C113" s="115"/>
      <c r="D113" s="115"/>
      <c r="E113" s="115"/>
      <c r="F113" s="115"/>
      <c r="G113" s="116"/>
      <c r="I113" s="118"/>
      <c r="J113" s="118"/>
      <c r="L113" s="125"/>
    </row>
    <row r="114" spans="1:12" x14ac:dyDescent="0.25">
      <c r="A114" s="115"/>
      <c r="B114" s="115"/>
      <c r="C114" s="115"/>
      <c r="D114" s="115"/>
      <c r="E114" s="115"/>
      <c r="F114" s="115"/>
      <c r="G114" s="116"/>
      <c r="I114" s="118"/>
      <c r="J114" s="118"/>
      <c r="L114" s="125"/>
    </row>
    <row r="115" spans="1:12" x14ac:dyDescent="0.25">
      <c r="A115" s="115"/>
      <c r="B115" s="115"/>
      <c r="C115" s="115"/>
      <c r="D115" s="115"/>
      <c r="E115" s="115"/>
      <c r="F115" s="115"/>
      <c r="G115" s="116"/>
      <c r="I115" s="118"/>
      <c r="J115" s="118"/>
      <c r="L115" s="125"/>
    </row>
    <row r="116" spans="1:12" x14ac:dyDescent="0.25">
      <c r="A116" s="115"/>
      <c r="B116" s="115"/>
      <c r="C116" s="115"/>
      <c r="D116" s="115"/>
      <c r="E116" s="115"/>
      <c r="F116" s="115"/>
      <c r="G116" s="116"/>
      <c r="I116" s="118"/>
      <c r="J116" s="118"/>
      <c r="L116" s="125"/>
    </row>
    <row r="117" spans="1:12" x14ac:dyDescent="0.25">
      <c r="A117" s="115"/>
      <c r="B117" s="115"/>
      <c r="C117" s="115"/>
      <c r="D117" s="115"/>
      <c r="E117" s="115"/>
      <c r="F117" s="115"/>
      <c r="G117" s="116"/>
      <c r="I117" s="118"/>
      <c r="J117" s="118"/>
      <c r="L117" s="125"/>
    </row>
    <row r="118" spans="1:12" x14ac:dyDescent="0.25">
      <c r="A118" s="115"/>
      <c r="B118" s="115"/>
      <c r="C118" s="115"/>
      <c r="D118" s="115"/>
      <c r="E118" s="115"/>
      <c r="F118" s="115"/>
      <c r="G118" s="116"/>
      <c r="I118" s="118"/>
      <c r="J118" s="118"/>
      <c r="L118" s="125"/>
    </row>
    <row r="119" spans="1:12" x14ac:dyDescent="0.25">
      <c r="A119" s="115"/>
      <c r="B119" s="115"/>
      <c r="C119" s="115"/>
      <c r="D119" s="115"/>
      <c r="E119" s="115"/>
      <c r="F119" s="115"/>
      <c r="G119" s="116"/>
      <c r="I119" s="118"/>
      <c r="J119" s="118"/>
      <c r="L119" s="125"/>
    </row>
    <row r="120" spans="1:12" x14ac:dyDescent="0.25">
      <c r="A120" s="115"/>
      <c r="B120" s="115"/>
      <c r="C120" s="115"/>
      <c r="D120" s="115"/>
      <c r="E120" s="115"/>
      <c r="F120" s="115"/>
      <c r="G120" s="116"/>
      <c r="I120" s="118"/>
      <c r="J120" s="118"/>
      <c r="L120" s="125"/>
    </row>
    <row r="121" spans="1:12" x14ac:dyDescent="0.25">
      <c r="A121" s="115"/>
      <c r="B121" s="115"/>
      <c r="C121" s="115"/>
      <c r="D121" s="115"/>
      <c r="E121" s="115"/>
      <c r="F121" s="115"/>
      <c r="G121" s="116"/>
      <c r="I121" s="118"/>
      <c r="J121" s="118"/>
      <c r="L121" s="125"/>
    </row>
    <row r="122" spans="1:12" x14ac:dyDescent="0.25">
      <c r="A122" s="115"/>
      <c r="B122" s="115"/>
      <c r="C122" s="115"/>
      <c r="D122" s="115"/>
      <c r="E122" s="115"/>
      <c r="F122" s="115"/>
      <c r="G122" s="116"/>
      <c r="I122" s="118"/>
      <c r="J122" s="118"/>
      <c r="L122" s="125"/>
    </row>
    <row r="123" spans="1:12" x14ac:dyDescent="0.25">
      <c r="A123" s="115"/>
      <c r="B123" s="115"/>
      <c r="C123" s="115"/>
      <c r="D123" s="115"/>
      <c r="E123" s="115"/>
      <c r="F123" s="115"/>
      <c r="G123" s="116"/>
      <c r="I123" s="118"/>
      <c r="J123" s="118"/>
      <c r="L123" s="125"/>
    </row>
    <row r="124" spans="1:12" x14ac:dyDescent="0.25">
      <c r="A124" s="115"/>
      <c r="B124" s="115"/>
      <c r="C124" s="115"/>
      <c r="D124" s="115"/>
      <c r="E124" s="115"/>
      <c r="F124" s="115"/>
      <c r="G124" s="116"/>
      <c r="I124" s="118"/>
      <c r="J124" s="118"/>
      <c r="L124" s="125"/>
    </row>
    <row r="125" spans="1:12" x14ac:dyDescent="0.25">
      <c r="A125" s="115"/>
      <c r="B125" s="115"/>
      <c r="C125" s="115"/>
      <c r="D125" s="115"/>
      <c r="E125" s="115"/>
      <c r="F125" s="115"/>
      <c r="G125" s="116"/>
      <c r="I125" s="118"/>
      <c r="J125" s="118"/>
      <c r="L125" s="125"/>
    </row>
    <row r="126" spans="1:12" x14ac:dyDescent="0.25">
      <c r="A126" s="115"/>
      <c r="B126" s="115"/>
      <c r="C126" s="115"/>
      <c r="D126" s="115"/>
      <c r="E126" s="115"/>
      <c r="F126" s="115"/>
      <c r="G126" s="116"/>
      <c r="I126" s="118"/>
      <c r="J126" s="118"/>
      <c r="L126" s="125"/>
    </row>
    <row r="127" spans="1:12" x14ac:dyDescent="0.25">
      <c r="A127" s="115"/>
      <c r="B127" s="115"/>
      <c r="C127" s="115"/>
      <c r="D127" s="115"/>
      <c r="E127" s="115"/>
      <c r="F127" s="115"/>
      <c r="G127" s="116"/>
      <c r="I127" s="118"/>
      <c r="J127" s="118"/>
      <c r="L127" s="125"/>
    </row>
    <row r="128" spans="1:12" x14ac:dyDescent="0.25">
      <c r="A128" s="115"/>
      <c r="B128" s="115"/>
      <c r="C128" s="115"/>
      <c r="D128" s="115"/>
      <c r="E128" s="115"/>
      <c r="F128" s="115"/>
      <c r="G128" s="116"/>
      <c r="I128" s="118"/>
      <c r="J128" s="118"/>
      <c r="L128" s="125"/>
    </row>
    <row r="129" spans="1:12" x14ac:dyDescent="0.25">
      <c r="A129" s="115"/>
      <c r="B129" s="115"/>
      <c r="C129" s="115"/>
      <c r="D129" s="115"/>
      <c r="E129" s="115"/>
      <c r="F129" s="115"/>
      <c r="G129" s="116"/>
      <c r="I129" s="118"/>
      <c r="J129" s="118"/>
      <c r="L129" s="125"/>
    </row>
    <row r="130" spans="1:12" x14ac:dyDescent="0.25">
      <c r="A130" s="115"/>
      <c r="B130" s="115"/>
      <c r="C130" s="115"/>
      <c r="D130" s="115"/>
      <c r="E130" s="115"/>
      <c r="F130" s="115"/>
      <c r="G130" s="116"/>
      <c r="I130" s="118"/>
      <c r="J130" s="118"/>
      <c r="L130" s="125"/>
    </row>
    <row r="131" spans="1:12" x14ac:dyDescent="0.25">
      <c r="A131" s="115"/>
      <c r="B131" s="115"/>
      <c r="C131" s="115"/>
      <c r="D131" s="115"/>
      <c r="E131" s="115"/>
      <c r="F131" s="115"/>
      <c r="G131" s="116"/>
      <c r="I131" s="118"/>
      <c r="J131" s="118"/>
      <c r="L131" s="125"/>
    </row>
    <row r="132" spans="1:12" x14ac:dyDescent="0.25">
      <c r="A132" s="115"/>
      <c r="B132" s="115"/>
      <c r="C132" s="115"/>
      <c r="D132" s="115"/>
      <c r="E132" s="115"/>
      <c r="F132" s="115"/>
      <c r="G132" s="116"/>
      <c r="I132" s="118"/>
      <c r="J132" s="118"/>
      <c r="L132" s="125"/>
    </row>
    <row r="133" spans="1:12" x14ac:dyDescent="0.25">
      <c r="A133" s="115"/>
      <c r="B133" s="115"/>
      <c r="C133" s="115"/>
      <c r="D133" s="115"/>
      <c r="E133" s="115"/>
      <c r="F133" s="115"/>
      <c r="G133" s="116"/>
      <c r="I133" s="118"/>
      <c r="J133" s="118"/>
      <c r="L133" s="125"/>
    </row>
    <row r="134" spans="1:12" x14ac:dyDescent="0.25">
      <c r="A134" s="115"/>
      <c r="B134" s="115"/>
      <c r="C134" s="115"/>
      <c r="D134" s="115"/>
      <c r="E134" s="115"/>
      <c r="F134" s="115"/>
      <c r="G134" s="116"/>
      <c r="I134" s="118"/>
      <c r="J134" s="118"/>
      <c r="L134" s="125"/>
    </row>
    <row r="135" spans="1:12" x14ac:dyDescent="0.25">
      <c r="A135" s="115"/>
      <c r="B135" s="115"/>
      <c r="C135" s="115"/>
      <c r="D135" s="115"/>
      <c r="E135" s="115"/>
      <c r="F135" s="115"/>
      <c r="G135" s="116"/>
      <c r="I135" s="118"/>
      <c r="J135" s="118"/>
      <c r="L135" s="125"/>
    </row>
    <row r="136" spans="1:12" x14ac:dyDescent="0.25">
      <c r="A136" s="115"/>
      <c r="B136" s="115"/>
      <c r="C136" s="115"/>
      <c r="D136" s="115"/>
      <c r="E136" s="115"/>
      <c r="F136" s="115"/>
      <c r="G136" s="116"/>
      <c r="I136" s="118"/>
      <c r="J136" s="118"/>
      <c r="L136" s="125"/>
    </row>
    <row r="137" spans="1:12" x14ac:dyDescent="0.25">
      <c r="A137" s="115"/>
      <c r="B137" s="115"/>
      <c r="C137" s="115"/>
      <c r="D137" s="115"/>
      <c r="E137" s="115"/>
      <c r="F137" s="115"/>
      <c r="G137" s="116"/>
      <c r="I137" s="118"/>
      <c r="J137" s="118"/>
      <c r="L137" s="125"/>
    </row>
    <row r="138" spans="1:12" x14ac:dyDescent="0.25">
      <c r="A138" s="115"/>
      <c r="B138" s="115"/>
      <c r="C138" s="115"/>
      <c r="D138" s="115"/>
      <c r="E138" s="115"/>
      <c r="F138" s="115"/>
      <c r="G138" s="116"/>
      <c r="I138" s="118"/>
      <c r="J138" s="118"/>
      <c r="L138" s="125"/>
    </row>
    <row r="139" spans="1:12" x14ac:dyDescent="0.25">
      <c r="A139" s="115"/>
      <c r="B139" s="115"/>
      <c r="C139" s="115"/>
      <c r="D139" s="115"/>
      <c r="E139" s="115"/>
      <c r="F139" s="115"/>
      <c r="G139" s="116"/>
      <c r="I139" s="118"/>
      <c r="J139" s="118"/>
      <c r="L139" s="125"/>
    </row>
    <row r="140" spans="1:12" x14ac:dyDescent="0.25">
      <c r="A140" s="115"/>
      <c r="B140" s="115"/>
      <c r="C140" s="115"/>
      <c r="D140" s="115"/>
      <c r="E140" s="115"/>
      <c r="F140" s="115"/>
      <c r="G140" s="116"/>
      <c r="I140" s="118"/>
      <c r="J140" s="118"/>
      <c r="L140" s="125"/>
    </row>
    <row r="141" spans="1:12" x14ac:dyDescent="0.25">
      <c r="A141" s="115"/>
      <c r="B141" s="115"/>
      <c r="C141" s="115"/>
      <c r="D141" s="115"/>
      <c r="E141" s="115"/>
      <c r="F141" s="115"/>
      <c r="G141" s="116"/>
      <c r="I141" s="118"/>
      <c r="J141" s="118"/>
      <c r="L141" s="125"/>
    </row>
    <row r="142" spans="1:12" x14ac:dyDescent="0.25">
      <c r="A142" s="115"/>
      <c r="B142" s="115"/>
      <c r="C142" s="115"/>
      <c r="D142" s="115"/>
      <c r="E142" s="115"/>
      <c r="F142" s="115"/>
      <c r="G142" s="116"/>
      <c r="I142" s="118"/>
      <c r="J142" s="118"/>
      <c r="L142" s="125"/>
    </row>
    <row r="143" spans="1:12" x14ac:dyDescent="0.25">
      <c r="A143" s="115"/>
      <c r="B143" s="115"/>
      <c r="C143" s="115"/>
      <c r="D143" s="115"/>
      <c r="E143" s="115"/>
      <c r="F143" s="115"/>
      <c r="G143" s="116"/>
      <c r="I143" s="118"/>
      <c r="J143" s="118"/>
      <c r="L143" s="125"/>
    </row>
    <row r="144" spans="1:12" x14ac:dyDescent="0.25">
      <c r="A144" s="115"/>
      <c r="B144" s="115"/>
      <c r="C144" s="115"/>
      <c r="D144" s="115"/>
      <c r="E144" s="115"/>
      <c r="F144" s="115"/>
      <c r="G144" s="116"/>
      <c r="I144" s="118"/>
      <c r="J144" s="118"/>
      <c r="L144" s="125"/>
    </row>
    <row r="145" spans="1:12" x14ac:dyDescent="0.25">
      <c r="A145" s="115"/>
      <c r="B145" s="115"/>
      <c r="C145" s="115"/>
      <c r="D145" s="115"/>
      <c r="E145" s="115"/>
      <c r="F145" s="115"/>
      <c r="G145" s="116"/>
      <c r="I145" s="118"/>
      <c r="J145" s="118"/>
      <c r="L145" s="125"/>
    </row>
    <row r="146" spans="1:12" x14ac:dyDescent="0.25">
      <c r="A146" s="115"/>
      <c r="B146" s="115"/>
      <c r="C146" s="115"/>
      <c r="D146" s="115"/>
      <c r="E146" s="115"/>
      <c r="F146" s="115"/>
      <c r="G146" s="116"/>
      <c r="I146" s="118"/>
      <c r="J146" s="118"/>
      <c r="L146" s="125"/>
    </row>
    <row r="147" spans="1:12" x14ac:dyDescent="0.25">
      <c r="A147" s="115"/>
      <c r="B147" s="115"/>
      <c r="C147" s="115"/>
      <c r="D147" s="115"/>
      <c r="E147" s="115"/>
      <c r="F147" s="115"/>
      <c r="G147" s="116"/>
      <c r="I147" s="118"/>
      <c r="J147" s="118"/>
      <c r="L147" s="125"/>
    </row>
    <row r="148" spans="1:12" x14ac:dyDescent="0.25">
      <c r="A148" s="115"/>
      <c r="B148" s="115"/>
      <c r="C148" s="115"/>
      <c r="D148" s="115"/>
      <c r="E148" s="115"/>
      <c r="F148" s="115"/>
      <c r="G148" s="116"/>
      <c r="I148" s="118"/>
      <c r="J148" s="118"/>
      <c r="L148" s="125"/>
    </row>
    <row r="149" spans="1:12" x14ac:dyDescent="0.25">
      <c r="A149" s="115"/>
      <c r="B149" s="115"/>
      <c r="C149" s="115"/>
      <c r="D149" s="115"/>
      <c r="E149" s="115"/>
      <c r="F149" s="115"/>
      <c r="G149" s="116"/>
      <c r="I149" s="118"/>
      <c r="J149" s="118"/>
      <c r="L149" s="125"/>
    </row>
    <row r="150" spans="1:12" x14ac:dyDescent="0.25">
      <c r="A150" s="115"/>
      <c r="B150" s="115"/>
      <c r="C150" s="115"/>
      <c r="D150" s="115"/>
      <c r="E150" s="115"/>
      <c r="F150" s="115"/>
      <c r="G150" s="116"/>
      <c r="I150" s="118"/>
      <c r="J150" s="118"/>
      <c r="L150" s="125"/>
    </row>
    <row r="151" spans="1:12" x14ac:dyDescent="0.25">
      <c r="A151" s="115"/>
      <c r="B151" s="115"/>
      <c r="C151" s="115"/>
      <c r="D151" s="115"/>
      <c r="E151" s="115"/>
      <c r="F151" s="115"/>
      <c r="G151" s="116"/>
      <c r="I151" s="118"/>
      <c r="J151" s="118"/>
      <c r="L151" s="125"/>
    </row>
    <row r="152" spans="1:12" x14ac:dyDescent="0.25">
      <c r="A152" s="115"/>
      <c r="B152" s="115"/>
      <c r="C152" s="115"/>
      <c r="D152" s="115"/>
      <c r="E152" s="115"/>
      <c r="F152" s="115"/>
      <c r="G152" s="116"/>
      <c r="I152" s="118"/>
      <c r="J152" s="118"/>
      <c r="L152" s="125"/>
    </row>
    <row r="153" spans="1:12" x14ac:dyDescent="0.25">
      <c r="A153" s="115"/>
      <c r="B153" s="115"/>
      <c r="C153" s="115"/>
      <c r="D153" s="115"/>
      <c r="E153" s="115"/>
      <c r="F153" s="115"/>
      <c r="G153" s="116"/>
      <c r="I153" s="118"/>
      <c r="J153" s="118"/>
      <c r="L153" s="125"/>
    </row>
    <row r="154" spans="1:12" x14ac:dyDescent="0.25">
      <c r="A154" s="115"/>
      <c r="B154" s="115"/>
      <c r="C154" s="115"/>
      <c r="D154" s="115"/>
      <c r="E154" s="115"/>
      <c r="F154" s="115"/>
      <c r="G154" s="116"/>
      <c r="I154" s="118"/>
      <c r="J154" s="118"/>
      <c r="L154" s="125"/>
    </row>
    <row r="155" spans="1:12" x14ac:dyDescent="0.25">
      <c r="A155" s="115"/>
      <c r="B155" s="115"/>
      <c r="C155" s="115"/>
      <c r="D155" s="115"/>
      <c r="E155" s="115"/>
      <c r="F155" s="115"/>
      <c r="G155" s="116"/>
      <c r="I155" s="118"/>
      <c r="J155" s="118"/>
      <c r="L155" s="125"/>
    </row>
    <row r="156" spans="1:12" x14ac:dyDescent="0.25">
      <c r="A156" s="115"/>
      <c r="B156" s="115"/>
      <c r="C156" s="115"/>
      <c r="D156" s="115"/>
      <c r="E156" s="115"/>
      <c r="F156" s="115"/>
      <c r="G156" s="116"/>
      <c r="I156" s="118"/>
      <c r="J156" s="118"/>
      <c r="L156" s="125"/>
    </row>
    <row r="157" spans="1:12" x14ac:dyDescent="0.25">
      <c r="A157" s="115"/>
      <c r="B157" s="115"/>
      <c r="C157" s="115"/>
      <c r="D157" s="115"/>
      <c r="E157" s="115"/>
      <c r="F157" s="115"/>
      <c r="G157" s="116"/>
      <c r="I157" s="118"/>
      <c r="J157" s="118"/>
      <c r="L157" s="125"/>
    </row>
    <row r="158" spans="1:12" x14ac:dyDescent="0.25">
      <c r="A158" s="115"/>
      <c r="B158" s="115"/>
      <c r="C158" s="115"/>
      <c r="D158" s="115"/>
      <c r="E158" s="115"/>
      <c r="F158" s="115"/>
      <c r="G158" s="116"/>
      <c r="I158" s="118"/>
      <c r="J158" s="118"/>
      <c r="L158" s="125"/>
    </row>
    <row r="159" spans="1:12" x14ac:dyDescent="0.25">
      <c r="A159" s="115"/>
      <c r="B159" s="115"/>
      <c r="C159" s="115"/>
      <c r="D159" s="115"/>
      <c r="E159" s="115"/>
      <c r="F159" s="115"/>
      <c r="G159" s="116"/>
      <c r="I159" s="118"/>
      <c r="J159" s="118"/>
      <c r="L159" s="125"/>
    </row>
    <row r="160" spans="1:12" x14ac:dyDescent="0.25">
      <c r="A160" s="115"/>
      <c r="B160" s="115"/>
      <c r="C160" s="115"/>
      <c r="D160" s="115"/>
      <c r="E160" s="115"/>
      <c r="F160" s="115"/>
      <c r="G160" s="116"/>
      <c r="I160" s="118"/>
      <c r="J160" s="118"/>
      <c r="L160" s="125"/>
    </row>
    <row r="161" spans="1:12" x14ac:dyDescent="0.25">
      <c r="A161" s="115"/>
      <c r="B161" s="115"/>
      <c r="C161" s="115"/>
      <c r="D161" s="115"/>
      <c r="E161" s="115"/>
      <c r="F161" s="115"/>
      <c r="G161" s="116"/>
      <c r="I161" s="118"/>
      <c r="J161" s="118"/>
      <c r="L161" s="125"/>
    </row>
    <row r="162" spans="1:12" x14ac:dyDescent="0.25">
      <c r="A162" s="115"/>
      <c r="B162" s="115"/>
      <c r="C162" s="115"/>
      <c r="D162" s="115"/>
      <c r="E162" s="115"/>
      <c r="F162" s="115"/>
      <c r="G162" s="116"/>
      <c r="I162" s="118"/>
      <c r="J162" s="118"/>
      <c r="L162" s="125"/>
    </row>
    <row r="163" spans="1:12" x14ac:dyDescent="0.25">
      <c r="A163" s="115"/>
      <c r="B163" s="115"/>
      <c r="C163" s="115"/>
      <c r="D163" s="115"/>
      <c r="E163" s="115"/>
      <c r="F163" s="115"/>
      <c r="G163" s="116"/>
      <c r="I163" s="118"/>
      <c r="J163" s="118"/>
      <c r="L163" s="125"/>
    </row>
    <row r="164" spans="1:12" x14ac:dyDescent="0.25">
      <c r="A164" s="115"/>
      <c r="B164" s="115"/>
      <c r="C164" s="115"/>
      <c r="D164" s="115"/>
      <c r="E164" s="115"/>
      <c r="F164" s="115"/>
      <c r="G164" s="116"/>
      <c r="I164" s="118"/>
      <c r="J164" s="118"/>
      <c r="L164" s="125"/>
    </row>
    <row r="165" spans="1:12" x14ac:dyDescent="0.25">
      <c r="A165" s="115"/>
      <c r="B165" s="115"/>
      <c r="C165" s="115"/>
      <c r="D165" s="115"/>
      <c r="E165" s="115"/>
      <c r="F165" s="115"/>
      <c r="G165" s="116"/>
      <c r="I165" s="118"/>
      <c r="J165" s="118"/>
      <c r="L165" s="125"/>
    </row>
    <row r="166" spans="1:12" x14ac:dyDescent="0.25">
      <c r="A166" s="115"/>
      <c r="B166" s="115"/>
      <c r="C166" s="115"/>
      <c r="D166" s="115"/>
      <c r="E166" s="115"/>
      <c r="F166" s="115"/>
      <c r="G166" s="116"/>
      <c r="I166" s="118"/>
      <c r="J166" s="118"/>
      <c r="L166" s="125"/>
    </row>
    <row r="167" spans="1:12" x14ac:dyDescent="0.25">
      <c r="A167" s="115"/>
      <c r="B167" s="115"/>
      <c r="C167" s="115"/>
      <c r="D167" s="115"/>
      <c r="E167" s="115"/>
      <c r="F167" s="115"/>
      <c r="G167" s="116"/>
      <c r="I167" s="118"/>
      <c r="J167" s="118"/>
      <c r="L167" s="125"/>
    </row>
    <row r="168" spans="1:12" x14ac:dyDescent="0.25">
      <c r="A168" s="115"/>
      <c r="B168" s="115"/>
      <c r="C168" s="115"/>
      <c r="D168" s="115"/>
      <c r="E168" s="115"/>
      <c r="F168" s="115"/>
      <c r="G168" s="116"/>
      <c r="I168" s="118"/>
      <c r="J168" s="118"/>
      <c r="L168" s="125"/>
    </row>
    <row r="169" spans="1:12" x14ac:dyDescent="0.25">
      <c r="A169" s="115"/>
      <c r="B169" s="115"/>
      <c r="C169" s="115"/>
      <c r="D169" s="115"/>
      <c r="E169" s="115"/>
      <c r="F169" s="115"/>
      <c r="G169" s="116"/>
      <c r="I169" s="118"/>
      <c r="J169" s="118"/>
      <c r="L169" s="125"/>
    </row>
    <row r="170" spans="1:12" x14ac:dyDescent="0.25">
      <c r="A170" s="115"/>
      <c r="B170" s="115"/>
      <c r="C170" s="115"/>
      <c r="D170" s="115"/>
      <c r="E170" s="115"/>
      <c r="F170" s="115"/>
      <c r="G170" s="116"/>
      <c r="I170" s="118"/>
      <c r="J170" s="118"/>
      <c r="L170" s="125"/>
    </row>
    <row r="171" spans="1:12" x14ac:dyDescent="0.25">
      <c r="A171" s="115"/>
      <c r="B171" s="115"/>
      <c r="C171" s="115"/>
      <c r="D171" s="115"/>
      <c r="E171" s="115"/>
      <c r="F171" s="115"/>
      <c r="G171" s="116"/>
      <c r="I171" s="118"/>
      <c r="J171" s="118"/>
      <c r="L171" s="125"/>
    </row>
    <row r="172" spans="1:12" x14ac:dyDescent="0.25">
      <c r="A172" s="115"/>
      <c r="B172" s="115"/>
      <c r="C172" s="115"/>
      <c r="D172" s="115"/>
      <c r="E172" s="115"/>
      <c r="F172" s="115"/>
      <c r="G172" s="116"/>
      <c r="I172" s="118"/>
      <c r="J172" s="118"/>
      <c r="L172" s="125"/>
    </row>
    <row r="173" spans="1:12" x14ac:dyDescent="0.25">
      <c r="A173" s="115"/>
      <c r="B173" s="115"/>
      <c r="C173" s="115"/>
      <c r="D173" s="115"/>
      <c r="E173" s="115"/>
      <c r="F173" s="115"/>
      <c r="G173" s="116"/>
      <c r="I173" s="118"/>
      <c r="J173" s="118"/>
      <c r="L173" s="125"/>
    </row>
    <row r="174" spans="1:12" x14ac:dyDescent="0.25">
      <c r="A174" s="115"/>
      <c r="B174" s="115"/>
      <c r="C174" s="115"/>
      <c r="D174" s="115"/>
      <c r="E174" s="115"/>
      <c r="F174" s="115"/>
      <c r="G174" s="116"/>
      <c r="I174" s="118"/>
      <c r="J174" s="118"/>
      <c r="L174" s="125"/>
    </row>
    <row r="175" spans="1:12" x14ac:dyDescent="0.25">
      <c r="A175" s="115"/>
      <c r="B175" s="115"/>
      <c r="C175" s="115"/>
      <c r="D175" s="115"/>
      <c r="E175" s="115"/>
      <c r="F175" s="115"/>
      <c r="G175" s="116"/>
      <c r="I175" s="118"/>
      <c r="J175" s="118"/>
      <c r="L175" s="125"/>
    </row>
    <row r="176" spans="1:12" x14ac:dyDescent="0.25">
      <c r="A176" s="115"/>
      <c r="B176" s="115"/>
      <c r="C176" s="115"/>
      <c r="D176" s="115"/>
      <c r="E176" s="115"/>
      <c r="F176" s="115"/>
      <c r="G176" s="116"/>
      <c r="I176" s="118"/>
      <c r="J176" s="118"/>
      <c r="L176" s="125"/>
    </row>
    <row r="177" spans="1:12" x14ac:dyDescent="0.25">
      <c r="A177" s="115"/>
      <c r="B177" s="115"/>
      <c r="C177" s="115"/>
      <c r="D177" s="115"/>
      <c r="E177" s="115"/>
      <c r="F177" s="115"/>
      <c r="G177" s="116"/>
      <c r="I177" s="118"/>
      <c r="J177" s="118"/>
      <c r="L177" s="125"/>
    </row>
    <row r="178" spans="1:12" x14ac:dyDescent="0.25">
      <c r="A178" s="115"/>
      <c r="B178" s="115"/>
      <c r="C178" s="115"/>
      <c r="D178" s="115"/>
      <c r="E178" s="115"/>
      <c r="F178" s="115"/>
      <c r="G178" s="116"/>
      <c r="I178" s="118"/>
      <c r="J178" s="118"/>
      <c r="L178" s="125"/>
    </row>
    <row r="179" spans="1:12" x14ac:dyDescent="0.25">
      <c r="A179" s="115"/>
      <c r="B179" s="115"/>
      <c r="C179" s="115"/>
      <c r="D179" s="115"/>
      <c r="E179" s="115"/>
      <c r="F179" s="115"/>
      <c r="G179" s="116"/>
      <c r="I179" s="118"/>
      <c r="J179" s="118"/>
      <c r="L179" s="125"/>
    </row>
    <row r="180" spans="1:12" x14ac:dyDescent="0.25">
      <c r="A180" s="115"/>
      <c r="B180" s="115"/>
      <c r="C180" s="115"/>
      <c r="D180" s="115"/>
      <c r="E180" s="115"/>
      <c r="F180" s="115"/>
      <c r="G180" s="116"/>
      <c r="I180" s="118"/>
      <c r="J180" s="118"/>
      <c r="L180" s="125"/>
    </row>
    <row r="181" spans="1:12" x14ac:dyDescent="0.25">
      <c r="A181" s="115"/>
      <c r="B181" s="115"/>
      <c r="C181" s="115"/>
      <c r="D181" s="115"/>
      <c r="E181" s="115"/>
      <c r="F181" s="115"/>
      <c r="G181" s="116"/>
      <c r="I181" s="118"/>
      <c r="J181" s="118"/>
      <c r="L181" s="125"/>
    </row>
    <row r="182" spans="1:12" x14ac:dyDescent="0.25">
      <c r="A182" s="115"/>
      <c r="B182" s="115"/>
      <c r="C182" s="115"/>
      <c r="D182" s="115"/>
      <c r="E182" s="115"/>
      <c r="F182" s="115"/>
      <c r="G182" s="116"/>
      <c r="I182" s="118"/>
      <c r="J182" s="118"/>
      <c r="L182" s="125"/>
    </row>
    <row r="183" spans="1:12" x14ac:dyDescent="0.25">
      <c r="A183" s="115"/>
      <c r="B183" s="115"/>
      <c r="C183" s="115"/>
      <c r="D183" s="115"/>
      <c r="E183" s="115"/>
      <c r="F183" s="115"/>
      <c r="G183" s="116"/>
      <c r="I183" s="118"/>
      <c r="J183" s="118"/>
      <c r="L183" s="125"/>
    </row>
    <row r="184" spans="1:12" x14ac:dyDescent="0.25">
      <c r="A184" s="115"/>
      <c r="B184" s="115"/>
      <c r="C184" s="115"/>
      <c r="D184" s="115"/>
      <c r="E184" s="115"/>
      <c r="F184" s="115"/>
      <c r="G184" s="116"/>
      <c r="I184" s="118"/>
      <c r="J184" s="118"/>
      <c r="L184" s="125"/>
    </row>
    <row r="185" spans="1:12" x14ac:dyDescent="0.25">
      <c r="A185" s="115"/>
      <c r="B185" s="115"/>
      <c r="C185" s="115"/>
      <c r="D185" s="115"/>
      <c r="E185" s="115"/>
      <c r="F185" s="115"/>
      <c r="G185" s="116"/>
      <c r="I185" s="118"/>
      <c r="J185" s="118"/>
      <c r="L185" s="125"/>
    </row>
    <row r="186" spans="1:12" x14ac:dyDescent="0.25">
      <c r="A186" s="115"/>
      <c r="B186" s="115"/>
      <c r="C186" s="115"/>
      <c r="D186" s="115"/>
      <c r="E186" s="115"/>
      <c r="F186" s="115"/>
      <c r="G186" s="116"/>
      <c r="I186" s="118"/>
      <c r="J186" s="118"/>
      <c r="L186" s="125"/>
    </row>
    <row r="187" spans="1:12" x14ac:dyDescent="0.25">
      <c r="A187" s="115"/>
      <c r="B187" s="115"/>
      <c r="C187" s="115"/>
      <c r="D187" s="115"/>
      <c r="E187" s="115"/>
      <c r="F187" s="115"/>
      <c r="G187" s="116"/>
      <c r="I187" s="118"/>
      <c r="J187" s="118"/>
      <c r="L187" s="125"/>
    </row>
    <row r="188" spans="1:12" x14ac:dyDescent="0.25">
      <c r="A188" s="115"/>
      <c r="B188" s="115"/>
      <c r="C188" s="115"/>
      <c r="D188" s="115"/>
      <c r="E188" s="115"/>
      <c r="F188" s="115"/>
      <c r="G188" s="116"/>
      <c r="I188" s="118"/>
      <c r="J188" s="118"/>
      <c r="L188" s="125"/>
    </row>
    <row r="189" spans="1:12" x14ac:dyDescent="0.25">
      <c r="A189" s="115"/>
      <c r="B189" s="115"/>
      <c r="C189" s="115"/>
      <c r="D189" s="115"/>
      <c r="E189" s="115"/>
      <c r="F189" s="115"/>
      <c r="G189" s="116"/>
      <c r="I189" s="118"/>
      <c r="J189" s="118"/>
      <c r="L189" s="125"/>
    </row>
    <row r="190" spans="1:12" x14ac:dyDescent="0.25">
      <c r="A190" s="115"/>
      <c r="B190" s="115"/>
      <c r="C190" s="115"/>
      <c r="D190" s="115"/>
      <c r="E190" s="115"/>
      <c r="F190" s="115"/>
      <c r="G190" s="116"/>
      <c r="I190" s="118"/>
      <c r="J190" s="118"/>
      <c r="L190" s="125"/>
    </row>
    <row r="191" spans="1:12" x14ac:dyDescent="0.25">
      <c r="A191" s="115"/>
      <c r="B191" s="115"/>
      <c r="C191" s="115"/>
      <c r="D191" s="115"/>
      <c r="E191" s="115"/>
      <c r="F191" s="115"/>
      <c r="G191" s="116"/>
      <c r="I191" s="118"/>
      <c r="J191" s="118"/>
      <c r="L191" s="125"/>
    </row>
    <row r="192" spans="1:12" x14ac:dyDescent="0.25">
      <c r="A192" s="115"/>
      <c r="B192" s="115"/>
      <c r="C192" s="115"/>
      <c r="D192" s="115"/>
      <c r="E192" s="115"/>
      <c r="F192" s="115"/>
      <c r="G192" s="116"/>
      <c r="I192" s="118"/>
      <c r="J192" s="118"/>
      <c r="L192" s="125"/>
    </row>
    <row r="193" spans="1:12" x14ac:dyDescent="0.25">
      <c r="A193" s="115"/>
      <c r="B193" s="115"/>
      <c r="C193" s="115"/>
      <c r="D193" s="115"/>
      <c r="E193" s="115"/>
      <c r="F193" s="115"/>
      <c r="G193" s="116"/>
      <c r="I193" s="118"/>
      <c r="J193" s="118"/>
      <c r="L193" s="125"/>
    </row>
    <row r="194" spans="1:12" x14ac:dyDescent="0.25">
      <c r="A194" s="115"/>
      <c r="B194" s="115"/>
      <c r="C194" s="115"/>
      <c r="D194" s="115"/>
      <c r="E194" s="115"/>
      <c r="F194" s="115"/>
      <c r="G194" s="116"/>
      <c r="I194" s="118"/>
      <c r="J194" s="118"/>
      <c r="L194" s="125"/>
    </row>
    <row r="195" spans="1:12" x14ac:dyDescent="0.25">
      <c r="A195" s="115"/>
      <c r="B195" s="115"/>
      <c r="C195" s="115"/>
      <c r="D195" s="115"/>
      <c r="E195" s="115"/>
      <c r="F195" s="115"/>
      <c r="G195" s="116"/>
      <c r="I195" s="118"/>
      <c r="J195" s="118"/>
      <c r="L195" s="125"/>
    </row>
    <row r="196" spans="1:12" x14ac:dyDescent="0.25">
      <c r="A196" s="115"/>
      <c r="B196" s="115"/>
      <c r="C196" s="115"/>
      <c r="D196" s="115"/>
      <c r="E196" s="115"/>
      <c r="F196" s="115"/>
      <c r="G196" s="116"/>
      <c r="I196" s="118"/>
      <c r="J196" s="118"/>
      <c r="L196" s="125"/>
    </row>
    <row r="197" spans="1:12" x14ac:dyDescent="0.25">
      <c r="A197" s="115"/>
      <c r="B197" s="115"/>
      <c r="C197" s="115"/>
      <c r="D197" s="115"/>
      <c r="E197" s="115"/>
      <c r="F197" s="115"/>
      <c r="G197" s="116"/>
      <c r="I197" s="118"/>
      <c r="J197" s="118"/>
      <c r="L197" s="125"/>
    </row>
    <row r="198" spans="1:12" x14ac:dyDescent="0.25">
      <c r="A198" s="115"/>
      <c r="B198" s="115"/>
      <c r="C198" s="115"/>
      <c r="D198" s="115"/>
      <c r="E198" s="115"/>
      <c r="F198" s="115"/>
      <c r="G198" s="116"/>
      <c r="I198" s="118"/>
      <c r="J198" s="118"/>
      <c r="L198" s="125"/>
    </row>
    <row r="199" spans="1:12" x14ac:dyDescent="0.25">
      <c r="A199" s="115"/>
      <c r="B199" s="115"/>
      <c r="C199" s="115"/>
      <c r="D199" s="115"/>
      <c r="E199" s="115"/>
      <c r="F199" s="115"/>
      <c r="G199" s="116"/>
      <c r="I199" s="118"/>
      <c r="J199" s="118"/>
      <c r="L199" s="125"/>
    </row>
    <row r="200" spans="1:12" x14ac:dyDescent="0.25">
      <c r="A200" s="115"/>
      <c r="B200" s="115"/>
      <c r="C200" s="115"/>
      <c r="D200" s="115"/>
      <c r="E200" s="115"/>
      <c r="F200" s="115"/>
      <c r="G200" s="116"/>
      <c r="I200" s="118"/>
      <c r="J200" s="118"/>
      <c r="L200" s="125"/>
    </row>
    <row r="201" spans="1:12" x14ac:dyDescent="0.25">
      <c r="A201" s="115"/>
      <c r="B201" s="115"/>
      <c r="C201" s="115"/>
      <c r="D201" s="115"/>
      <c r="E201" s="115"/>
      <c r="F201" s="115"/>
      <c r="G201" s="116"/>
      <c r="I201" s="118"/>
      <c r="J201" s="118"/>
      <c r="L201" s="125"/>
    </row>
    <row r="202" spans="1:12" x14ac:dyDescent="0.25">
      <c r="A202" s="115"/>
      <c r="B202" s="115"/>
      <c r="C202" s="115"/>
      <c r="D202" s="115"/>
      <c r="E202" s="115"/>
      <c r="F202" s="115"/>
      <c r="G202" s="116"/>
      <c r="I202" s="118"/>
      <c r="J202" s="118"/>
      <c r="L202" s="125"/>
    </row>
    <row r="203" spans="1:12" x14ac:dyDescent="0.25">
      <c r="A203" s="115"/>
      <c r="B203" s="115"/>
      <c r="C203" s="115"/>
      <c r="D203" s="115"/>
      <c r="E203" s="115"/>
      <c r="F203" s="115"/>
      <c r="G203" s="116"/>
      <c r="I203" s="118"/>
      <c r="J203" s="118"/>
      <c r="L203" s="125"/>
    </row>
    <row r="204" spans="1:12" x14ac:dyDescent="0.25">
      <c r="A204" s="115"/>
      <c r="B204" s="115"/>
      <c r="C204" s="115"/>
      <c r="D204" s="115"/>
      <c r="E204" s="115"/>
      <c r="F204" s="115"/>
      <c r="G204" s="116"/>
      <c r="I204" s="118"/>
      <c r="J204" s="118"/>
      <c r="L204" s="125"/>
    </row>
    <row r="205" spans="1:12" x14ac:dyDescent="0.25">
      <c r="A205" s="115"/>
      <c r="B205" s="115"/>
      <c r="C205" s="115"/>
      <c r="D205" s="115"/>
      <c r="E205" s="115"/>
      <c r="F205" s="115"/>
      <c r="G205" s="116"/>
      <c r="I205" s="118"/>
      <c r="J205" s="118"/>
      <c r="L205" s="125"/>
    </row>
    <row r="206" spans="1:12" x14ac:dyDescent="0.25">
      <c r="A206" s="115"/>
      <c r="B206" s="115"/>
      <c r="C206" s="115"/>
      <c r="D206" s="115"/>
      <c r="E206" s="115"/>
      <c r="F206" s="115"/>
      <c r="G206" s="116"/>
      <c r="I206" s="118"/>
      <c r="J206" s="118"/>
      <c r="L206" s="125"/>
    </row>
    <row r="207" spans="1:12" x14ac:dyDescent="0.25">
      <c r="A207" s="115"/>
      <c r="B207" s="115"/>
      <c r="C207" s="115"/>
      <c r="D207" s="115"/>
      <c r="E207" s="115"/>
      <c r="F207" s="115"/>
      <c r="G207" s="116"/>
      <c r="I207" s="118"/>
      <c r="J207" s="118"/>
      <c r="L207" s="125"/>
    </row>
    <row r="208" spans="1:12" x14ac:dyDescent="0.25">
      <c r="A208" s="115"/>
      <c r="B208" s="115"/>
      <c r="C208" s="115"/>
      <c r="D208" s="115"/>
      <c r="E208" s="115"/>
      <c r="F208" s="115"/>
      <c r="G208" s="116"/>
      <c r="I208" s="118"/>
      <c r="J208" s="118"/>
      <c r="L208" s="125"/>
    </row>
    <row r="209" spans="1:12" x14ac:dyDescent="0.25">
      <c r="A209" s="115"/>
      <c r="B209" s="115"/>
      <c r="C209" s="115"/>
      <c r="D209" s="115"/>
      <c r="E209" s="115"/>
      <c r="F209" s="115"/>
      <c r="G209" s="116"/>
      <c r="I209" s="118"/>
      <c r="J209" s="118"/>
      <c r="L209" s="125"/>
    </row>
    <row r="210" spans="1:12" x14ac:dyDescent="0.25">
      <c r="A210" s="115"/>
      <c r="B210" s="115"/>
      <c r="C210" s="115"/>
      <c r="D210" s="115"/>
      <c r="E210" s="115"/>
      <c r="F210" s="115"/>
      <c r="G210" s="116"/>
      <c r="I210" s="118"/>
      <c r="J210" s="118"/>
      <c r="L210" s="125"/>
    </row>
    <row r="211" spans="1:12" x14ac:dyDescent="0.25">
      <c r="A211" s="115"/>
      <c r="B211" s="115"/>
      <c r="C211" s="115"/>
      <c r="D211" s="115"/>
      <c r="E211" s="115"/>
      <c r="F211" s="115"/>
      <c r="G211" s="116"/>
      <c r="I211" s="118"/>
      <c r="J211" s="118"/>
      <c r="L211" s="125"/>
    </row>
    <row r="212" spans="1:12" x14ac:dyDescent="0.25">
      <c r="A212" s="115"/>
      <c r="B212" s="115"/>
      <c r="C212" s="115"/>
      <c r="D212" s="115"/>
      <c r="E212" s="115"/>
      <c r="F212" s="115"/>
      <c r="G212" s="116"/>
      <c r="I212" s="118"/>
      <c r="J212" s="118"/>
      <c r="L212" s="125"/>
    </row>
    <row r="213" spans="1:12" x14ac:dyDescent="0.25">
      <c r="A213" s="115"/>
      <c r="B213" s="115"/>
      <c r="C213" s="115"/>
      <c r="D213" s="115"/>
      <c r="E213" s="115"/>
      <c r="F213" s="115"/>
      <c r="G213" s="116"/>
      <c r="I213" s="118"/>
      <c r="J213" s="118"/>
      <c r="L213" s="125"/>
    </row>
    <row r="214" spans="1:12" x14ac:dyDescent="0.25">
      <c r="A214" s="115"/>
      <c r="B214" s="115"/>
      <c r="C214" s="115"/>
      <c r="D214" s="115"/>
      <c r="E214" s="115"/>
      <c r="F214" s="115"/>
      <c r="G214" s="116"/>
      <c r="I214" s="118"/>
      <c r="J214" s="118"/>
      <c r="L214" s="125"/>
    </row>
    <row r="215" spans="1:12" x14ac:dyDescent="0.25">
      <c r="A215" s="115"/>
      <c r="B215" s="115"/>
      <c r="C215" s="115"/>
      <c r="D215" s="115"/>
      <c r="E215" s="115"/>
      <c r="F215" s="115"/>
      <c r="G215" s="116"/>
      <c r="I215" s="118"/>
      <c r="J215" s="118"/>
      <c r="L215" s="125"/>
    </row>
    <row r="216" spans="1:12" x14ac:dyDescent="0.25">
      <c r="A216" s="115"/>
      <c r="B216" s="115"/>
      <c r="C216" s="115"/>
      <c r="D216" s="115"/>
      <c r="E216" s="115"/>
      <c r="F216" s="115"/>
      <c r="G216" s="116"/>
      <c r="I216" s="118"/>
      <c r="J216" s="118"/>
      <c r="L216" s="125"/>
    </row>
    <row r="217" spans="1:12" x14ac:dyDescent="0.25">
      <c r="A217" s="115"/>
      <c r="B217" s="115"/>
      <c r="C217" s="115"/>
      <c r="D217" s="115"/>
      <c r="E217" s="115"/>
      <c r="F217" s="115"/>
      <c r="G217" s="116"/>
      <c r="I217" s="118"/>
      <c r="J217" s="118"/>
      <c r="L217" s="125"/>
    </row>
    <row r="218" spans="1:12" x14ac:dyDescent="0.25">
      <c r="A218" s="115"/>
      <c r="B218" s="115"/>
      <c r="C218" s="115"/>
      <c r="D218" s="115"/>
      <c r="E218" s="115"/>
      <c r="F218" s="115"/>
      <c r="G218" s="116"/>
      <c r="I218" s="118"/>
      <c r="J218" s="118"/>
      <c r="L218" s="125"/>
    </row>
    <row r="219" spans="1:12" x14ac:dyDescent="0.25">
      <c r="A219" s="115"/>
      <c r="B219" s="115"/>
      <c r="C219" s="115"/>
      <c r="D219" s="115"/>
      <c r="E219" s="115"/>
      <c r="F219" s="115"/>
      <c r="G219" s="116"/>
      <c r="I219" s="118"/>
      <c r="J219" s="118"/>
      <c r="L219" s="125"/>
    </row>
    <row r="220" spans="1:12" x14ac:dyDescent="0.25">
      <c r="A220" s="115"/>
      <c r="B220" s="115"/>
      <c r="C220" s="115"/>
      <c r="D220" s="115"/>
      <c r="E220" s="115"/>
      <c r="F220" s="115"/>
      <c r="G220" s="116"/>
      <c r="I220" s="118"/>
      <c r="J220" s="118"/>
      <c r="L220" s="125"/>
    </row>
    <row r="221" spans="1:12" x14ac:dyDescent="0.25">
      <c r="A221" s="115"/>
      <c r="B221" s="115"/>
      <c r="C221" s="115"/>
      <c r="D221" s="115"/>
      <c r="E221" s="115"/>
      <c r="F221" s="115"/>
      <c r="G221" s="116"/>
      <c r="I221" s="118"/>
      <c r="J221" s="118"/>
      <c r="L221" s="125"/>
    </row>
    <row r="222" spans="1:12" x14ac:dyDescent="0.25">
      <c r="A222" s="115"/>
      <c r="B222" s="115"/>
      <c r="C222" s="115"/>
      <c r="D222" s="115"/>
      <c r="E222" s="115"/>
      <c r="F222" s="115"/>
      <c r="G222" s="116"/>
      <c r="I222" s="118"/>
      <c r="J222" s="118"/>
      <c r="L222" s="125"/>
    </row>
    <row r="223" spans="1:12" x14ac:dyDescent="0.25">
      <c r="A223" s="115"/>
      <c r="B223" s="115"/>
      <c r="C223" s="115"/>
      <c r="D223" s="115"/>
      <c r="E223" s="115"/>
      <c r="F223" s="115"/>
      <c r="G223" s="116"/>
      <c r="I223" s="118"/>
      <c r="J223" s="118"/>
      <c r="L223" s="125"/>
    </row>
    <row r="224" spans="1:12" x14ac:dyDescent="0.25">
      <c r="A224" s="115"/>
      <c r="B224" s="115"/>
      <c r="C224" s="115"/>
      <c r="D224" s="115"/>
      <c r="E224" s="115"/>
      <c r="F224" s="115"/>
      <c r="G224" s="116"/>
      <c r="I224" s="118"/>
      <c r="J224" s="118"/>
      <c r="L224" s="125"/>
    </row>
    <row r="225" spans="1:12" x14ac:dyDescent="0.25">
      <c r="A225" s="115"/>
      <c r="B225" s="115"/>
      <c r="C225" s="115"/>
      <c r="D225" s="115"/>
      <c r="E225" s="115"/>
      <c r="F225" s="115"/>
      <c r="G225" s="116"/>
      <c r="I225" s="118"/>
      <c r="J225" s="118"/>
      <c r="L225" s="125"/>
    </row>
    <row r="226" spans="1:12" x14ac:dyDescent="0.25">
      <c r="A226" s="115"/>
      <c r="B226" s="115"/>
      <c r="C226" s="115"/>
      <c r="D226" s="115"/>
      <c r="E226" s="115"/>
      <c r="F226" s="115"/>
      <c r="G226" s="116"/>
      <c r="I226" s="118"/>
      <c r="J226" s="118"/>
      <c r="L226" s="125"/>
    </row>
    <row r="227" spans="1:12" x14ac:dyDescent="0.25">
      <c r="A227" s="115"/>
      <c r="B227" s="115"/>
      <c r="C227" s="115"/>
      <c r="D227" s="115"/>
      <c r="E227" s="115"/>
      <c r="F227" s="115"/>
      <c r="G227" s="116"/>
      <c r="I227" s="118"/>
      <c r="J227" s="118"/>
      <c r="L227" s="125"/>
    </row>
    <row r="228" spans="1:12" x14ac:dyDescent="0.25">
      <c r="A228" s="115"/>
      <c r="B228" s="115"/>
      <c r="C228" s="115"/>
      <c r="D228" s="115"/>
      <c r="E228" s="115"/>
      <c r="F228" s="115"/>
      <c r="G228" s="116"/>
      <c r="I228" s="118"/>
      <c r="J228" s="118"/>
      <c r="L228" s="125"/>
    </row>
    <row r="229" spans="1:12" x14ac:dyDescent="0.25">
      <c r="A229" s="115"/>
      <c r="B229" s="115"/>
      <c r="C229" s="115"/>
      <c r="D229" s="115"/>
      <c r="E229" s="115"/>
      <c r="F229" s="115"/>
      <c r="G229" s="116"/>
      <c r="I229" s="118"/>
      <c r="J229" s="118"/>
      <c r="L229" s="125"/>
    </row>
    <row r="230" spans="1:12" x14ac:dyDescent="0.25">
      <c r="A230" s="115"/>
      <c r="B230" s="115"/>
      <c r="C230" s="115"/>
      <c r="D230" s="115"/>
      <c r="E230" s="115"/>
      <c r="F230" s="115"/>
      <c r="G230" s="116"/>
      <c r="I230" s="118"/>
      <c r="J230" s="118"/>
      <c r="L230" s="125"/>
    </row>
    <row r="231" spans="1:12" x14ac:dyDescent="0.25">
      <c r="A231" s="115"/>
      <c r="B231" s="115"/>
      <c r="C231" s="115"/>
      <c r="D231" s="115"/>
      <c r="E231" s="115"/>
      <c r="F231" s="115"/>
      <c r="G231" s="116"/>
      <c r="I231" s="118"/>
      <c r="J231" s="118"/>
      <c r="L231" s="125"/>
    </row>
    <row r="232" spans="1:12" x14ac:dyDescent="0.25">
      <c r="A232" s="115"/>
      <c r="B232" s="115"/>
      <c r="C232" s="115"/>
      <c r="D232" s="115"/>
      <c r="E232" s="115"/>
      <c r="F232" s="115"/>
      <c r="G232" s="116"/>
      <c r="I232" s="118"/>
      <c r="J232" s="118"/>
      <c r="L232" s="125"/>
    </row>
    <row r="233" spans="1:12" x14ac:dyDescent="0.25">
      <c r="A233" s="115"/>
      <c r="B233" s="115"/>
      <c r="C233" s="115"/>
      <c r="D233" s="115"/>
      <c r="E233" s="115"/>
      <c r="F233" s="115"/>
      <c r="G233" s="116"/>
      <c r="I233" s="118"/>
      <c r="J233" s="118"/>
      <c r="L233" s="125"/>
    </row>
    <row r="234" spans="1:12" x14ac:dyDescent="0.25">
      <c r="A234" s="115"/>
      <c r="B234" s="115"/>
      <c r="C234" s="115"/>
      <c r="D234" s="115"/>
      <c r="E234" s="115"/>
      <c r="F234" s="115"/>
      <c r="G234" s="116"/>
      <c r="I234" s="118"/>
      <c r="J234" s="118"/>
      <c r="L234" s="125"/>
    </row>
    <row r="235" spans="1:12" x14ac:dyDescent="0.25">
      <c r="A235" s="115"/>
      <c r="B235" s="115"/>
      <c r="C235" s="115"/>
      <c r="D235" s="115"/>
      <c r="E235" s="115"/>
      <c r="F235" s="115"/>
      <c r="G235" s="116"/>
      <c r="I235" s="118"/>
      <c r="J235" s="118"/>
      <c r="L235" s="125"/>
    </row>
    <row r="236" spans="1:12" x14ac:dyDescent="0.25">
      <c r="A236" s="115"/>
      <c r="B236" s="115"/>
      <c r="C236" s="115"/>
      <c r="D236" s="115"/>
      <c r="E236" s="115"/>
      <c r="F236" s="115"/>
      <c r="G236" s="116"/>
      <c r="I236" s="118"/>
      <c r="J236" s="118"/>
      <c r="L236" s="125"/>
    </row>
    <row r="237" spans="1:12" x14ac:dyDescent="0.25">
      <c r="A237" s="115"/>
      <c r="B237" s="115"/>
      <c r="C237" s="115"/>
      <c r="D237" s="115"/>
      <c r="E237" s="115"/>
      <c r="F237" s="115"/>
      <c r="G237" s="116"/>
      <c r="I237" s="118"/>
      <c r="J237" s="118"/>
      <c r="L237" s="125"/>
    </row>
    <row r="238" spans="1:12" x14ac:dyDescent="0.25">
      <c r="A238" s="115"/>
      <c r="B238" s="115"/>
      <c r="C238" s="115"/>
      <c r="D238" s="115"/>
      <c r="E238" s="115"/>
      <c r="F238" s="115"/>
      <c r="G238" s="116"/>
      <c r="I238" s="118"/>
      <c r="J238" s="118"/>
      <c r="L238" s="125"/>
    </row>
    <row r="239" spans="1:12" x14ac:dyDescent="0.25">
      <c r="A239" s="115"/>
      <c r="B239" s="115"/>
      <c r="C239" s="115"/>
      <c r="D239" s="115"/>
      <c r="E239" s="115"/>
      <c r="F239" s="115"/>
      <c r="G239" s="116"/>
      <c r="I239" s="118"/>
      <c r="J239" s="118"/>
      <c r="L239" s="125"/>
    </row>
    <row r="240" spans="1:12" x14ac:dyDescent="0.25">
      <c r="A240" s="115"/>
      <c r="B240" s="115"/>
      <c r="C240" s="115"/>
      <c r="D240" s="115"/>
      <c r="E240" s="115"/>
      <c r="F240" s="115"/>
      <c r="G240" s="116"/>
      <c r="I240" s="118"/>
      <c r="J240" s="118"/>
      <c r="L240" s="125"/>
    </row>
    <row r="241" spans="1:12" x14ac:dyDescent="0.25">
      <c r="A241" s="115"/>
      <c r="B241" s="115"/>
      <c r="C241" s="115"/>
      <c r="D241" s="115"/>
      <c r="E241" s="115"/>
      <c r="F241" s="115"/>
      <c r="G241" s="116"/>
      <c r="I241" s="118"/>
      <c r="J241" s="118"/>
      <c r="L241" s="125"/>
    </row>
    <row r="242" spans="1:12" x14ac:dyDescent="0.25">
      <c r="A242" s="115"/>
      <c r="B242" s="115"/>
      <c r="C242" s="115"/>
      <c r="D242" s="115"/>
      <c r="E242" s="115"/>
      <c r="F242" s="115"/>
      <c r="G242" s="116"/>
      <c r="I242" s="118"/>
      <c r="J242" s="118"/>
      <c r="L242" s="125"/>
    </row>
    <row r="243" spans="1:12" x14ac:dyDescent="0.25">
      <c r="A243" s="115"/>
      <c r="B243" s="115"/>
      <c r="C243" s="115"/>
      <c r="D243" s="115"/>
      <c r="E243" s="115"/>
      <c r="F243" s="115"/>
      <c r="G243" s="116"/>
      <c r="I243" s="118"/>
      <c r="J243" s="118"/>
      <c r="L243" s="125"/>
    </row>
    <row r="244" spans="1:12" x14ac:dyDescent="0.25">
      <c r="A244" s="115"/>
      <c r="B244" s="115"/>
      <c r="C244" s="115"/>
      <c r="D244" s="115"/>
      <c r="E244" s="115"/>
      <c r="F244" s="115"/>
      <c r="G244" s="116"/>
      <c r="I244" s="118"/>
      <c r="J244" s="118"/>
      <c r="L244" s="125"/>
    </row>
    <row r="245" spans="1:12" x14ac:dyDescent="0.25">
      <c r="A245" s="115"/>
      <c r="B245" s="115"/>
      <c r="C245" s="115"/>
      <c r="D245" s="115"/>
      <c r="E245" s="115"/>
      <c r="F245" s="115"/>
      <c r="G245" s="116"/>
      <c r="I245" s="118"/>
      <c r="J245" s="118"/>
      <c r="L245" s="125"/>
    </row>
    <row r="246" spans="1:12" x14ac:dyDescent="0.25">
      <c r="A246" s="115"/>
      <c r="B246" s="115"/>
      <c r="C246" s="115"/>
      <c r="D246" s="115"/>
      <c r="E246" s="115"/>
      <c r="F246" s="115"/>
      <c r="G246" s="116"/>
      <c r="I246" s="118"/>
      <c r="J246" s="118"/>
      <c r="L246" s="125"/>
    </row>
    <row r="247" spans="1:12" x14ac:dyDescent="0.25">
      <c r="A247" s="115"/>
      <c r="B247" s="115"/>
      <c r="C247" s="115"/>
      <c r="D247" s="115"/>
      <c r="E247" s="115"/>
      <c r="F247" s="115"/>
      <c r="G247" s="116"/>
      <c r="I247" s="118"/>
      <c r="J247" s="118"/>
      <c r="L247" s="125"/>
    </row>
    <row r="248" spans="1:12" x14ac:dyDescent="0.25">
      <c r="A248" s="115"/>
      <c r="B248" s="115"/>
      <c r="C248" s="115"/>
      <c r="D248" s="115"/>
      <c r="E248" s="115"/>
      <c r="F248" s="115"/>
      <c r="G248" s="116"/>
      <c r="I248" s="118"/>
      <c r="J248" s="118"/>
      <c r="L248" s="125"/>
    </row>
    <row r="249" spans="1:12" x14ac:dyDescent="0.25">
      <c r="A249" s="115"/>
      <c r="B249" s="115"/>
      <c r="C249" s="115"/>
      <c r="D249" s="115"/>
      <c r="E249" s="115"/>
      <c r="F249" s="115"/>
      <c r="G249" s="116"/>
      <c r="I249" s="118"/>
      <c r="J249" s="118"/>
      <c r="L249" s="125"/>
    </row>
    <row r="250" spans="1:12" x14ac:dyDescent="0.25">
      <c r="A250" s="115"/>
      <c r="B250" s="115"/>
      <c r="C250" s="115"/>
      <c r="D250" s="115"/>
      <c r="E250" s="115"/>
      <c r="F250" s="115"/>
      <c r="G250" s="116"/>
      <c r="I250" s="118"/>
      <c r="J250" s="118"/>
      <c r="L250" s="125"/>
    </row>
    <row r="251" spans="1:12" x14ac:dyDescent="0.25">
      <c r="A251" s="115"/>
      <c r="B251" s="115"/>
      <c r="C251" s="115"/>
      <c r="D251" s="115"/>
      <c r="E251" s="115"/>
      <c r="F251" s="115"/>
      <c r="G251" s="116"/>
      <c r="I251" s="118"/>
      <c r="J251" s="118"/>
      <c r="L251" s="125"/>
    </row>
    <row r="252" spans="1:12" x14ac:dyDescent="0.25">
      <c r="A252" s="115"/>
      <c r="B252" s="115"/>
      <c r="C252" s="115"/>
      <c r="D252" s="115"/>
      <c r="E252" s="115"/>
      <c r="F252" s="115"/>
      <c r="G252" s="116"/>
      <c r="I252" s="118"/>
      <c r="J252" s="118"/>
      <c r="L252" s="125"/>
    </row>
    <row r="253" spans="1:12" x14ac:dyDescent="0.25">
      <c r="A253" s="115"/>
      <c r="B253" s="115"/>
      <c r="C253" s="115"/>
      <c r="D253" s="115"/>
      <c r="E253" s="115"/>
      <c r="F253" s="115"/>
      <c r="G253" s="116"/>
      <c r="I253" s="118"/>
      <c r="J253" s="118"/>
      <c r="L253" s="125"/>
    </row>
    <row r="254" spans="1:12" x14ac:dyDescent="0.25">
      <c r="A254" s="115"/>
      <c r="B254" s="115"/>
      <c r="C254" s="115"/>
      <c r="D254" s="115"/>
      <c r="E254" s="115"/>
      <c r="F254" s="115"/>
      <c r="G254" s="116"/>
      <c r="I254" s="118"/>
      <c r="J254" s="118"/>
      <c r="L254" s="125"/>
    </row>
    <row r="255" spans="1:12" x14ac:dyDescent="0.25">
      <c r="A255" s="115"/>
      <c r="B255" s="115"/>
      <c r="C255" s="115"/>
      <c r="D255" s="115"/>
      <c r="E255" s="115"/>
      <c r="F255" s="115"/>
      <c r="G255" s="116"/>
      <c r="I255" s="118"/>
      <c r="J255" s="118"/>
      <c r="L255" s="125"/>
    </row>
    <row r="256" spans="1:12" x14ac:dyDescent="0.25">
      <c r="A256" s="115"/>
      <c r="B256" s="115"/>
      <c r="C256" s="115"/>
      <c r="D256" s="115"/>
      <c r="E256" s="115"/>
      <c r="F256" s="115"/>
      <c r="G256" s="116"/>
      <c r="I256" s="118"/>
      <c r="J256" s="118"/>
      <c r="L256" s="125"/>
    </row>
    <row r="257" spans="1:12" x14ac:dyDescent="0.25">
      <c r="A257" s="115"/>
      <c r="B257" s="115"/>
      <c r="C257" s="115"/>
      <c r="D257" s="115"/>
      <c r="E257" s="115"/>
      <c r="F257" s="115"/>
      <c r="G257" s="116"/>
      <c r="I257" s="118"/>
      <c r="J257" s="118"/>
      <c r="L257" s="125"/>
    </row>
    <row r="258" spans="1:12" x14ac:dyDescent="0.25">
      <c r="A258" s="115"/>
      <c r="B258" s="115"/>
      <c r="C258" s="115"/>
      <c r="D258" s="115"/>
      <c r="E258" s="115"/>
      <c r="F258" s="115"/>
      <c r="G258" s="116"/>
      <c r="I258" s="118"/>
      <c r="J258" s="118"/>
      <c r="L258" s="125"/>
    </row>
    <row r="259" spans="1:12" x14ac:dyDescent="0.25">
      <c r="A259" s="115"/>
      <c r="B259" s="115"/>
      <c r="C259" s="115"/>
      <c r="D259" s="115"/>
      <c r="E259" s="115"/>
      <c r="F259" s="115"/>
      <c r="G259" s="116"/>
      <c r="I259" s="118"/>
      <c r="J259" s="118"/>
      <c r="L259" s="125"/>
    </row>
    <row r="260" spans="1:12" x14ac:dyDescent="0.25">
      <c r="A260" s="115"/>
      <c r="B260" s="115"/>
      <c r="C260" s="115"/>
      <c r="D260" s="115"/>
      <c r="E260" s="115"/>
      <c r="F260" s="115"/>
      <c r="G260" s="116"/>
      <c r="I260" s="118"/>
      <c r="J260" s="118"/>
      <c r="L260" s="125"/>
    </row>
    <row r="261" spans="1:12" x14ac:dyDescent="0.25">
      <c r="A261" s="115"/>
      <c r="B261" s="115"/>
      <c r="C261" s="115"/>
      <c r="D261" s="115"/>
      <c r="E261" s="115"/>
      <c r="F261" s="115"/>
      <c r="G261" s="116"/>
      <c r="I261" s="118"/>
      <c r="J261" s="118"/>
      <c r="L261" s="125"/>
    </row>
    <row r="262" spans="1:12" x14ac:dyDescent="0.25">
      <c r="A262" s="115"/>
      <c r="B262" s="115"/>
      <c r="C262" s="115"/>
      <c r="D262" s="115"/>
      <c r="E262" s="115"/>
      <c r="F262" s="115"/>
      <c r="G262" s="116"/>
      <c r="I262" s="118"/>
      <c r="J262" s="118"/>
      <c r="L262" s="125"/>
    </row>
    <row r="263" spans="1:12" x14ac:dyDescent="0.25">
      <c r="A263" s="115"/>
      <c r="B263" s="115"/>
      <c r="C263" s="115"/>
      <c r="D263" s="115"/>
      <c r="E263" s="115"/>
      <c r="F263" s="115"/>
      <c r="G263" s="116"/>
      <c r="I263" s="118"/>
      <c r="J263" s="118"/>
      <c r="L263" s="125"/>
    </row>
    <row r="264" spans="1:12" x14ac:dyDescent="0.25">
      <c r="A264" s="115"/>
      <c r="B264" s="115"/>
      <c r="C264" s="115"/>
      <c r="D264" s="115"/>
      <c r="E264" s="115"/>
      <c r="F264" s="115"/>
      <c r="G264" s="116"/>
      <c r="I264" s="118"/>
      <c r="J264" s="118"/>
      <c r="L264" s="125"/>
    </row>
    <row r="265" spans="1:12" x14ac:dyDescent="0.25">
      <c r="A265" s="115"/>
      <c r="B265" s="115"/>
      <c r="C265" s="115"/>
      <c r="D265" s="115"/>
      <c r="E265" s="115"/>
      <c r="F265" s="115"/>
      <c r="G265" s="116"/>
      <c r="I265" s="118"/>
      <c r="J265" s="118"/>
      <c r="L265" s="125"/>
    </row>
    <row r="266" spans="1:12" x14ac:dyDescent="0.25">
      <c r="A266" s="115"/>
      <c r="B266" s="115"/>
      <c r="C266" s="115"/>
      <c r="D266" s="115"/>
      <c r="E266" s="115"/>
      <c r="F266" s="115"/>
      <c r="G266" s="116"/>
      <c r="I266" s="118"/>
      <c r="J266" s="118"/>
      <c r="L266" s="125"/>
    </row>
    <row r="267" spans="1:12" x14ac:dyDescent="0.25">
      <c r="A267" s="115"/>
      <c r="B267" s="115"/>
      <c r="C267" s="115"/>
      <c r="D267" s="115"/>
      <c r="E267" s="115"/>
      <c r="F267" s="115"/>
      <c r="G267" s="116"/>
      <c r="I267" s="118"/>
      <c r="J267" s="118"/>
      <c r="L267" s="125"/>
    </row>
    <row r="268" spans="1:12" x14ac:dyDescent="0.25">
      <c r="A268" s="115"/>
      <c r="B268" s="115"/>
      <c r="C268" s="115"/>
      <c r="D268" s="115"/>
      <c r="E268" s="115"/>
      <c r="F268" s="115"/>
      <c r="G268" s="116"/>
      <c r="I268" s="118"/>
      <c r="J268" s="118"/>
      <c r="L268" s="125"/>
    </row>
    <row r="269" spans="1:12" x14ac:dyDescent="0.25">
      <c r="A269" s="115"/>
      <c r="B269" s="115"/>
      <c r="C269" s="115"/>
      <c r="D269" s="115"/>
      <c r="E269" s="115"/>
      <c r="F269" s="115"/>
      <c r="G269" s="116"/>
      <c r="I269" s="118"/>
      <c r="J269" s="118"/>
      <c r="L269" s="125"/>
    </row>
    <row r="270" spans="1:12" x14ac:dyDescent="0.25">
      <c r="A270" s="115"/>
      <c r="B270" s="115"/>
      <c r="C270" s="115"/>
      <c r="D270" s="115"/>
      <c r="E270" s="115"/>
      <c r="F270" s="115"/>
      <c r="G270" s="116"/>
      <c r="I270" s="118"/>
      <c r="J270" s="118"/>
      <c r="L270" s="125"/>
    </row>
    <row r="271" spans="1:12" x14ac:dyDescent="0.25">
      <c r="A271" s="115"/>
      <c r="B271" s="115"/>
      <c r="C271" s="115"/>
      <c r="D271" s="115"/>
      <c r="E271" s="115"/>
      <c r="F271" s="115"/>
      <c r="G271" s="116"/>
      <c r="I271" s="118"/>
      <c r="J271" s="118"/>
      <c r="L271" s="125"/>
    </row>
    <row r="272" spans="1:12" x14ac:dyDescent="0.25">
      <c r="A272" s="115"/>
      <c r="B272" s="115"/>
      <c r="C272" s="115"/>
      <c r="D272" s="115"/>
      <c r="E272" s="115"/>
      <c r="F272" s="115"/>
      <c r="G272" s="116"/>
      <c r="I272" s="118"/>
      <c r="J272" s="118"/>
      <c r="L272" s="125"/>
    </row>
    <row r="273" spans="1:12" x14ac:dyDescent="0.25">
      <c r="A273" s="115"/>
      <c r="B273" s="115"/>
      <c r="C273" s="115"/>
      <c r="D273" s="115"/>
      <c r="E273" s="115"/>
      <c r="F273" s="115"/>
      <c r="G273" s="116"/>
      <c r="I273" s="118"/>
      <c r="J273" s="118"/>
      <c r="L273" s="125"/>
    </row>
    <row r="274" spans="1:12" x14ac:dyDescent="0.25">
      <c r="A274" s="115"/>
      <c r="B274" s="115"/>
      <c r="C274" s="115"/>
      <c r="D274" s="115"/>
      <c r="E274" s="115"/>
      <c r="F274" s="115"/>
      <c r="G274" s="116"/>
      <c r="I274" s="118"/>
      <c r="J274" s="118"/>
      <c r="L274" s="125"/>
    </row>
    <row r="275" spans="1:12" x14ac:dyDescent="0.25">
      <c r="A275" s="115"/>
      <c r="B275" s="115"/>
      <c r="C275" s="115"/>
      <c r="D275" s="115"/>
      <c r="E275" s="115"/>
      <c r="F275" s="115"/>
      <c r="G275" s="116"/>
      <c r="I275" s="118"/>
      <c r="J275" s="118"/>
      <c r="L275" s="125"/>
    </row>
    <row r="276" spans="1:12" x14ac:dyDescent="0.25">
      <c r="A276" s="115"/>
      <c r="B276" s="115"/>
      <c r="C276" s="115"/>
      <c r="D276" s="115"/>
      <c r="E276" s="115"/>
      <c r="F276" s="115"/>
      <c r="G276" s="116"/>
      <c r="I276" s="118"/>
      <c r="J276" s="118"/>
      <c r="L276" s="125"/>
    </row>
    <row r="277" spans="1:12" x14ac:dyDescent="0.25">
      <c r="A277" s="115"/>
      <c r="B277" s="115"/>
      <c r="C277" s="115"/>
      <c r="D277" s="115"/>
      <c r="E277" s="115"/>
      <c r="F277" s="115"/>
      <c r="G277" s="116"/>
      <c r="I277" s="118"/>
      <c r="J277" s="118"/>
      <c r="L277" s="125"/>
    </row>
    <row r="278" spans="1:12" x14ac:dyDescent="0.25">
      <c r="A278" s="115"/>
      <c r="B278" s="115"/>
      <c r="C278" s="115"/>
      <c r="D278" s="115"/>
      <c r="E278" s="115"/>
      <c r="F278" s="115"/>
      <c r="G278" s="116"/>
      <c r="I278" s="118"/>
      <c r="J278" s="118"/>
      <c r="L278" s="125"/>
    </row>
    <row r="279" spans="1:12" x14ac:dyDescent="0.25">
      <c r="A279" s="115"/>
      <c r="B279" s="115"/>
      <c r="C279" s="115"/>
      <c r="D279" s="115"/>
      <c r="E279" s="115"/>
      <c r="F279" s="115"/>
      <c r="G279" s="116"/>
      <c r="I279" s="118"/>
      <c r="J279" s="118"/>
      <c r="L279" s="125"/>
    </row>
    <row r="280" spans="1:12" x14ac:dyDescent="0.25">
      <c r="A280" s="115"/>
      <c r="B280" s="115"/>
      <c r="C280" s="115"/>
      <c r="D280" s="115"/>
      <c r="E280" s="115"/>
      <c r="F280" s="115"/>
      <c r="G280" s="116"/>
      <c r="I280" s="118"/>
      <c r="J280" s="118"/>
      <c r="L280" s="125"/>
    </row>
    <row r="281" spans="1:12" x14ac:dyDescent="0.25">
      <c r="A281" s="115"/>
      <c r="B281" s="115"/>
      <c r="C281" s="115"/>
      <c r="D281" s="115"/>
      <c r="E281" s="115"/>
      <c r="F281" s="115"/>
      <c r="G281" s="116"/>
      <c r="I281" s="118"/>
      <c r="J281" s="118"/>
      <c r="L281" s="125"/>
    </row>
    <row r="282" spans="1:12" x14ac:dyDescent="0.25">
      <c r="A282" s="115"/>
      <c r="B282" s="115"/>
      <c r="C282" s="115"/>
      <c r="D282" s="115"/>
      <c r="E282" s="115"/>
      <c r="F282" s="115"/>
      <c r="G282" s="116"/>
      <c r="I282" s="118"/>
      <c r="J282" s="118"/>
      <c r="L282" s="125"/>
    </row>
    <row r="283" spans="1:12" x14ac:dyDescent="0.25">
      <c r="A283" s="115"/>
      <c r="B283" s="115"/>
      <c r="C283" s="115"/>
      <c r="D283" s="115"/>
      <c r="E283" s="115"/>
      <c r="F283" s="115"/>
      <c r="G283" s="116"/>
      <c r="I283" s="118"/>
      <c r="J283" s="118"/>
      <c r="L283" s="125"/>
    </row>
    <row r="284" spans="1:12" x14ac:dyDescent="0.25">
      <c r="A284" s="115"/>
      <c r="B284" s="115"/>
      <c r="C284" s="115"/>
      <c r="D284" s="115"/>
      <c r="E284" s="115"/>
      <c r="F284" s="115"/>
      <c r="G284" s="116"/>
      <c r="I284" s="118"/>
      <c r="J284" s="118"/>
      <c r="L284" s="125"/>
    </row>
    <row r="285" spans="1:12" x14ac:dyDescent="0.25">
      <c r="A285" s="115"/>
      <c r="B285" s="115"/>
      <c r="C285" s="115"/>
      <c r="D285" s="115"/>
      <c r="E285" s="115"/>
      <c r="F285" s="115"/>
      <c r="G285" s="116"/>
      <c r="I285" s="118"/>
      <c r="J285" s="118"/>
      <c r="L285" s="125"/>
    </row>
    <row r="286" spans="1:12" x14ac:dyDescent="0.25">
      <c r="A286" s="115"/>
      <c r="B286" s="115"/>
      <c r="C286" s="115"/>
      <c r="D286" s="115"/>
      <c r="E286" s="115"/>
      <c r="F286" s="115"/>
      <c r="G286" s="116"/>
      <c r="I286" s="118"/>
      <c r="J286" s="118"/>
      <c r="L286" s="125"/>
    </row>
    <row r="287" spans="1:12" x14ac:dyDescent="0.25">
      <c r="A287" s="115"/>
      <c r="B287" s="115"/>
      <c r="C287" s="115"/>
      <c r="D287" s="115"/>
      <c r="E287" s="115"/>
      <c r="F287" s="115"/>
      <c r="G287" s="116"/>
      <c r="I287" s="118"/>
      <c r="J287" s="118"/>
      <c r="L287" s="125"/>
    </row>
    <row r="288" spans="1:12" x14ac:dyDescent="0.25">
      <c r="A288" s="115"/>
      <c r="B288" s="115"/>
      <c r="C288" s="115"/>
      <c r="D288" s="115"/>
      <c r="E288" s="115"/>
      <c r="F288" s="115"/>
      <c r="G288" s="116"/>
      <c r="I288" s="118"/>
      <c r="J288" s="118"/>
      <c r="L288" s="125"/>
    </row>
    <row r="289" spans="1:12" x14ac:dyDescent="0.25">
      <c r="A289" s="115"/>
      <c r="B289" s="115"/>
      <c r="C289" s="115"/>
      <c r="D289" s="115"/>
      <c r="E289" s="115"/>
      <c r="F289" s="115"/>
      <c r="G289" s="116"/>
      <c r="I289" s="118"/>
      <c r="J289" s="118"/>
      <c r="L289" s="125"/>
    </row>
    <row r="290" spans="1:12" x14ac:dyDescent="0.25">
      <c r="A290" s="115"/>
      <c r="B290" s="115"/>
      <c r="C290" s="115"/>
      <c r="D290" s="115"/>
      <c r="E290" s="115"/>
      <c r="F290" s="115"/>
      <c r="G290" s="116"/>
      <c r="I290" s="118"/>
      <c r="J290" s="118"/>
      <c r="L290" s="125"/>
    </row>
    <row r="291" spans="1:12" x14ac:dyDescent="0.25">
      <c r="A291" s="115"/>
      <c r="B291" s="115"/>
      <c r="C291" s="115"/>
      <c r="D291" s="115"/>
      <c r="E291" s="115"/>
      <c r="F291" s="115"/>
      <c r="G291" s="116"/>
      <c r="I291" s="118"/>
      <c r="J291" s="118"/>
      <c r="L291" s="125"/>
    </row>
    <row r="292" spans="1:12" x14ac:dyDescent="0.25">
      <c r="A292" s="115"/>
      <c r="B292" s="115"/>
      <c r="C292" s="115"/>
      <c r="D292" s="115"/>
      <c r="E292" s="115"/>
      <c r="F292" s="115"/>
      <c r="G292" s="116"/>
      <c r="I292" s="118"/>
      <c r="J292" s="118"/>
      <c r="L292" s="125"/>
    </row>
    <row r="293" spans="1:12" x14ac:dyDescent="0.25">
      <c r="A293" s="115"/>
      <c r="B293" s="115"/>
      <c r="C293" s="115"/>
      <c r="D293" s="115"/>
      <c r="E293" s="115"/>
      <c r="F293" s="115"/>
      <c r="G293" s="116"/>
      <c r="I293" s="118"/>
      <c r="J293" s="118"/>
      <c r="L293" s="125"/>
    </row>
    <row r="294" spans="1:12" x14ac:dyDescent="0.25">
      <c r="A294" s="115"/>
      <c r="B294" s="115"/>
      <c r="C294" s="115"/>
      <c r="D294" s="115"/>
      <c r="E294" s="115"/>
      <c r="F294" s="115"/>
      <c r="G294" s="116"/>
      <c r="I294" s="118"/>
      <c r="J294" s="118"/>
      <c r="L294" s="125"/>
    </row>
    <row r="295" spans="1:12" x14ac:dyDescent="0.25">
      <c r="A295" s="115"/>
      <c r="B295" s="115"/>
      <c r="C295" s="115"/>
      <c r="D295" s="115"/>
      <c r="E295" s="115"/>
      <c r="F295" s="115"/>
      <c r="G295" s="116"/>
      <c r="I295" s="118"/>
      <c r="J295" s="118"/>
      <c r="L295" s="125"/>
    </row>
    <row r="296" spans="1:12" x14ac:dyDescent="0.25">
      <c r="A296" s="115"/>
      <c r="B296" s="115"/>
      <c r="C296" s="115"/>
      <c r="D296" s="115"/>
      <c r="E296" s="115"/>
      <c r="F296" s="115"/>
      <c r="G296" s="116"/>
      <c r="I296" s="118"/>
      <c r="J296" s="118"/>
      <c r="L296" s="125"/>
    </row>
    <row r="297" spans="1:12" x14ac:dyDescent="0.25">
      <c r="A297" s="115"/>
      <c r="B297" s="115"/>
      <c r="C297" s="115"/>
      <c r="D297" s="115"/>
      <c r="E297" s="115"/>
      <c r="F297" s="115"/>
      <c r="G297" s="116"/>
      <c r="I297" s="118"/>
      <c r="J297" s="118"/>
      <c r="L297" s="125"/>
    </row>
    <row r="298" spans="1:12" x14ac:dyDescent="0.25">
      <c r="A298" s="115"/>
      <c r="B298" s="115"/>
      <c r="C298" s="115"/>
      <c r="D298" s="115"/>
      <c r="E298" s="115"/>
      <c r="F298" s="115"/>
      <c r="G298" s="116"/>
      <c r="I298" s="118"/>
      <c r="J298" s="118"/>
      <c r="L298" s="125"/>
    </row>
    <row r="299" spans="1:12" x14ac:dyDescent="0.25">
      <c r="A299" s="115"/>
      <c r="B299" s="115"/>
      <c r="C299" s="115"/>
      <c r="D299" s="115"/>
      <c r="E299" s="115"/>
      <c r="F299" s="115"/>
      <c r="G299" s="116"/>
      <c r="I299" s="118"/>
      <c r="J299" s="118"/>
      <c r="L299" s="125"/>
    </row>
    <row r="300" spans="1:12" x14ac:dyDescent="0.25">
      <c r="A300" s="115"/>
      <c r="B300" s="115"/>
      <c r="C300" s="115"/>
      <c r="D300" s="115"/>
      <c r="E300" s="115"/>
      <c r="F300" s="115"/>
      <c r="G300" s="116"/>
      <c r="I300" s="118"/>
      <c r="J300" s="118"/>
      <c r="L300" s="125"/>
    </row>
    <row r="301" spans="1:12" x14ac:dyDescent="0.25">
      <c r="A301" s="115"/>
      <c r="B301" s="115"/>
      <c r="C301" s="115"/>
      <c r="D301" s="115"/>
      <c r="E301" s="115"/>
      <c r="F301" s="115"/>
      <c r="G301" s="116"/>
      <c r="I301" s="118"/>
      <c r="J301" s="118"/>
      <c r="L301" s="125"/>
    </row>
    <row r="302" spans="1:12" x14ac:dyDescent="0.25">
      <c r="A302" s="115"/>
      <c r="B302" s="115"/>
      <c r="C302" s="115"/>
      <c r="D302" s="115"/>
      <c r="E302" s="115"/>
      <c r="F302" s="115"/>
      <c r="G302" s="116"/>
      <c r="I302" s="118"/>
      <c r="J302" s="118"/>
      <c r="L302" s="125"/>
    </row>
    <row r="303" spans="1:12" x14ac:dyDescent="0.25">
      <c r="A303" s="115"/>
      <c r="B303" s="115"/>
      <c r="C303" s="115"/>
      <c r="D303" s="115"/>
      <c r="E303" s="115"/>
      <c r="F303" s="115"/>
      <c r="G303" s="116"/>
      <c r="I303" s="118"/>
      <c r="J303" s="118"/>
      <c r="L303" s="125"/>
    </row>
    <row r="304" spans="1:12" x14ac:dyDescent="0.25">
      <c r="A304" s="115"/>
      <c r="B304" s="115"/>
      <c r="C304" s="115"/>
      <c r="D304" s="115"/>
      <c r="E304" s="115"/>
      <c r="F304" s="115"/>
      <c r="G304" s="116"/>
      <c r="I304" s="118"/>
      <c r="J304" s="118"/>
      <c r="L304" s="125"/>
    </row>
    <row r="305" spans="1:12" x14ac:dyDescent="0.25">
      <c r="A305" s="115"/>
      <c r="B305" s="115"/>
      <c r="C305" s="115"/>
      <c r="D305" s="115"/>
      <c r="E305" s="115"/>
      <c r="F305" s="115"/>
      <c r="G305" s="116"/>
      <c r="I305" s="118"/>
      <c r="J305" s="118"/>
      <c r="L305" s="125"/>
    </row>
    <row r="306" spans="1:12" x14ac:dyDescent="0.25">
      <c r="A306" s="115"/>
      <c r="B306" s="115"/>
      <c r="C306" s="115"/>
      <c r="D306" s="115"/>
      <c r="E306" s="115"/>
      <c r="F306" s="115"/>
      <c r="G306" s="116"/>
      <c r="I306" s="118"/>
      <c r="J306" s="118"/>
      <c r="L306" s="125"/>
    </row>
    <row r="307" spans="1:12" x14ac:dyDescent="0.25">
      <c r="A307" s="115"/>
      <c r="B307" s="115"/>
      <c r="C307" s="115"/>
      <c r="D307" s="115"/>
      <c r="E307" s="115"/>
      <c r="F307" s="115"/>
      <c r="G307" s="116"/>
      <c r="I307" s="118"/>
      <c r="J307" s="118"/>
      <c r="L307" s="125"/>
    </row>
    <row r="308" spans="1:12" x14ac:dyDescent="0.25">
      <c r="A308" s="115"/>
      <c r="B308" s="115"/>
      <c r="C308" s="115"/>
      <c r="D308" s="115"/>
      <c r="E308" s="115"/>
      <c r="F308" s="115"/>
      <c r="G308" s="116"/>
      <c r="I308" s="118"/>
      <c r="J308" s="118"/>
      <c r="L308" s="125"/>
    </row>
    <row r="309" spans="1:12" x14ac:dyDescent="0.25">
      <c r="A309" s="115"/>
      <c r="B309" s="115"/>
      <c r="C309" s="115"/>
      <c r="D309" s="115"/>
      <c r="E309" s="115"/>
      <c r="F309" s="115"/>
      <c r="G309" s="116"/>
      <c r="I309" s="118"/>
      <c r="J309" s="118"/>
      <c r="L309" s="125"/>
    </row>
    <row r="310" spans="1:12" x14ac:dyDescent="0.25">
      <c r="A310" s="115"/>
      <c r="B310" s="115"/>
      <c r="C310" s="115"/>
      <c r="D310" s="115"/>
      <c r="E310" s="115"/>
      <c r="F310" s="115"/>
      <c r="G310" s="116"/>
      <c r="I310" s="118"/>
      <c r="J310" s="118"/>
      <c r="L310" s="125"/>
    </row>
    <row r="311" spans="1:12" x14ac:dyDescent="0.25">
      <c r="A311" s="115"/>
      <c r="B311" s="115"/>
      <c r="C311" s="115"/>
      <c r="D311" s="115"/>
      <c r="E311" s="115"/>
      <c r="F311" s="115"/>
      <c r="G311" s="116"/>
      <c r="I311" s="118"/>
      <c r="J311" s="118"/>
      <c r="L311" s="125"/>
    </row>
    <row r="312" spans="1:12" x14ac:dyDescent="0.25">
      <c r="A312" s="115"/>
      <c r="B312" s="115"/>
      <c r="C312" s="115"/>
      <c r="D312" s="115"/>
      <c r="E312" s="115"/>
      <c r="F312" s="115"/>
      <c r="G312" s="116"/>
      <c r="I312" s="118"/>
      <c r="J312" s="118"/>
      <c r="L312" s="125"/>
    </row>
    <row r="313" spans="1:12" x14ac:dyDescent="0.25">
      <c r="A313" s="115"/>
      <c r="B313" s="115"/>
      <c r="C313" s="115"/>
      <c r="D313" s="115"/>
      <c r="E313" s="115"/>
      <c r="F313" s="115"/>
      <c r="G313" s="116"/>
      <c r="I313" s="118"/>
      <c r="J313" s="118"/>
      <c r="L313" s="125"/>
    </row>
    <row r="314" spans="1:12" x14ac:dyDescent="0.25">
      <c r="A314" s="115"/>
      <c r="B314" s="115"/>
      <c r="C314" s="115"/>
      <c r="D314" s="115"/>
      <c r="E314" s="115"/>
      <c r="F314" s="115"/>
      <c r="G314" s="116"/>
      <c r="I314" s="118"/>
      <c r="J314" s="118"/>
      <c r="L314" s="125"/>
    </row>
    <row r="315" spans="1:12" x14ac:dyDescent="0.25">
      <c r="A315" s="115"/>
      <c r="B315" s="115"/>
      <c r="C315" s="115"/>
      <c r="D315" s="115"/>
      <c r="E315" s="115"/>
      <c r="F315" s="115"/>
      <c r="G315" s="116"/>
      <c r="I315" s="118"/>
      <c r="J315" s="118"/>
      <c r="L315" s="125"/>
    </row>
    <row r="316" spans="1:12" x14ac:dyDescent="0.25">
      <c r="A316" s="115"/>
      <c r="B316" s="115"/>
      <c r="C316" s="115"/>
      <c r="D316" s="115"/>
      <c r="E316" s="115"/>
      <c r="F316" s="115"/>
      <c r="G316" s="116"/>
      <c r="I316" s="118"/>
      <c r="J316" s="118"/>
      <c r="L316" s="125"/>
    </row>
    <row r="317" spans="1:12" x14ac:dyDescent="0.25">
      <c r="A317" s="115"/>
      <c r="B317" s="115"/>
      <c r="C317" s="115"/>
      <c r="D317" s="115"/>
      <c r="E317" s="115"/>
      <c r="F317" s="115"/>
      <c r="G317" s="116"/>
      <c r="I317" s="118"/>
      <c r="J317" s="118"/>
      <c r="L317" s="125"/>
    </row>
    <row r="318" spans="1:12" x14ac:dyDescent="0.25">
      <c r="A318" s="115"/>
      <c r="B318" s="115"/>
      <c r="C318" s="115"/>
      <c r="D318" s="115"/>
      <c r="E318" s="115"/>
      <c r="F318" s="115"/>
      <c r="G318" s="116"/>
      <c r="I318" s="118"/>
      <c r="J318" s="118"/>
      <c r="L318" s="125"/>
    </row>
    <row r="319" spans="1:12" x14ac:dyDescent="0.25">
      <c r="A319" s="115"/>
      <c r="B319" s="115"/>
      <c r="C319" s="115"/>
      <c r="D319" s="115"/>
      <c r="E319" s="115"/>
      <c r="F319" s="115"/>
      <c r="G319" s="116"/>
      <c r="I319" s="118"/>
      <c r="J319" s="118"/>
      <c r="L319" s="125"/>
    </row>
    <row r="320" spans="1:12" x14ac:dyDescent="0.25">
      <c r="A320" s="115"/>
      <c r="B320" s="115"/>
      <c r="C320" s="115"/>
      <c r="D320" s="115"/>
      <c r="E320" s="115"/>
      <c r="F320" s="115"/>
      <c r="G320" s="116"/>
      <c r="I320" s="118"/>
      <c r="J320" s="118"/>
      <c r="L320" s="125"/>
    </row>
    <row r="321" spans="1:12" x14ac:dyDescent="0.25">
      <c r="A321" s="115"/>
      <c r="B321" s="115"/>
      <c r="C321" s="115"/>
      <c r="D321" s="115"/>
      <c r="E321" s="115"/>
      <c r="F321" s="115"/>
      <c r="G321" s="116"/>
      <c r="I321" s="118"/>
      <c r="J321" s="118"/>
      <c r="L321" s="125"/>
    </row>
    <row r="322" spans="1:12" x14ac:dyDescent="0.25">
      <c r="A322" s="115"/>
      <c r="B322" s="115"/>
      <c r="C322" s="115"/>
      <c r="D322" s="115"/>
      <c r="E322" s="115"/>
      <c r="F322" s="115"/>
      <c r="G322" s="116"/>
      <c r="I322" s="118"/>
      <c r="J322" s="118"/>
      <c r="L322" s="125"/>
    </row>
    <row r="323" spans="1:12" x14ac:dyDescent="0.25">
      <c r="A323" s="115"/>
      <c r="B323" s="115"/>
      <c r="C323" s="115"/>
      <c r="D323" s="115"/>
      <c r="E323" s="115"/>
      <c r="F323" s="115"/>
      <c r="G323" s="116"/>
      <c r="I323" s="118"/>
      <c r="J323" s="118"/>
      <c r="L323" s="125"/>
    </row>
    <row r="324" spans="1:12" x14ac:dyDescent="0.25">
      <c r="A324" s="115"/>
      <c r="B324" s="115"/>
      <c r="C324" s="115"/>
      <c r="D324" s="115"/>
      <c r="E324" s="115"/>
      <c r="F324" s="115"/>
      <c r="G324" s="116"/>
      <c r="I324" s="118"/>
      <c r="J324" s="118"/>
      <c r="L324" s="125"/>
    </row>
    <row r="325" spans="1:12" x14ac:dyDescent="0.25">
      <c r="A325" s="115"/>
      <c r="B325" s="115"/>
      <c r="C325" s="115"/>
      <c r="D325" s="115"/>
      <c r="E325" s="115"/>
      <c r="F325" s="115"/>
      <c r="G325" s="116"/>
      <c r="I325" s="118"/>
      <c r="J325" s="118"/>
      <c r="L325" s="125"/>
    </row>
    <row r="326" spans="1:12" x14ac:dyDescent="0.25">
      <c r="A326" s="115"/>
      <c r="B326" s="115"/>
      <c r="C326" s="115"/>
      <c r="D326" s="115"/>
      <c r="E326" s="115"/>
      <c r="F326" s="115"/>
      <c r="G326" s="116"/>
      <c r="I326" s="118"/>
      <c r="J326" s="118"/>
      <c r="L326" s="125"/>
    </row>
    <row r="327" spans="1:12" x14ac:dyDescent="0.25">
      <c r="A327" s="115"/>
      <c r="B327" s="115"/>
      <c r="C327" s="115"/>
      <c r="D327" s="115"/>
      <c r="E327" s="115"/>
      <c r="F327" s="115"/>
      <c r="G327" s="116"/>
      <c r="I327" s="118"/>
      <c r="J327" s="118"/>
      <c r="L327" s="125"/>
    </row>
    <row r="328" spans="1:12" x14ac:dyDescent="0.25">
      <c r="A328" s="115"/>
      <c r="B328" s="115"/>
      <c r="C328" s="115"/>
      <c r="D328" s="115"/>
      <c r="E328" s="115"/>
      <c r="F328" s="115"/>
      <c r="G328" s="116"/>
      <c r="I328" s="118"/>
      <c r="J328" s="118"/>
      <c r="L328" s="125"/>
    </row>
    <row r="329" spans="1:12" x14ac:dyDescent="0.25">
      <c r="A329" s="115"/>
      <c r="B329" s="115"/>
      <c r="C329" s="115"/>
      <c r="D329" s="115"/>
      <c r="E329" s="115"/>
      <c r="F329" s="115"/>
      <c r="G329" s="116"/>
      <c r="I329" s="118"/>
      <c r="J329" s="118"/>
      <c r="L329" s="125"/>
    </row>
    <row r="330" spans="1:12" x14ac:dyDescent="0.25">
      <c r="A330" s="115"/>
      <c r="B330" s="115"/>
      <c r="C330" s="115"/>
      <c r="D330" s="115"/>
      <c r="E330" s="115"/>
      <c r="F330" s="115"/>
      <c r="G330" s="116"/>
      <c r="I330" s="118"/>
      <c r="J330" s="118"/>
      <c r="L330" s="125"/>
    </row>
    <row r="331" spans="1:12" x14ac:dyDescent="0.25">
      <c r="A331" s="115"/>
      <c r="B331" s="115"/>
      <c r="C331" s="115"/>
      <c r="D331" s="115"/>
      <c r="E331" s="115"/>
      <c r="F331" s="115"/>
      <c r="G331" s="116"/>
      <c r="I331" s="118"/>
      <c r="J331" s="118"/>
      <c r="L331" s="125"/>
    </row>
    <row r="332" spans="1:12" x14ac:dyDescent="0.25">
      <c r="A332" s="115"/>
      <c r="B332" s="115"/>
      <c r="C332" s="115"/>
      <c r="D332" s="115"/>
      <c r="E332" s="115"/>
      <c r="F332" s="115"/>
      <c r="G332" s="116"/>
      <c r="I332" s="118"/>
      <c r="J332" s="118"/>
      <c r="L332" s="125"/>
    </row>
    <row r="333" spans="1:12" x14ac:dyDescent="0.25">
      <c r="A333" s="115"/>
      <c r="B333" s="115"/>
      <c r="C333" s="115"/>
      <c r="D333" s="115"/>
      <c r="E333" s="115"/>
      <c r="F333" s="115"/>
      <c r="G333" s="116"/>
      <c r="I333" s="118"/>
      <c r="J333" s="118"/>
      <c r="L333" s="125"/>
    </row>
    <row r="334" spans="1:12" x14ac:dyDescent="0.25">
      <c r="A334" s="115"/>
      <c r="B334" s="115"/>
      <c r="C334" s="115"/>
      <c r="D334" s="115"/>
      <c r="E334" s="115"/>
      <c r="F334" s="115"/>
      <c r="G334" s="116"/>
      <c r="I334" s="118"/>
      <c r="J334" s="118"/>
      <c r="L334" s="125"/>
    </row>
    <row r="335" spans="1:12" x14ac:dyDescent="0.25">
      <c r="A335" s="115"/>
      <c r="B335" s="115"/>
      <c r="C335" s="115"/>
      <c r="D335" s="115"/>
      <c r="E335" s="115"/>
      <c r="F335" s="115"/>
      <c r="G335" s="116"/>
      <c r="I335" s="118"/>
      <c r="J335" s="118"/>
      <c r="L335" s="125"/>
    </row>
    <row r="336" spans="1:12" x14ac:dyDescent="0.25">
      <c r="A336" s="115"/>
      <c r="B336" s="115"/>
      <c r="C336" s="115"/>
      <c r="D336" s="115"/>
      <c r="E336" s="115"/>
      <c r="F336" s="115"/>
      <c r="G336" s="116"/>
      <c r="I336" s="118"/>
      <c r="J336" s="118"/>
      <c r="L336" s="125"/>
    </row>
    <row r="337" spans="1:12" x14ac:dyDescent="0.25">
      <c r="A337" s="115"/>
      <c r="B337" s="115"/>
      <c r="C337" s="115"/>
      <c r="D337" s="115"/>
      <c r="E337" s="115"/>
      <c r="F337" s="115"/>
      <c r="G337" s="116"/>
      <c r="I337" s="118"/>
      <c r="J337" s="118"/>
      <c r="L337" s="125"/>
    </row>
    <row r="338" spans="1:12" x14ac:dyDescent="0.25">
      <c r="A338" s="115"/>
      <c r="B338" s="115"/>
      <c r="C338" s="115"/>
      <c r="D338" s="115"/>
      <c r="E338" s="115"/>
      <c r="F338" s="115"/>
      <c r="G338" s="116"/>
      <c r="I338" s="118"/>
      <c r="J338" s="118"/>
      <c r="L338" s="125"/>
    </row>
    <row r="339" spans="1:12" x14ac:dyDescent="0.25">
      <c r="A339" s="115"/>
      <c r="B339" s="115"/>
      <c r="C339" s="115"/>
      <c r="D339" s="115"/>
      <c r="E339" s="115"/>
      <c r="F339" s="115"/>
      <c r="G339" s="116"/>
      <c r="I339" s="118"/>
      <c r="J339" s="118"/>
      <c r="L339" s="125"/>
    </row>
    <row r="340" spans="1:12" x14ac:dyDescent="0.25">
      <c r="A340" s="115"/>
      <c r="B340" s="115"/>
      <c r="C340" s="115"/>
      <c r="D340" s="115"/>
      <c r="E340" s="115"/>
      <c r="F340" s="115"/>
      <c r="G340" s="116"/>
      <c r="I340" s="118"/>
      <c r="J340" s="118"/>
      <c r="L340" s="125"/>
    </row>
    <row r="341" spans="1:12" x14ac:dyDescent="0.25">
      <c r="A341" s="115"/>
      <c r="B341" s="115"/>
      <c r="C341" s="115"/>
      <c r="D341" s="115"/>
      <c r="E341" s="115"/>
      <c r="F341" s="115"/>
      <c r="G341" s="116"/>
      <c r="I341" s="118"/>
      <c r="J341" s="118"/>
      <c r="L341" s="125"/>
    </row>
    <row r="342" spans="1:12" x14ac:dyDescent="0.25">
      <c r="A342" s="115"/>
      <c r="B342" s="115"/>
      <c r="C342" s="115"/>
      <c r="D342" s="115"/>
      <c r="E342" s="115"/>
      <c r="F342" s="115"/>
      <c r="G342" s="116"/>
      <c r="I342" s="118"/>
      <c r="J342" s="118"/>
      <c r="L342" s="125"/>
    </row>
    <row r="343" spans="1:12" x14ac:dyDescent="0.25">
      <c r="A343" s="115"/>
      <c r="B343" s="115"/>
      <c r="C343" s="115"/>
      <c r="D343" s="115"/>
      <c r="E343" s="115"/>
      <c r="F343" s="115"/>
      <c r="G343" s="116"/>
      <c r="I343" s="118"/>
      <c r="J343" s="118"/>
      <c r="L343" s="125"/>
    </row>
    <row r="344" spans="1:12" x14ac:dyDescent="0.25">
      <c r="A344" s="115"/>
      <c r="B344" s="115"/>
      <c r="C344" s="115"/>
      <c r="D344" s="115"/>
      <c r="E344" s="115"/>
      <c r="F344" s="115"/>
      <c r="G344" s="116"/>
      <c r="I344" s="118"/>
      <c r="J344" s="118"/>
      <c r="L344" s="125"/>
    </row>
    <row r="345" spans="1:12" x14ac:dyDescent="0.25">
      <c r="A345" s="115"/>
      <c r="B345" s="115"/>
      <c r="C345" s="115"/>
      <c r="D345" s="115"/>
      <c r="E345" s="115"/>
      <c r="F345" s="115"/>
      <c r="G345" s="116"/>
      <c r="I345" s="118"/>
      <c r="J345" s="118"/>
      <c r="L345" s="125"/>
    </row>
    <row r="346" spans="1:12" x14ac:dyDescent="0.25">
      <c r="A346" s="115"/>
      <c r="B346" s="115"/>
      <c r="C346" s="115"/>
      <c r="D346" s="115"/>
      <c r="E346" s="115"/>
      <c r="F346" s="115"/>
      <c r="G346" s="116"/>
      <c r="I346" s="118"/>
      <c r="J346" s="118"/>
      <c r="L346" s="125"/>
    </row>
    <row r="347" spans="1:12" x14ac:dyDescent="0.25">
      <c r="A347" s="115"/>
      <c r="B347" s="115"/>
      <c r="C347" s="115"/>
      <c r="D347" s="115"/>
      <c r="E347" s="115"/>
      <c r="F347" s="115"/>
      <c r="G347" s="116"/>
      <c r="I347" s="118"/>
      <c r="J347" s="118"/>
      <c r="L347" s="125"/>
    </row>
    <row r="348" spans="1:12" x14ac:dyDescent="0.25">
      <c r="A348" s="115"/>
      <c r="B348" s="115"/>
      <c r="C348" s="115"/>
      <c r="D348" s="115"/>
      <c r="E348" s="115"/>
      <c r="F348" s="115"/>
      <c r="G348" s="116"/>
      <c r="I348" s="118"/>
      <c r="J348" s="118"/>
      <c r="L348" s="125"/>
    </row>
    <row r="349" spans="1:12" x14ac:dyDescent="0.25">
      <c r="A349" s="115"/>
      <c r="B349" s="115"/>
      <c r="C349" s="115"/>
      <c r="D349" s="115"/>
      <c r="E349" s="115"/>
      <c r="F349" s="115"/>
      <c r="G349" s="116"/>
      <c r="I349" s="118"/>
      <c r="J349" s="118"/>
      <c r="L349" s="125"/>
    </row>
    <row r="350" spans="1:12" x14ac:dyDescent="0.25">
      <c r="A350" s="115"/>
      <c r="B350" s="115"/>
      <c r="C350" s="115"/>
      <c r="D350" s="115"/>
      <c r="E350" s="115"/>
      <c r="F350" s="115"/>
      <c r="G350" s="116"/>
      <c r="I350" s="118"/>
      <c r="J350" s="118"/>
      <c r="L350" s="125"/>
    </row>
    <row r="351" spans="1:12" x14ac:dyDescent="0.25">
      <c r="A351" s="115"/>
      <c r="B351" s="115"/>
      <c r="C351" s="115"/>
      <c r="D351" s="115"/>
      <c r="E351" s="115"/>
      <c r="F351" s="115"/>
      <c r="G351" s="116"/>
      <c r="I351" s="118"/>
      <c r="J351" s="118"/>
      <c r="L351" s="125"/>
    </row>
    <row r="352" spans="1:12" x14ac:dyDescent="0.25">
      <c r="A352" s="115"/>
      <c r="B352" s="115"/>
      <c r="C352" s="115"/>
      <c r="D352" s="115"/>
      <c r="E352" s="115"/>
      <c r="F352" s="115"/>
      <c r="G352" s="116"/>
      <c r="I352" s="118"/>
      <c r="J352" s="118"/>
      <c r="L352" s="125"/>
    </row>
    <row r="353" spans="1:12" x14ac:dyDescent="0.25">
      <c r="A353" s="115"/>
      <c r="B353" s="115"/>
      <c r="C353" s="115"/>
      <c r="D353" s="115"/>
      <c r="E353" s="115"/>
      <c r="F353" s="115"/>
      <c r="G353" s="116"/>
      <c r="I353" s="118"/>
      <c r="J353" s="118"/>
      <c r="L353" s="125"/>
    </row>
    <row r="354" spans="1:12" x14ac:dyDescent="0.25">
      <c r="A354" s="115"/>
      <c r="B354" s="115"/>
      <c r="C354" s="115"/>
      <c r="D354" s="115"/>
      <c r="E354" s="115"/>
      <c r="F354" s="115"/>
      <c r="G354" s="116"/>
      <c r="I354" s="118"/>
      <c r="J354" s="118"/>
      <c r="L354" s="125"/>
    </row>
    <row r="355" spans="1:12" x14ac:dyDescent="0.25">
      <c r="A355" s="115"/>
      <c r="B355" s="115"/>
      <c r="C355" s="115"/>
      <c r="D355" s="115"/>
      <c r="E355" s="115"/>
      <c r="F355" s="115"/>
      <c r="G355" s="116"/>
      <c r="I355" s="118"/>
      <c r="J355" s="118"/>
      <c r="L355" s="125"/>
    </row>
    <row r="356" spans="1:12" x14ac:dyDescent="0.25">
      <c r="A356" s="115"/>
      <c r="B356" s="115"/>
      <c r="C356" s="115"/>
      <c r="D356" s="115"/>
      <c r="E356" s="115"/>
      <c r="F356" s="115"/>
      <c r="G356" s="116"/>
      <c r="I356" s="118"/>
      <c r="J356" s="118"/>
      <c r="L356" s="125"/>
    </row>
    <row r="357" spans="1:12" x14ac:dyDescent="0.25">
      <c r="A357" s="115"/>
      <c r="B357" s="115"/>
      <c r="C357" s="115"/>
      <c r="D357" s="115"/>
      <c r="E357" s="115"/>
      <c r="F357" s="115"/>
      <c r="G357" s="116"/>
      <c r="I357" s="118"/>
      <c r="J357" s="118"/>
      <c r="L357" s="125"/>
    </row>
    <row r="358" spans="1:12" x14ac:dyDescent="0.25">
      <c r="A358" s="115"/>
      <c r="B358" s="115"/>
      <c r="C358" s="115"/>
      <c r="D358" s="115"/>
      <c r="E358" s="115"/>
      <c r="F358" s="115"/>
      <c r="G358" s="116"/>
      <c r="I358" s="118"/>
      <c r="J358" s="118"/>
      <c r="L358" s="125"/>
    </row>
    <row r="359" spans="1:12" x14ac:dyDescent="0.25">
      <c r="A359" s="115"/>
      <c r="B359" s="115"/>
      <c r="C359" s="115"/>
      <c r="D359" s="115"/>
      <c r="E359" s="115"/>
      <c r="F359" s="115"/>
      <c r="G359" s="116"/>
      <c r="I359" s="118"/>
      <c r="J359" s="118"/>
      <c r="L359" s="125"/>
    </row>
    <row r="360" spans="1:12" x14ac:dyDescent="0.25">
      <c r="A360" s="115"/>
      <c r="B360" s="115"/>
      <c r="C360" s="115"/>
      <c r="D360" s="115"/>
      <c r="E360" s="115"/>
      <c r="F360" s="115"/>
      <c r="G360" s="116"/>
      <c r="I360" s="118"/>
      <c r="J360" s="118"/>
      <c r="L360" s="125"/>
    </row>
    <row r="361" spans="1:12" x14ac:dyDescent="0.25">
      <c r="A361" s="115"/>
      <c r="B361" s="115"/>
      <c r="C361" s="115"/>
      <c r="D361" s="115"/>
      <c r="E361" s="115"/>
      <c r="F361" s="115"/>
      <c r="G361" s="116"/>
      <c r="I361" s="118"/>
      <c r="J361" s="118"/>
      <c r="L361" s="125"/>
    </row>
    <row r="362" spans="1:12" x14ac:dyDescent="0.25">
      <c r="A362" s="115"/>
      <c r="B362" s="115"/>
      <c r="C362" s="115"/>
      <c r="D362" s="115"/>
      <c r="E362" s="115"/>
      <c r="F362" s="115"/>
      <c r="G362" s="116"/>
      <c r="I362" s="118"/>
      <c r="J362" s="118"/>
      <c r="L362" s="125"/>
    </row>
    <row r="363" spans="1:12" x14ac:dyDescent="0.25">
      <c r="A363" s="115"/>
      <c r="B363" s="115"/>
      <c r="C363" s="115"/>
      <c r="D363" s="115"/>
      <c r="E363" s="115"/>
      <c r="F363" s="115"/>
      <c r="G363" s="116"/>
      <c r="I363" s="118"/>
      <c r="J363" s="118"/>
      <c r="L363" s="125"/>
    </row>
    <row r="364" spans="1:12" x14ac:dyDescent="0.25">
      <c r="A364" s="115"/>
      <c r="B364" s="115"/>
      <c r="C364" s="115"/>
      <c r="D364" s="115"/>
      <c r="E364" s="115"/>
      <c r="F364" s="115"/>
      <c r="G364" s="116"/>
      <c r="I364" s="118"/>
      <c r="J364" s="118"/>
      <c r="L364" s="125"/>
    </row>
    <row r="365" spans="1:12" x14ac:dyDescent="0.25">
      <c r="A365" s="115"/>
      <c r="B365" s="115"/>
      <c r="C365" s="115"/>
      <c r="D365" s="115"/>
      <c r="E365" s="115"/>
      <c r="F365" s="115"/>
      <c r="G365" s="116"/>
      <c r="I365" s="118"/>
      <c r="J365" s="118"/>
      <c r="L365" s="125"/>
    </row>
    <row r="366" spans="1:12" x14ac:dyDescent="0.25">
      <c r="A366" s="115"/>
      <c r="B366" s="115"/>
      <c r="C366" s="115"/>
      <c r="D366" s="115"/>
      <c r="E366" s="115"/>
      <c r="F366" s="115"/>
      <c r="G366" s="116"/>
      <c r="I366" s="118"/>
      <c r="J366" s="118"/>
      <c r="L366" s="125"/>
    </row>
    <row r="367" spans="1:12" x14ac:dyDescent="0.25">
      <c r="A367" s="115"/>
      <c r="B367" s="115"/>
      <c r="C367" s="115"/>
      <c r="D367" s="115"/>
      <c r="E367" s="115"/>
      <c r="F367" s="115"/>
      <c r="G367" s="116"/>
      <c r="I367" s="118"/>
      <c r="J367" s="118"/>
      <c r="L367" s="125"/>
    </row>
    <row r="368" spans="1:12" x14ac:dyDescent="0.25">
      <c r="A368" s="115"/>
      <c r="B368" s="115"/>
      <c r="C368" s="115"/>
      <c r="D368" s="115"/>
      <c r="E368" s="115"/>
      <c r="F368" s="115"/>
      <c r="G368" s="116"/>
      <c r="I368" s="118"/>
      <c r="J368" s="118"/>
      <c r="L368" s="125"/>
    </row>
    <row r="369" spans="1:12" x14ac:dyDescent="0.25">
      <c r="A369" s="115"/>
      <c r="B369" s="115"/>
      <c r="C369" s="115"/>
      <c r="D369" s="115"/>
      <c r="E369" s="115"/>
      <c r="F369" s="115"/>
      <c r="G369" s="116"/>
      <c r="I369" s="118"/>
      <c r="J369" s="118"/>
      <c r="L369" s="125"/>
    </row>
    <row r="370" spans="1:12" x14ac:dyDescent="0.25">
      <c r="A370" s="115"/>
      <c r="B370" s="115"/>
      <c r="C370" s="115"/>
      <c r="D370" s="115"/>
      <c r="E370" s="115"/>
      <c r="F370" s="115"/>
      <c r="G370" s="116"/>
      <c r="I370" s="118"/>
      <c r="J370" s="118"/>
      <c r="L370" s="125"/>
    </row>
    <row r="371" spans="1:12" x14ac:dyDescent="0.25">
      <c r="A371" s="115"/>
      <c r="B371" s="115"/>
      <c r="C371" s="115"/>
      <c r="D371" s="115"/>
      <c r="E371" s="115"/>
      <c r="F371" s="115"/>
      <c r="G371" s="116"/>
      <c r="I371" s="118"/>
      <c r="J371" s="118"/>
      <c r="L371" s="125"/>
    </row>
    <row r="372" spans="1:12" x14ac:dyDescent="0.25">
      <c r="A372" s="115"/>
      <c r="B372" s="115"/>
      <c r="C372" s="115"/>
      <c r="D372" s="115"/>
      <c r="E372" s="115"/>
      <c r="F372" s="115"/>
      <c r="G372" s="116"/>
      <c r="I372" s="118"/>
      <c r="J372" s="118"/>
      <c r="L372" s="125"/>
    </row>
    <row r="373" spans="1:12" x14ac:dyDescent="0.25">
      <c r="A373" s="115"/>
      <c r="B373" s="115"/>
      <c r="C373" s="115"/>
      <c r="D373" s="115"/>
      <c r="E373" s="115"/>
      <c r="F373" s="115"/>
      <c r="G373" s="116"/>
      <c r="I373" s="118"/>
      <c r="J373" s="118"/>
      <c r="L373" s="125"/>
    </row>
    <row r="374" spans="1:12" x14ac:dyDescent="0.25">
      <c r="A374" s="115"/>
      <c r="B374" s="115"/>
      <c r="C374" s="115"/>
      <c r="D374" s="115"/>
      <c r="E374" s="115"/>
      <c r="F374" s="115"/>
      <c r="G374" s="116"/>
      <c r="I374" s="118"/>
      <c r="J374" s="118"/>
      <c r="L374" s="125"/>
    </row>
    <row r="375" spans="1:12" x14ac:dyDescent="0.25">
      <c r="A375" s="115"/>
      <c r="B375" s="115"/>
      <c r="C375" s="115"/>
      <c r="D375" s="115"/>
      <c r="E375" s="115"/>
      <c r="F375" s="115"/>
      <c r="G375" s="116"/>
      <c r="I375" s="118"/>
      <c r="J375" s="118"/>
      <c r="L375" s="125"/>
    </row>
    <row r="376" spans="1:12" x14ac:dyDescent="0.25">
      <c r="A376" s="115"/>
      <c r="B376" s="115"/>
      <c r="C376" s="115"/>
      <c r="D376" s="115"/>
      <c r="E376" s="115"/>
      <c r="F376" s="115"/>
      <c r="G376" s="116"/>
      <c r="I376" s="118"/>
      <c r="J376" s="118"/>
      <c r="L376" s="125"/>
    </row>
    <row r="377" spans="1:12" x14ac:dyDescent="0.25">
      <c r="A377" s="115"/>
      <c r="B377" s="115"/>
      <c r="C377" s="115"/>
      <c r="D377" s="115"/>
      <c r="E377" s="115"/>
      <c r="F377" s="115"/>
      <c r="G377" s="116"/>
      <c r="I377" s="118"/>
      <c r="J377" s="118"/>
      <c r="L377" s="125"/>
    </row>
    <row r="378" spans="1:12" x14ac:dyDescent="0.25">
      <c r="A378" s="115"/>
      <c r="B378" s="115"/>
      <c r="C378" s="115"/>
      <c r="D378" s="115"/>
      <c r="E378" s="115"/>
      <c r="F378" s="115"/>
      <c r="G378" s="116"/>
      <c r="I378" s="118"/>
      <c r="J378" s="118"/>
      <c r="L378" s="125"/>
    </row>
    <row r="379" spans="1:12" x14ac:dyDescent="0.25">
      <c r="A379" s="115"/>
      <c r="B379" s="115"/>
      <c r="C379" s="115"/>
      <c r="D379" s="115"/>
      <c r="E379" s="115"/>
      <c r="F379" s="115"/>
      <c r="G379" s="116"/>
      <c r="I379" s="118"/>
      <c r="J379" s="118"/>
      <c r="L379" s="125"/>
    </row>
    <row r="380" spans="1:12" x14ac:dyDescent="0.25">
      <c r="A380" s="115"/>
      <c r="B380" s="115"/>
      <c r="C380" s="115"/>
      <c r="D380" s="115"/>
      <c r="E380" s="115"/>
      <c r="F380" s="115"/>
      <c r="G380" s="116"/>
      <c r="I380" s="118"/>
      <c r="J380" s="118"/>
      <c r="L380" s="125"/>
    </row>
    <row r="381" spans="1:12" x14ac:dyDescent="0.25">
      <c r="A381" s="115"/>
      <c r="B381" s="115"/>
      <c r="C381" s="115"/>
      <c r="D381" s="115"/>
      <c r="E381" s="115"/>
      <c r="F381" s="115"/>
      <c r="G381" s="116"/>
      <c r="I381" s="118"/>
      <c r="J381" s="118"/>
      <c r="L381" s="125"/>
    </row>
    <row r="382" spans="1:12" x14ac:dyDescent="0.25">
      <c r="A382" s="115"/>
      <c r="B382" s="115"/>
      <c r="C382" s="115"/>
      <c r="D382" s="115"/>
      <c r="E382" s="115"/>
      <c r="F382" s="115"/>
      <c r="G382" s="116"/>
      <c r="I382" s="118"/>
      <c r="J382" s="118"/>
      <c r="L382" s="125"/>
    </row>
    <row r="383" spans="1:12" x14ac:dyDescent="0.25">
      <c r="A383" s="115"/>
      <c r="B383" s="115"/>
      <c r="C383" s="115"/>
      <c r="D383" s="115"/>
      <c r="E383" s="115"/>
      <c r="F383" s="115"/>
      <c r="G383" s="116"/>
      <c r="I383" s="118"/>
      <c r="J383" s="118"/>
      <c r="L383" s="125"/>
    </row>
    <row r="384" spans="1:12" x14ac:dyDescent="0.25">
      <c r="A384" s="115"/>
      <c r="B384" s="115"/>
      <c r="C384" s="115"/>
      <c r="D384" s="115"/>
      <c r="E384" s="115"/>
      <c r="F384" s="115"/>
      <c r="G384" s="116"/>
      <c r="I384" s="118"/>
      <c r="J384" s="118"/>
      <c r="L384" s="125"/>
    </row>
    <row r="385" spans="1:12" x14ac:dyDescent="0.25">
      <c r="A385" s="115"/>
      <c r="B385" s="115"/>
      <c r="C385" s="115"/>
      <c r="D385" s="115"/>
      <c r="E385" s="115"/>
      <c r="F385" s="115"/>
      <c r="G385" s="116"/>
      <c r="I385" s="118"/>
      <c r="J385" s="118"/>
      <c r="L385" s="125"/>
    </row>
    <row r="386" spans="1:12" x14ac:dyDescent="0.25">
      <c r="A386" s="115"/>
      <c r="B386" s="115"/>
      <c r="C386" s="115"/>
      <c r="D386" s="115"/>
      <c r="E386" s="115"/>
      <c r="F386" s="115"/>
      <c r="G386" s="116"/>
      <c r="I386" s="118"/>
      <c r="J386" s="118"/>
      <c r="L386" s="125"/>
    </row>
    <row r="387" spans="1:12" x14ac:dyDescent="0.25">
      <c r="A387" s="115"/>
      <c r="B387" s="115"/>
      <c r="C387" s="115"/>
      <c r="D387" s="115"/>
      <c r="E387" s="115"/>
      <c r="F387" s="115"/>
      <c r="G387" s="116"/>
      <c r="I387" s="118"/>
      <c r="J387" s="118"/>
      <c r="L387" s="125"/>
    </row>
    <row r="388" spans="1:12" x14ac:dyDescent="0.25">
      <c r="A388" s="115"/>
      <c r="B388" s="115"/>
      <c r="C388" s="115"/>
      <c r="D388" s="115"/>
      <c r="E388" s="115"/>
      <c r="F388" s="115"/>
      <c r="G388" s="116"/>
      <c r="I388" s="118"/>
      <c r="J388" s="118"/>
      <c r="L388" s="125"/>
    </row>
    <row r="389" spans="1:12" x14ac:dyDescent="0.25">
      <c r="A389" s="115"/>
      <c r="B389" s="115"/>
      <c r="C389" s="115"/>
      <c r="D389" s="115"/>
      <c r="E389" s="115"/>
      <c r="F389" s="115"/>
      <c r="G389" s="116"/>
      <c r="I389" s="118"/>
      <c r="J389" s="118"/>
      <c r="L389" s="125"/>
    </row>
    <row r="390" spans="1:12" x14ac:dyDescent="0.25">
      <c r="A390" s="115"/>
      <c r="B390" s="115"/>
      <c r="C390" s="115"/>
      <c r="D390" s="115"/>
      <c r="E390" s="115"/>
      <c r="F390" s="115"/>
      <c r="G390" s="116"/>
      <c r="I390" s="118"/>
      <c r="J390" s="118"/>
      <c r="L390" s="125"/>
    </row>
    <row r="391" spans="1:12" x14ac:dyDescent="0.25">
      <c r="A391" s="115"/>
      <c r="B391" s="115"/>
      <c r="C391" s="115"/>
      <c r="D391" s="115"/>
      <c r="E391" s="115"/>
      <c r="F391" s="115"/>
      <c r="G391" s="116"/>
      <c r="I391" s="118"/>
      <c r="J391" s="118"/>
      <c r="L391" s="125"/>
    </row>
    <row r="392" spans="1:12" x14ac:dyDescent="0.25">
      <c r="A392" s="115"/>
      <c r="B392" s="115"/>
      <c r="C392" s="115"/>
      <c r="D392" s="115"/>
      <c r="E392" s="115"/>
      <c r="F392" s="115"/>
      <c r="G392" s="116"/>
      <c r="I392" s="118"/>
      <c r="J392" s="118"/>
      <c r="L392" s="125"/>
    </row>
    <row r="393" spans="1:12" x14ac:dyDescent="0.25">
      <c r="A393" s="115"/>
      <c r="B393" s="115"/>
      <c r="C393" s="115"/>
      <c r="D393" s="115"/>
      <c r="E393" s="115"/>
      <c r="F393" s="115"/>
      <c r="G393" s="116"/>
      <c r="I393" s="118"/>
      <c r="J393" s="118"/>
      <c r="L393" s="125"/>
    </row>
    <row r="394" spans="1:12" x14ac:dyDescent="0.25">
      <c r="A394" s="115"/>
      <c r="B394" s="115"/>
      <c r="C394" s="115"/>
      <c r="D394" s="115"/>
      <c r="E394" s="115"/>
      <c r="F394" s="115"/>
      <c r="G394" s="116"/>
      <c r="I394" s="118"/>
      <c r="J394" s="118"/>
      <c r="L394" s="125"/>
    </row>
    <row r="395" spans="1:12" x14ac:dyDescent="0.25">
      <c r="A395" s="115"/>
      <c r="B395" s="115"/>
      <c r="C395" s="115"/>
      <c r="D395" s="115"/>
      <c r="E395" s="115"/>
      <c r="F395" s="115"/>
      <c r="G395" s="116"/>
      <c r="I395" s="118"/>
      <c r="J395" s="118"/>
      <c r="L395" s="125"/>
    </row>
    <row r="396" spans="1:12" x14ac:dyDescent="0.25">
      <c r="A396" s="115"/>
      <c r="B396" s="115"/>
      <c r="C396" s="115"/>
      <c r="D396" s="115"/>
      <c r="E396" s="115"/>
      <c r="F396" s="115"/>
      <c r="G396" s="116"/>
      <c r="I396" s="118"/>
      <c r="J396" s="118"/>
      <c r="L396" s="125"/>
    </row>
    <row r="397" spans="1:12" x14ac:dyDescent="0.25">
      <c r="A397" s="115"/>
      <c r="B397" s="115"/>
      <c r="C397" s="115"/>
      <c r="D397" s="115"/>
      <c r="E397" s="115"/>
      <c r="F397" s="115"/>
      <c r="G397" s="116"/>
      <c r="I397" s="118"/>
      <c r="J397" s="118"/>
      <c r="L397" s="125"/>
    </row>
    <row r="398" spans="1:12" x14ac:dyDescent="0.25">
      <c r="A398" s="115"/>
      <c r="B398" s="115"/>
      <c r="C398" s="115"/>
      <c r="D398" s="115"/>
      <c r="E398" s="115"/>
      <c r="F398" s="115"/>
      <c r="G398" s="116"/>
      <c r="I398" s="118"/>
      <c r="J398" s="118"/>
      <c r="L398" s="125"/>
    </row>
    <row r="399" spans="1:12" x14ac:dyDescent="0.25">
      <c r="A399" s="115"/>
      <c r="B399" s="115"/>
      <c r="C399" s="115"/>
      <c r="D399" s="115"/>
      <c r="E399" s="115"/>
      <c r="F399" s="115"/>
      <c r="G399" s="116"/>
      <c r="I399" s="118"/>
      <c r="J399" s="118"/>
      <c r="L399" s="125"/>
    </row>
    <row r="400" spans="1:12" x14ac:dyDescent="0.25">
      <c r="A400" s="115"/>
      <c r="B400" s="115"/>
      <c r="C400" s="115"/>
      <c r="D400" s="115"/>
      <c r="E400" s="115"/>
      <c r="F400" s="115"/>
      <c r="G400" s="116"/>
      <c r="I400" s="118"/>
      <c r="J400" s="118"/>
      <c r="L400" s="125"/>
    </row>
    <row r="401" spans="1:12" x14ac:dyDescent="0.25">
      <c r="A401" s="115"/>
      <c r="B401" s="115"/>
      <c r="C401" s="115"/>
      <c r="D401" s="115"/>
      <c r="E401" s="115"/>
      <c r="F401" s="115"/>
      <c r="G401" s="116"/>
      <c r="I401" s="118"/>
      <c r="J401" s="118"/>
      <c r="L401" s="125"/>
    </row>
    <row r="402" spans="1:12" x14ac:dyDescent="0.25">
      <c r="A402" s="115"/>
      <c r="B402" s="115"/>
      <c r="C402" s="115"/>
      <c r="D402" s="115"/>
      <c r="E402" s="115"/>
      <c r="F402" s="115"/>
      <c r="G402" s="116"/>
      <c r="I402" s="118"/>
      <c r="J402" s="118"/>
      <c r="L402" s="125"/>
    </row>
    <row r="403" spans="1:12" x14ac:dyDescent="0.25">
      <c r="A403" s="115"/>
      <c r="B403" s="115"/>
      <c r="C403" s="115"/>
      <c r="D403" s="115"/>
      <c r="E403" s="115"/>
      <c r="F403" s="115"/>
      <c r="G403" s="116"/>
      <c r="I403" s="118"/>
      <c r="J403" s="118"/>
      <c r="L403" s="125"/>
    </row>
    <row r="404" spans="1:12" x14ac:dyDescent="0.25">
      <c r="A404" s="115"/>
      <c r="B404" s="115"/>
      <c r="C404" s="115"/>
      <c r="D404" s="115"/>
      <c r="E404" s="115"/>
      <c r="F404" s="115"/>
      <c r="G404" s="116"/>
      <c r="I404" s="118"/>
      <c r="J404" s="118"/>
      <c r="L404" s="125"/>
    </row>
    <row r="405" spans="1:12" x14ac:dyDescent="0.25">
      <c r="A405" s="115"/>
      <c r="B405" s="115"/>
      <c r="C405" s="115"/>
      <c r="D405" s="115"/>
      <c r="E405" s="115"/>
      <c r="F405" s="115"/>
      <c r="G405" s="116"/>
      <c r="I405" s="118"/>
      <c r="J405" s="118"/>
      <c r="L405" s="125"/>
    </row>
    <row r="406" spans="1:12" x14ac:dyDescent="0.25">
      <c r="A406" s="115"/>
      <c r="B406" s="115"/>
      <c r="C406" s="115"/>
      <c r="D406" s="115"/>
      <c r="E406" s="115"/>
      <c r="F406" s="115"/>
      <c r="G406" s="116"/>
      <c r="I406" s="118"/>
      <c r="J406" s="118"/>
      <c r="L406" s="125"/>
    </row>
    <row r="407" spans="1:12" x14ac:dyDescent="0.25">
      <c r="A407" s="115"/>
      <c r="B407" s="115"/>
      <c r="C407" s="115"/>
      <c r="D407" s="115"/>
      <c r="E407" s="115"/>
      <c r="F407" s="115"/>
      <c r="G407" s="116"/>
      <c r="I407" s="118"/>
      <c r="J407" s="118"/>
      <c r="L407" s="125"/>
    </row>
    <row r="408" spans="1:12" x14ac:dyDescent="0.25">
      <c r="A408" s="115"/>
      <c r="B408" s="115"/>
      <c r="C408" s="115"/>
      <c r="D408" s="115"/>
      <c r="E408" s="115"/>
      <c r="F408" s="115"/>
      <c r="G408" s="116"/>
      <c r="I408" s="118"/>
      <c r="J408" s="118"/>
      <c r="L408" s="125"/>
    </row>
    <row r="409" spans="1:12" x14ac:dyDescent="0.25">
      <c r="A409" s="115"/>
      <c r="B409" s="115"/>
      <c r="C409" s="115"/>
      <c r="D409" s="115"/>
      <c r="E409" s="115"/>
      <c r="F409" s="115"/>
      <c r="G409" s="116"/>
      <c r="I409" s="118"/>
      <c r="J409" s="118"/>
      <c r="L409" s="125"/>
    </row>
    <row r="410" spans="1:12" x14ac:dyDescent="0.25">
      <c r="A410" s="115"/>
      <c r="B410" s="115"/>
      <c r="C410" s="115"/>
      <c r="D410" s="115"/>
      <c r="E410" s="115"/>
      <c r="F410" s="115"/>
      <c r="G410" s="116"/>
      <c r="I410" s="118"/>
      <c r="J410" s="118"/>
      <c r="L410" s="125"/>
    </row>
    <row r="411" spans="1:12" x14ac:dyDescent="0.25">
      <c r="A411" s="115"/>
      <c r="B411" s="115"/>
      <c r="C411" s="115"/>
      <c r="D411" s="115"/>
      <c r="E411" s="115"/>
      <c r="F411" s="115"/>
      <c r="G411" s="116"/>
      <c r="I411" s="118"/>
      <c r="J411" s="118"/>
      <c r="L411" s="125"/>
    </row>
    <row r="412" spans="1:12" x14ac:dyDescent="0.25">
      <c r="A412" s="115"/>
      <c r="B412" s="115"/>
      <c r="C412" s="115"/>
      <c r="D412" s="115"/>
      <c r="E412" s="115"/>
      <c r="F412" s="115"/>
      <c r="G412" s="116"/>
      <c r="I412" s="118"/>
      <c r="J412" s="118"/>
      <c r="L412" s="125"/>
    </row>
    <row r="413" spans="1:12" x14ac:dyDescent="0.25">
      <c r="A413" s="115"/>
      <c r="B413" s="115"/>
      <c r="C413" s="115"/>
      <c r="D413" s="115"/>
      <c r="E413" s="115"/>
      <c r="F413" s="115"/>
      <c r="G413" s="116"/>
      <c r="I413" s="118"/>
      <c r="J413" s="118"/>
      <c r="L413" s="125"/>
    </row>
    <row r="414" spans="1:12" x14ac:dyDescent="0.25">
      <c r="A414" s="115"/>
      <c r="B414" s="115"/>
      <c r="C414" s="115"/>
      <c r="D414" s="115"/>
      <c r="E414" s="115"/>
      <c r="F414" s="115"/>
      <c r="G414" s="116"/>
      <c r="I414" s="118"/>
      <c r="J414" s="118"/>
      <c r="L414" s="125"/>
    </row>
    <row r="415" spans="1:12" x14ac:dyDescent="0.25">
      <c r="A415" s="115"/>
      <c r="B415" s="115"/>
      <c r="C415" s="115"/>
      <c r="D415" s="115"/>
      <c r="E415" s="115"/>
      <c r="F415" s="115"/>
      <c r="G415" s="116"/>
      <c r="I415" s="118"/>
      <c r="J415" s="118"/>
      <c r="L415" s="125"/>
    </row>
    <row r="416" spans="1:12" x14ac:dyDescent="0.25">
      <c r="A416" s="115"/>
      <c r="B416" s="115"/>
      <c r="C416" s="115"/>
      <c r="D416" s="115"/>
      <c r="E416" s="115"/>
      <c r="F416" s="115"/>
      <c r="G416" s="116"/>
      <c r="I416" s="118"/>
      <c r="J416" s="118"/>
      <c r="L416" s="125"/>
    </row>
    <row r="417" spans="1:12" x14ac:dyDescent="0.25">
      <c r="A417" s="115"/>
      <c r="B417" s="115"/>
      <c r="C417" s="115"/>
      <c r="D417" s="115"/>
      <c r="E417" s="115"/>
      <c r="F417" s="115"/>
      <c r="G417" s="116"/>
      <c r="I417" s="118"/>
      <c r="J417" s="118"/>
      <c r="L417" s="125"/>
    </row>
    <row r="418" spans="1:12" x14ac:dyDescent="0.25">
      <c r="A418" s="115"/>
      <c r="B418" s="115"/>
      <c r="C418" s="115"/>
      <c r="D418" s="115"/>
      <c r="E418" s="115"/>
      <c r="F418" s="115"/>
      <c r="G418" s="116"/>
      <c r="I418" s="118"/>
      <c r="J418" s="118"/>
      <c r="L418" s="125"/>
    </row>
    <row r="419" spans="1:12" x14ac:dyDescent="0.25">
      <c r="A419" s="115"/>
      <c r="B419" s="115"/>
      <c r="C419" s="115"/>
      <c r="D419" s="115"/>
      <c r="E419" s="115"/>
      <c r="F419" s="115"/>
      <c r="G419" s="116"/>
      <c r="I419" s="118"/>
      <c r="J419" s="118"/>
      <c r="L419" s="125"/>
    </row>
    <row r="420" spans="1:12" x14ac:dyDescent="0.25">
      <c r="A420" s="115"/>
      <c r="B420" s="115"/>
      <c r="C420" s="115"/>
      <c r="D420" s="115"/>
      <c r="E420" s="115"/>
      <c r="F420" s="115"/>
      <c r="G420" s="116"/>
      <c r="I420" s="118"/>
      <c r="J420" s="118"/>
      <c r="L420" s="125"/>
    </row>
    <row r="421" spans="1:12" x14ac:dyDescent="0.25">
      <c r="A421" s="115"/>
      <c r="B421" s="115"/>
      <c r="C421" s="115"/>
      <c r="D421" s="115"/>
      <c r="E421" s="115"/>
      <c r="F421" s="115"/>
      <c r="G421" s="116"/>
      <c r="I421" s="118"/>
      <c r="J421" s="118"/>
      <c r="L421" s="125"/>
    </row>
    <row r="422" spans="1:12" x14ac:dyDescent="0.25">
      <c r="A422" s="115"/>
      <c r="B422" s="115"/>
      <c r="C422" s="115"/>
      <c r="D422" s="115"/>
      <c r="E422" s="115"/>
      <c r="F422" s="115"/>
      <c r="G422" s="116"/>
      <c r="I422" s="118"/>
      <c r="J422" s="118"/>
      <c r="L422" s="125"/>
    </row>
    <row r="423" spans="1:12" x14ac:dyDescent="0.25">
      <c r="A423" s="115"/>
      <c r="B423" s="115"/>
      <c r="C423" s="115"/>
      <c r="D423" s="115"/>
      <c r="E423" s="115"/>
      <c r="F423" s="115"/>
      <c r="G423" s="116"/>
      <c r="I423" s="118"/>
      <c r="J423" s="118"/>
      <c r="L423" s="125"/>
    </row>
    <row r="424" spans="1:12" x14ac:dyDescent="0.25">
      <c r="A424" s="115"/>
      <c r="B424" s="115"/>
      <c r="C424" s="115"/>
      <c r="D424" s="115"/>
      <c r="E424" s="115"/>
      <c r="F424" s="115"/>
      <c r="G424" s="116"/>
      <c r="I424" s="118"/>
      <c r="J424" s="118"/>
      <c r="L424" s="125"/>
    </row>
    <row r="425" spans="1:12" x14ac:dyDescent="0.25">
      <c r="A425" s="115"/>
      <c r="B425" s="115"/>
      <c r="C425" s="115"/>
      <c r="D425" s="115"/>
      <c r="E425" s="115"/>
      <c r="F425" s="115"/>
      <c r="G425" s="116"/>
      <c r="I425" s="118"/>
      <c r="J425" s="118"/>
      <c r="L425" s="125"/>
    </row>
    <row r="426" spans="1:12" x14ac:dyDescent="0.25">
      <c r="A426" s="115"/>
      <c r="B426" s="115"/>
      <c r="C426" s="115"/>
      <c r="D426" s="115"/>
      <c r="E426" s="115"/>
      <c r="F426" s="115"/>
      <c r="G426" s="116"/>
      <c r="I426" s="118"/>
      <c r="J426" s="118"/>
      <c r="L426" s="125"/>
    </row>
    <row r="427" spans="1:12" x14ac:dyDescent="0.25">
      <c r="A427" s="115"/>
      <c r="B427" s="115"/>
      <c r="C427" s="115"/>
      <c r="D427" s="115"/>
      <c r="E427" s="115"/>
      <c r="F427" s="115"/>
      <c r="G427" s="116"/>
      <c r="I427" s="118"/>
      <c r="J427" s="118"/>
      <c r="L427" s="125"/>
    </row>
    <row r="428" spans="1:12" x14ac:dyDescent="0.25">
      <c r="A428" s="115"/>
      <c r="B428" s="115"/>
      <c r="C428" s="115"/>
      <c r="D428" s="115"/>
      <c r="E428" s="115"/>
      <c r="F428" s="115"/>
      <c r="G428" s="116"/>
      <c r="I428" s="118"/>
      <c r="J428" s="118"/>
      <c r="L428" s="125"/>
    </row>
    <row r="429" spans="1:12" x14ac:dyDescent="0.25">
      <c r="A429" s="115"/>
      <c r="B429" s="115"/>
      <c r="C429" s="115"/>
      <c r="D429" s="115"/>
      <c r="E429" s="115"/>
      <c r="F429" s="115"/>
      <c r="G429" s="116"/>
      <c r="I429" s="118"/>
      <c r="J429" s="118"/>
      <c r="L429" s="125"/>
    </row>
    <row r="430" spans="1:12" x14ac:dyDescent="0.25">
      <c r="A430" s="115"/>
      <c r="B430" s="115"/>
      <c r="C430" s="115"/>
      <c r="D430" s="115"/>
      <c r="E430" s="115"/>
      <c r="F430" s="115"/>
      <c r="G430" s="116"/>
      <c r="I430" s="118"/>
      <c r="J430" s="118"/>
      <c r="L430" s="125"/>
    </row>
    <row r="431" spans="1:12" x14ac:dyDescent="0.25">
      <c r="A431" s="115"/>
      <c r="B431" s="115"/>
      <c r="C431" s="115"/>
      <c r="D431" s="115"/>
      <c r="E431" s="115"/>
      <c r="F431" s="115"/>
      <c r="G431" s="116"/>
      <c r="I431" s="118"/>
      <c r="J431" s="118"/>
      <c r="L431" s="125"/>
    </row>
    <row r="432" spans="1:12" x14ac:dyDescent="0.25">
      <c r="A432" s="115"/>
      <c r="B432" s="115"/>
      <c r="C432" s="115"/>
      <c r="D432" s="115"/>
      <c r="E432" s="115"/>
      <c r="F432" s="115"/>
      <c r="G432" s="116"/>
      <c r="I432" s="118"/>
      <c r="J432" s="118"/>
      <c r="L432" s="125"/>
    </row>
    <row r="433" spans="1:12" x14ac:dyDescent="0.25">
      <c r="A433" s="115"/>
      <c r="B433" s="115"/>
      <c r="C433" s="115"/>
      <c r="D433" s="115"/>
      <c r="E433" s="115"/>
      <c r="F433" s="115"/>
      <c r="G433" s="116"/>
      <c r="I433" s="118"/>
      <c r="J433" s="118"/>
      <c r="L433" s="125"/>
    </row>
    <row r="434" spans="1:12" x14ac:dyDescent="0.25">
      <c r="A434" s="115"/>
      <c r="B434" s="115"/>
      <c r="C434" s="115"/>
      <c r="D434" s="115"/>
      <c r="E434" s="115"/>
      <c r="F434" s="115"/>
      <c r="G434" s="116"/>
      <c r="I434" s="118"/>
      <c r="J434" s="118"/>
      <c r="L434" s="125"/>
    </row>
    <row r="435" spans="1:12" x14ac:dyDescent="0.25">
      <c r="A435" s="115"/>
      <c r="B435" s="115"/>
      <c r="C435" s="115"/>
      <c r="D435" s="115"/>
      <c r="E435" s="115"/>
      <c r="F435" s="115"/>
      <c r="G435" s="116"/>
      <c r="I435" s="118"/>
      <c r="J435" s="118"/>
      <c r="L435" s="125"/>
    </row>
    <row r="436" spans="1:12" x14ac:dyDescent="0.25">
      <c r="A436" s="115"/>
      <c r="B436" s="115"/>
      <c r="C436" s="115"/>
      <c r="D436" s="115"/>
      <c r="E436" s="115"/>
      <c r="F436" s="115"/>
      <c r="G436" s="116"/>
      <c r="I436" s="118"/>
      <c r="J436" s="118"/>
      <c r="L436" s="125"/>
    </row>
    <row r="437" spans="1:12" x14ac:dyDescent="0.25">
      <c r="A437" s="115"/>
      <c r="B437" s="115"/>
      <c r="C437" s="115"/>
      <c r="D437" s="115"/>
      <c r="E437" s="115"/>
      <c r="F437" s="115"/>
      <c r="G437" s="116"/>
      <c r="I437" s="118"/>
      <c r="J437" s="118"/>
      <c r="L437" s="125"/>
    </row>
    <row r="438" spans="1:12" x14ac:dyDescent="0.25">
      <c r="A438" s="115"/>
      <c r="B438" s="115"/>
      <c r="C438" s="115"/>
      <c r="D438" s="115"/>
      <c r="E438" s="115"/>
      <c r="F438" s="115"/>
      <c r="G438" s="116"/>
      <c r="I438" s="118"/>
      <c r="J438" s="118"/>
      <c r="L438" s="125"/>
    </row>
    <row r="439" spans="1:12" x14ac:dyDescent="0.25">
      <c r="A439" s="115"/>
      <c r="B439" s="115"/>
      <c r="C439" s="115"/>
      <c r="D439" s="115"/>
      <c r="E439" s="115"/>
      <c r="F439" s="115"/>
      <c r="G439" s="116"/>
      <c r="I439" s="118"/>
      <c r="J439" s="118"/>
      <c r="L439" s="125"/>
    </row>
    <row r="440" spans="1:12" x14ac:dyDescent="0.25">
      <c r="A440" s="115"/>
      <c r="B440" s="115"/>
      <c r="C440" s="115"/>
      <c r="D440" s="115"/>
      <c r="E440" s="115"/>
      <c r="F440" s="115"/>
      <c r="G440" s="116"/>
      <c r="I440" s="118"/>
      <c r="J440" s="118"/>
      <c r="L440" s="125"/>
    </row>
    <row r="441" spans="1:12" x14ac:dyDescent="0.25">
      <c r="A441" s="115"/>
      <c r="B441" s="115"/>
      <c r="C441" s="115"/>
      <c r="D441" s="115"/>
      <c r="E441" s="115"/>
      <c r="F441" s="115"/>
      <c r="G441" s="116"/>
      <c r="I441" s="118"/>
      <c r="J441" s="118"/>
      <c r="L441" s="125"/>
    </row>
    <row r="442" spans="1:12" x14ac:dyDescent="0.25">
      <c r="A442" s="115"/>
      <c r="B442" s="115"/>
      <c r="C442" s="115"/>
      <c r="D442" s="115"/>
      <c r="E442" s="115"/>
      <c r="F442" s="115"/>
      <c r="G442" s="116"/>
      <c r="I442" s="118"/>
      <c r="J442" s="118"/>
      <c r="L442" s="125"/>
    </row>
    <row r="443" spans="1:12" x14ac:dyDescent="0.25">
      <c r="A443" s="115"/>
      <c r="B443" s="115"/>
      <c r="C443" s="115"/>
      <c r="D443" s="115"/>
      <c r="E443" s="115"/>
      <c r="F443" s="115"/>
      <c r="G443" s="116"/>
      <c r="I443" s="118"/>
      <c r="J443" s="118"/>
      <c r="L443" s="125"/>
    </row>
    <row r="444" spans="1:12" x14ac:dyDescent="0.25">
      <c r="A444" s="115"/>
      <c r="B444" s="115"/>
      <c r="C444" s="115"/>
      <c r="D444" s="115"/>
      <c r="E444" s="115"/>
      <c r="F444" s="115"/>
      <c r="G444" s="116"/>
      <c r="I444" s="118"/>
      <c r="J444" s="118"/>
      <c r="L444" s="125"/>
    </row>
    <row r="445" spans="1:12" x14ac:dyDescent="0.25">
      <c r="A445" s="115"/>
      <c r="B445" s="115"/>
      <c r="C445" s="115"/>
      <c r="D445" s="115"/>
      <c r="E445" s="115"/>
      <c r="F445" s="115"/>
      <c r="G445" s="116"/>
      <c r="I445" s="118"/>
      <c r="J445" s="118"/>
      <c r="L445" s="125"/>
    </row>
    <row r="446" spans="1:12" x14ac:dyDescent="0.25">
      <c r="A446" s="115"/>
      <c r="B446" s="115"/>
      <c r="C446" s="115"/>
      <c r="D446" s="115"/>
      <c r="E446" s="115"/>
      <c r="F446" s="115"/>
      <c r="G446" s="116"/>
      <c r="I446" s="118"/>
      <c r="J446" s="118"/>
      <c r="L446" s="125"/>
    </row>
    <row r="447" spans="1:12" x14ac:dyDescent="0.25">
      <c r="A447" s="115"/>
      <c r="B447" s="115"/>
      <c r="C447" s="115"/>
      <c r="D447" s="115"/>
      <c r="E447" s="115"/>
      <c r="F447" s="115"/>
      <c r="G447" s="116"/>
      <c r="I447" s="118"/>
      <c r="J447" s="118"/>
      <c r="L447" s="125"/>
    </row>
    <row r="448" spans="1:12" x14ac:dyDescent="0.25">
      <c r="A448" s="115"/>
      <c r="B448" s="115"/>
      <c r="C448" s="115"/>
      <c r="D448" s="115"/>
      <c r="E448" s="115"/>
      <c r="F448" s="115"/>
      <c r="G448" s="116"/>
      <c r="I448" s="118"/>
      <c r="J448" s="118"/>
      <c r="L448" s="125"/>
    </row>
    <row r="449" spans="1:12" x14ac:dyDescent="0.25">
      <c r="A449" s="115"/>
      <c r="B449" s="115"/>
      <c r="C449" s="115"/>
      <c r="D449" s="115"/>
      <c r="E449" s="115"/>
      <c r="F449" s="115"/>
      <c r="G449" s="116"/>
      <c r="I449" s="118"/>
      <c r="J449" s="118"/>
      <c r="L449" s="125"/>
    </row>
    <row r="450" spans="1:12" x14ac:dyDescent="0.25">
      <c r="A450" s="115"/>
      <c r="B450" s="115"/>
      <c r="C450" s="115"/>
      <c r="D450" s="115"/>
      <c r="E450" s="115"/>
      <c r="F450" s="115"/>
      <c r="G450" s="116"/>
      <c r="I450" s="118"/>
      <c r="J450" s="118"/>
      <c r="L450" s="125"/>
    </row>
    <row r="451" spans="1:12" x14ac:dyDescent="0.25">
      <c r="A451" s="115"/>
      <c r="B451" s="115"/>
      <c r="C451" s="115"/>
      <c r="D451" s="115"/>
      <c r="E451" s="115"/>
      <c r="F451" s="115"/>
      <c r="G451" s="116"/>
      <c r="I451" s="118"/>
      <c r="J451" s="118"/>
      <c r="L451" s="125"/>
    </row>
    <row r="452" spans="1:12" x14ac:dyDescent="0.25">
      <c r="A452" s="115"/>
      <c r="B452" s="115"/>
      <c r="C452" s="115"/>
      <c r="D452" s="115"/>
      <c r="E452" s="115"/>
      <c r="F452" s="115"/>
      <c r="G452" s="116"/>
      <c r="I452" s="118"/>
      <c r="J452" s="118"/>
      <c r="L452" s="125"/>
    </row>
    <row r="453" spans="1:12" x14ac:dyDescent="0.25">
      <c r="A453" s="115"/>
      <c r="B453" s="115"/>
      <c r="C453" s="115"/>
      <c r="D453" s="115"/>
      <c r="E453" s="115"/>
      <c r="F453" s="115"/>
      <c r="G453" s="116"/>
      <c r="I453" s="118"/>
      <c r="J453" s="118"/>
      <c r="L453" s="125"/>
    </row>
    <row r="454" spans="1:12" x14ac:dyDescent="0.25">
      <c r="A454" s="115"/>
      <c r="B454" s="115"/>
      <c r="C454" s="115"/>
      <c r="D454" s="115"/>
      <c r="E454" s="115"/>
      <c r="F454" s="115"/>
      <c r="G454" s="116"/>
      <c r="I454" s="118"/>
      <c r="J454" s="118"/>
      <c r="L454" s="125"/>
    </row>
    <row r="455" spans="1:12" x14ac:dyDescent="0.25">
      <c r="A455" s="115"/>
      <c r="B455" s="115"/>
      <c r="C455" s="115"/>
      <c r="D455" s="115"/>
      <c r="E455" s="115"/>
      <c r="F455" s="115"/>
      <c r="G455" s="116"/>
      <c r="I455" s="118"/>
      <c r="J455" s="118"/>
      <c r="L455" s="125"/>
    </row>
    <row r="456" spans="1:12" x14ac:dyDescent="0.25">
      <c r="A456" s="115"/>
      <c r="B456" s="115"/>
      <c r="C456" s="115"/>
      <c r="D456" s="115"/>
      <c r="E456" s="115"/>
      <c r="F456" s="115"/>
      <c r="G456" s="116"/>
      <c r="I456" s="118"/>
      <c r="J456" s="118"/>
      <c r="L456" s="125"/>
    </row>
    <row r="457" spans="1:12" x14ac:dyDescent="0.25">
      <c r="A457" s="115"/>
      <c r="B457" s="115"/>
      <c r="C457" s="115"/>
      <c r="D457" s="115"/>
      <c r="E457" s="115"/>
      <c r="F457" s="115"/>
      <c r="G457" s="116"/>
      <c r="I457" s="118"/>
      <c r="J457" s="118"/>
      <c r="L457" s="125"/>
    </row>
    <row r="458" spans="1:12" x14ac:dyDescent="0.25">
      <c r="A458" s="115"/>
      <c r="B458" s="115"/>
      <c r="C458" s="115"/>
      <c r="D458" s="115"/>
      <c r="E458" s="115"/>
      <c r="F458" s="115"/>
      <c r="G458" s="116"/>
      <c r="I458" s="118"/>
      <c r="J458" s="118"/>
      <c r="L458" s="125"/>
    </row>
    <row r="459" spans="1:12" x14ac:dyDescent="0.25">
      <c r="A459" s="115"/>
      <c r="B459" s="115"/>
      <c r="C459" s="115"/>
      <c r="D459" s="115"/>
      <c r="E459" s="115"/>
      <c r="F459" s="115"/>
      <c r="G459" s="116"/>
      <c r="I459" s="118"/>
      <c r="J459" s="118"/>
      <c r="L459" s="125"/>
    </row>
    <row r="460" spans="1:12" x14ac:dyDescent="0.25">
      <c r="A460" s="115"/>
      <c r="B460" s="115"/>
      <c r="C460" s="115"/>
      <c r="D460" s="115"/>
      <c r="E460" s="115"/>
      <c r="F460" s="115"/>
      <c r="G460" s="116"/>
      <c r="I460" s="118"/>
      <c r="J460" s="118"/>
      <c r="L460" s="125"/>
    </row>
    <row r="461" spans="1:12" x14ac:dyDescent="0.25">
      <c r="A461" s="115"/>
      <c r="B461" s="115"/>
      <c r="C461" s="115"/>
      <c r="D461" s="115"/>
      <c r="E461" s="115"/>
      <c r="F461" s="115"/>
      <c r="G461" s="116"/>
      <c r="I461" s="118"/>
      <c r="J461" s="118"/>
      <c r="L461" s="125"/>
    </row>
    <row r="462" spans="1:12" x14ac:dyDescent="0.25">
      <c r="A462" s="115"/>
      <c r="B462" s="115"/>
      <c r="C462" s="115"/>
      <c r="D462" s="115"/>
      <c r="E462" s="115"/>
      <c r="F462" s="115"/>
      <c r="G462" s="116"/>
      <c r="I462" s="118"/>
      <c r="J462" s="118"/>
      <c r="L462" s="125"/>
    </row>
    <row r="463" spans="1:12" x14ac:dyDescent="0.25">
      <c r="A463" s="115"/>
      <c r="B463" s="115"/>
      <c r="C463" s="115"/>
      <c r="D463" s="115"/>
      <c r="E463" s="115"/>
      <c r="F463" s="115"/>
      <c r="G463" s="116"/>
      <c r="I463" s="118"/>
      <c r="J463" s="118"/>
      <c r="L463" s="125"/>
    </row>
    <row r="464" spans="1:12" x14ac:dyDescent="0.25">
      <c r="A464" s="115"/>
      <c r="B464" s="115"/>
      <c r="C464" s="115"/>
      <c r="D464" s="115"/>
      <c r="E464" s="115"/>
      <c r="F464" s="115"/>
      <c r="G464" s="116"/>
      <c r="I464" s="118"/>
      <c r="J464" s="118"/>
      <c r="L464" s="125"/>
    </row>
    <row r="465" spans="1:12" x14ac:dyDescent="0.25">
      <c r="A465" s="115"/>
      <c r="B465" s="115"/>
      <c r="C465" s="115"/>
      <c r="D465" s="115"/>
      <c r="E465" s="115"/>
      <c r="F465" s="115"/>
      <c r="G465" s="116"/>
      <c r="I465" s="118"/>
      <c r="J465" s="118"/>
      <c r="L465" s="125"/>
    </row>
    <row r="466" spans="1:12" x14ac:dyDescent="0.25">
      <c r="A466" s="115"/>
      <c r="B466" s="115"/>
      <c r="C466" s="115"/>
      <c r="D466" s="115"/>
      <c r="E466" s="115"/>
      <c r="F466" s="115"/>
      <c r="G466" s="116"/>
      <c r="I466" s="118"/>
      <c r="J466" s="118"/>
      <c r="L466" s="125"/>
    </row>
    <row r="467" spans="1:12" x14ac:dyDescent="0.25">
      <c r="A467" s="115"/>
      <c r="B467" s="115"/>
      <c r="C467" s="115"/>
      <c r="D467" s="115"/>
      <c r="E467" s="115"/>
      <c r="F467" s="115"/>
      <c r="G467" s="116"/>
      <c r="I467" s="118"/>
      <c r="J467" s="118"/>
      <c r="L467" s="125"/>
    </row>
    <row r="468" spans="1:12" x14ac:dyDescent="0.25">
      <c r="A468" s="115"/>
      <c r="B468" s="115"/>
      <c r="C468" s="115"/>
      <c r="D468" s="115"/>
      <c r="E468" s="115"/>
      <c r="F468" s="115"/>
      <c r="G468" s="116"/>
      <c r="I468" s="118"/>
      <c r="J468" s="118"/>
      <c r="L468" s="125"/>
    </row>
    <row r="469" spans="1:12" x14ac:dyDescent="0.25">
      <c r="A469" s="115"/>
      <c r="B469" s="115"/>
      <c r="C469" s="115"/>
      <c r="D469" s="115"/>
      <c r="E469" s="115"/>
      <c r="F469" s="115"/>
      <c r="G469" s="116"/>
      <c r="I469" s="118"/>
      <c r="J469" s="118"/>
      <c r="L469" s="125"/>
    </row>
    <row r="470" spans="1:12" x14ac:dyDescent="0.25">
      <c r="A470" s="115"/>
      <c r="B470" s="115"/>
      <c r="C470" s="115"/>
      <c r="D470" s="115"/>
      <c r="E470" s="115"/>
      <c r="F470" s="115"/>
      <c r="G470" s="116"/>
      <c r="I470" s="118"/>
      <c r="J470" s="118"/>
      <c r="L470" s="125"/>
    </row>
    <row r="471" spans="1:12" x14ac:dyDescent="0.25">
      <c r="A471" s="115"/>
      <c r="B471" s="115"/>
      <c r="C471" s="115"/>
      <c r="D471" s="115"/>
      <c r="E471" s="115"/>
      <c r="F471" s="115"/>
      <c r="G471" s="116"/>
      <c r="I471" s="118"/>
      <c r="J471" s="118"/>
      <c r="L471" s="125"/>
    </row>
    <row r="472" spans="1:12" x14ac:dyDescent="0.25">
      <c r="A472" s="115"/>
      <c r="B472" s="115"/>
      <c r="C472" s="115"/>
      <c r="D472" s="115"/>
      <c r="E472" s="115"/>
      <c r="F472" s="115"/>
      <c r="G472" s="116"/>
      <c r="I472" s="118"/>
      <c r="J472" s="118"/>
      <c r="L472" s="125"/>
    </row>
    <row r="473" spans="1:12" x14ac:dyDescent="0.25">
      <c r="A473" s="115"/>
      <c r="B473" s="115"/>
      <c r="C473" s="115"/>
      <c r="D473" s="115"/>
      <c r="E473" s="115"/>
      <c r="F473" s="115"/>
      <c r="G473" s="116"/>
      <c r="I473" s="118"/>
      <c r="J473" s="118"/>
      <c r="L473" s="125"/>
    </row>
    <row r="474" spans="1:12" x14ac:dyDescent="0.25">
      <c r="A474" s="115"/>
      <c r="B474" s="115"/>
      <c r="C474" s="115"/>
      <c r="D474" s="115"/>
      <c r="E474" s="115"/>
      <c r="F474" s="115"/>
      <c r="G474" s="116"/>
      <c r="I474" s="118"/>
      <c r="J474" s="118"/>
      <c r="L474" s="125"/>
    </row>
    <row r="475" spans="1:12" x14ac:dyDescent="0.25">
      <c r="A475" s="115"/>
      <c r="B475" s="115"/>
      <c r="C475" s="115"/>
      <c r="D475" s="115"/>
      <c r="E475" s="115"/>
      <c r="F475" s="115"/>
      <c r="G475" s="116"/>
      <c r="I475" s="118"/>
      <c r="J475" s="118"/>
      <c r="L475" s="125"/>
    </row>
    <row r="476" spans="1:12" x14ac:dyDescent="0.25">
      <c r="A476" s="115"/>
      <c r="B476" s="115"/>
      <c r="C476" s="115"/>
      <c r="D476" s="115"/>
      <c r="E476" s="115"/>
      <c r="F476" s="115"/>
      <c r="G476" s="116"/>
      <c r="I476" s="118"/>
      <c r="J476" s="118"/>
      <c r="L476" s="125"/>
    </row>
    <row r="477" spans="1:12" x14ac:dyDescent="0.25">
      <c r="A477" s="115"/>
      <c r="B477" s="115"/>
      <c r="C477" s="115"/>
      <c r="D477" s="115"/>
      <c r="E477" s="115"/>
      <c r="F477" s="115"/>
      <c r="G477" s="116"/>
      <c r="I477" s="118"/>
      <c r="J477" s="118"/>
      <c r="L477" s="125"/>
    </row>
    <row r="478" spans="1:12" x14ac:dyDescent="0.25">
      <c r="A478" s="115"/>
      <c r="B478" s="115"/>
      <c r="C478" s="115"/>
      <c r="D478" s="115"/>
      <c r="E478" s="115"/>
      <c r="F478" s="115"/>
      <c r="G478" s="116"/>
      <c r="I478" s="118"/>
      <c r="J478" s="118"/>
      <c r="L478" s="125"/>
    </row>
    <row r="479" spans="1:12" x14ac:dyDescent="0.25">
      <c r="A479" s="115"/>
      <c r="B479" s="115"/>
      <c r="C479" s="115"/>
      <c r="D479" s="115"/>
      <c r="E479" s="115"/>
      <c r="F479" s="115"/>
      <c r="G479" s="116"/>
      <c r="I479" s="118"/>
      <c r="J479" s="118"/>
      <c r="L479" s="125"/>
    </row>
    <row r="480" spans="1:12" x14ac:dyDescent="0.25">
      <c r="A480" s="115"/>
      <c r="B480" s="115"/>
      <c r="C480" s="115"/>
      <c r="D480" s="115"/>
      <c r="E480" s="115"/>
      <c r="F480" s="115"/>
      <c r="G480" s="116"/>
      <c r="I480" s="118"/>
      <c r="J480" s="118"/>
      <c r="L480" s="125"/>
    </row>
    <row r="481" spans="1:12" x14ac:dyDescent="0.25">
      <c r="A481" s="115"/>
      <c r="B481" s="115"/>
      <c r="C481" s="115"/>
      <c r="D481" s="115"/>
      <c r="E481" s="115"/>
      <c r="F481" s="115"/>
      <c r="G481" s="116"/>
      <c r="I481" s="118"/>
      <c r="J481" s="118"/>
      <c r="L481" s="125"/>
    </row>
    <row r="482" spans="1:12" x14ac:dyDescent="0.25">
      <c r="A482" s="115"/>
      <c r="B482" s="115"/>
      <c r="C482" s="115"/>
      <c r="D482" s="115"/>
      <c r="E482" s="115"/>
      <c r="F482" s="115"/>
      <c r="G482" s="116"/>
      <c r="I482" s="118"/>
      <c r="J482" s="118"/>
      <c r="L482" s="125"/>
    </row>
    <row r="483" spans="1:12" x14ac:dyDescent="0.25">
      <c r="A483" s="115"/>
      <c r="B483" s="115"/>
      <c r="C483" s="115"/>
      <c r="D483" s="115"/>
      <c r="E483" s="115"/>
      <c r="F483" s="115"/>
      <c r="G483" s="116"/>
      <c r="I483" s="118"/>
      <c r="J483" s="118"/>
      <c r="L483" s="125"/>
    </row>
    <row r="484" spans="1:12" x14ac:dyDescent="0.25">
      <c r="A484" s="115"/>
      <c r="B484" s="115"/>
      <c r="C484" s="115"/>
      <c r="D484" s="115"/>
      <c r="E484" s="115"/>
      <c r="F484" s="115"/>
      <c r="G484" s="116"/>
      <c r="I484" s="118"/>
      <c r="J484" s="118"/>
      <c r="L484" s="125"/>
    </row>
    <row r="485" spans="1:12" x14ac:dyDescent="0.25">
      <c r="A485" s="115"/>
      <c r="B485" s="115"/>
      <c r="C485" s="115"/>
      <c r="D485" s="115"/>
      <c r="E485" s="115"/>
      <c r="F485" s="115"/>
      <c r="G485" s="116"/>
      <c r="I485" s="118"/>
      <c r="J485" s="118"/>
      <c r="L485" s="125"/>
    </row>
    <row r="486" spans="1:12" x14ac:dyDescent="0.25">
      <c r="A486" s="115"/>
      <c r="B486" s="115"/>
      <c r="C486" s="115"/>
      <c r="D486" s="115"/>
      <c r="E486" s="115"/>
      <c r="F486" s="115"/>
      <c r="G486" s="116"/>
      <c r="I486" s="118"/>
      <c r="J486" s="118"/>
      <c r="L486" s="125"/>
    </row>
    <row r="487" spans="1:12" x14ac:dyDescent="0.25">
      <c r="A487" s="115"/>
      <c r="B487" s="115"/>
      <c r="C487" s="115"/>
      <c r="D487" s="115"/>
      <c r="E487" s="115"/>
      <c r="F487" s="115"/>
      <c r="G487" s="116"/>
      <c r="I487" s="118"/>
      <c r="J487" s="118"/>
      <c r="L487" s="125"/>
    </row>
    <row r="488" spans="1:12" x14ac:dyDescent="0.25">
      <c r="A488" s="115"/>
      <c r="B488" s="115"/>
      <c r="C488" s="115"/>
      <c r="D488" s="115"/>
      <c r="E488" s="115"/>
      <c r="F488" s="115"/>
      <c r="G488" s="116"/>
      <c r="I488" s="118"/>
      <c r="J488" s="118"/>
      <c r="L488" s="125"/>
    </row>
    <row r="489" spans="1:12" x14ac:dyDescent="0.25">
      <c r="A489" s="115"/>
      <c r="B489" s="115"/>
      <c r="C489" s="115"/>
      <c r="D489" s="115"/>
      <c r="E489" s="115"/>
      <c r="F489" s="115"/>
      <c r="G489" s="116"/>
      <c r="I489" s="118"/>
      <c r="J489" s="118"/>
      <c r="L489" s="125"/>
    </row>
    <row r="490" spans="1:12" x14ac:dyDescent="0.25">
      <c r="A490" s="115"/>
      <c r="B490" s="115"/>
      <c r="C490" s="115"/>
      <c r="D490" s="115"/>
      <c r="E490" s="115"/>
      <c r="F490" s="115"/>
      <c r="G490" s="116"/>
      <c r="I490" s="118"/>
      <c r="J490" s="118"/>
      <c r="L490" s="125"/>
    </row>
    <row r="491" spans="1:12" x14ac:dyDescent="0.25">
      <c r="A491" s="115"/>
      <c r="B491" s="115"/>
      <c r="C491" s="115"/>
      <c r="D491" s="115"/>
      <c r="E491" s="115"/>
      <c r="F491" s="115"/>
      <c r="G491" s="116"/>
      <c r="I491" s="118"/>
      <c r="J491" s="118"/>
      <c r="L491" s="125"/>
    </row>
    <row r="492" spans="1:12" x14ac:dyDescent="0.25">
      <c r="A492" s="115"/>
      <c r="B492" s="115"/>
      <c r="C492" s="115"/>
      <c r="D492" s="115"/>
      <c r="E492" s="115"/>
      <c r="F492" s="115"/>
      <c r="G492" s="116"/>
      <c r="I492" s="118"/>
      <c r="J492" s="118"/>
      <c r="L492" s="125"/>
    </row>
    <row r="493" spans="1:12" x14ac:dyDescent="0.25">
      <c r="A493" s="115"/>
      <c r="B493" s="115"/>
      <c r="C493" s="115"/>
      <c r="D493" s="115"/>
      <c r="E493" s="115"/>
      <c r="F493" s="115"/>
      <c r="G493" s="116"/>
      <c r="I493" s="118"/>
      <c r="J493" s="118"/>
      <c r="L493" s="125"/>
    </row>
    <row r="494" spans="1:12" x14ac:dyDescent="0.25">
      <c r="A494" s="115"/>
      <c r="B494" s="115"/>
      <c r="C494" s="115"/>
      <c r="D494" s="115"/>
      <c r="E494" s="115"/>
      <c r="F494" s="115"/>
      <c r="G494" s="116"/>
      <c r="I494" s="118"/>
      <c r="J494" s="118"/>
      <c r="L494" s="125"/>
    </row>
    <row r="495" spans="1:12" x14ac:dyDescent="0.25">
      <c r="A495" s="115"/>
      <c r="B495" s="115"/>
      <c r="C495" s="115"/>
      <c r="D495" s="115"/>
      <c r="E495" s="115"/>
      <c r="F495" s="115"/>
      <c r="G495" s="116"/>
      <c r="I495" s="118"/>
      <c r="J495" s="118"/>
      <c r="L495" s="125"/>
    </row>
    <row r="496" spans="1:12" x14ac:dyDescent="0.25">
      <c r="A496" s="115"/>
      <c r="B496" s="115"/>
      <c r="C496" s="115"/>
      <c r="D496" s="115"/>
      <c r="E496" s="115"/>
      <c r="F496" s="115"/>
      <c r="G496" s="116"/>
      <c r="I496" s="118"/>
      <c r="J496" s="118"/>
      <c r="L496" s="125"/>
    </row>
    <row r="497" spans="1:12" x14ac:dyDescent="0.25">
      <c r="A497" s="115"/>
      <c r="B497" s="115"/>
      <c r="C497" s="115"/>
      <c r="D497" s="115"/>
      <c r="E497" s="115"/>
      <c r="F497" s="115"/>
      <c r="G497" s="116"/>
      <c r="I497" s="118"/>
      <c r="J497" s="118"/>
      <c r="L497" s="125"/>
    </row>
    <row r="498" spans="1:12" x14ac:dyDescent="0.25">
      <c r="A498" s="115"/>
      <c r="B498" s="115"/>
      <c r="C498" s="115"/>
      <c r="D498" s="115"/>
      <c r="E498" s="115"/>
      <c r="F498" s="115"/>
      <c r="G498" s="116"/>
      <c r="I498" s="118"/>
      <c r="J498" s="118"/>
      <c r="L498" s="125"/>
    </row>
    <row r="499" spans="1:12" x14ac:dyDescent="0.25">
      <c r="A499" s="115"/>
      <c r="B499" s="115"/>
      <c r="C499" s="115"/>
      <c r="D499" s="115"/>
      <c r="E499" s="115"/>
      <c r="F499" s="115"/>
      <c r="G499" s="116"/>
      <c r="I499" s="118"/>
      <c r="J499" s="118"/>
      <c r="L499" s="125"/>
    </row>
    <row r="500" spans="1:12" x14ac:dyDescent="0.25">
      <c r="A500" s="115"/>
      <c r="B500" s="115"/>
      <c r="C500" s="115"/>
      <c r="D500" s="115"/>
      <c r="E500" s="115"/>
      <c r="F500" s="115"/>
      <c r="G500" s="116"/>
      <c r="I500" s="118"/>
      <c r="J500" s="118"/>
      <c r="L500" s="125"/>
    </row>
    <row r="501" spans="1:12" x14ac:dyDescent="0.25">
      <c r="A501" s="115"/>
      <c r="B501" s="115"/>
      <c r="C501" s="115"/>
      <c r="D501" s="115"/>
      <c r="E501" s="115"/>
      <c r="F501" s="115"/>
      <c r="G501" s="116"/>
      <c r="I501" s="118"/>
      <c r="J501" s="118"/>
      <c r="L501" s="125"/>
    </row>
    <row r="502" spans="1:12" x14ac:dyDescent="0.25">
      <c r="A502" s="115"/>
      <c r="B502" s="115"/>
      <c r="C502" s="115"/>
      <c r="D502" s="115"/>
      <c r="E502" s="115"/>
      <c r="F502" s="115"/>
      <c r="G502" s="116"/>
      <c r="I502" s="118"/>
      <c r="J502" s="118"/>
      <c r="L502" s="125"/>
    </row>
    <row r="503" spans="1:12" x14ac:dyDescent="0.25">
      <c r="A503" s="115"/>
      <c r="B503" s="115"/>
      <c r="C503" s="115"/>
      <c r="D503" s="115"/>
      <c r="E503" s="115"/>
      <c r="F503" s="115"/>
      <c r="G503" s="116"/>
      <c r="I503" s="118"/>
      <c r="J503" s="118"/>
      <c r="L503" s="125"/>
    </row>
    <row r="504" spans="1:12" x14ac:dyDescent="0.25">
      <c r="A504" s="115"/>
      <c r="B504" s="115"/>
      <c r="C504" s="115"/>
      <c r="D504" s="115"/>
      <c r="E504" s="115"/>
      <c r="F504" s="115"/>
      <c r="G504" s="116"/>
      <c r="I504" s="118"/>
      <c r="J504" s="118"/>
      <c r="L504" s="125"/>
    </row>
    <row r="505" spans="1:12" x14ac:dyDescent="0.25">
      <c r="A505" s="115"/>
      <c r="B505" s="115"/>
      <c r="C505" s="115"/>
      <c r="D505" s="115"/>
      <c r="E505" s="115"/>
      <c r="F505" s="115"/>
      <c r="G505" s="116"/>
      <c r="I505" s="118"/>
      <c r="J505" s="118"/>
      <c r="L505" s="125"/>
    </row>
    <row r="506" spans="1:12" x14ac:dyDescent="0.25">
      <c r="A506" s="115"/>
      <c r="B506" s="115"/>
      <c r="C506" s="115"/>
      <c r="D506" s="115"/>
      <c r="E506" s="115"/>
      <c r="F506" s="115"/>
      <c r="G506" s="116"/>
      <c r="I506" s="118"/>
      <c r="J506" s="118"/>
      <c r="L506" s="125"/>
    </row>
    <row r="507" spans="1:12" x14ac:dyDescent="0.25">
      <c r="A507" s="115"/>
      <c r="B507" s="115"/>
      <c r="C507" s="115"/>
      <c r="D507" s="115"/>
      <c r="E507" s="115"/>
      <c r="F507" s="115"/>
      <c r="G507" s="116"/>
      <c r="I507" s="118"/>
      <c r="J507" s="118"/>
      <c r="L507" s="125"/>
    </row>
    <row r="508" spans="1:12" x14ac:dyDescent="0.25">
      <c r="A508" s="115"/>
      <c r="B508" s="115"/>
      <c r="C508" s="115"/>
      <c r="D508" s="115"/>
      <c r="E508" s="115"/>
      <c r="F508" s="115"/>
      <c r="G508" s="116"/>
      <c r="I508" s="118"/>
      <c r="J508" s="118"/>
      <c r="L508" s="125"/>
    </row>
    <row r="509" spans="1:12" x14ac:dyDescent="0.25">
      <c r="A509" s="115"/>
      <c r="B509" s="115"/>
      <c r="C509" s="115"/>
      <c r="D509" s="115"/>
      <c r="E509" s="115"/>
      <c r="F509" s="115"/>
      <c r="G509" s="116"/>
      <c r="I509" s="118"/>
      <c r="J509" s="118"/>
      <c r="L509" s="125"/>
    </row>
    <row r="510" spans="1:12" x14ac:dyDescent="0.25">
      <c r="A510" s="115"/>
      <c r="B510" s="115"/>
      <c r="C510" s="115"/>
      <c r="D510" s="115"/>
      <c r="E510" s="115"/>
      <c r="F510" s="115"/>
      <c r="G510" s="116"/>
      <c r="I510" s="118"/>
      <c r="J510" s="118"/>
      <c r="L510" s="125"/>
    </row>
    <row r="511" spans="1:12" x14ac:dyDescent="0.25">
      <c r="A511" s="115"/>
      <c r="B511" s="115"/>
      <c r="C511" s="115"/>
      <c r="D511" s="115"/>
      <c r="E511" s="115"/>
      <c r="F511" s="115"/>
      <c r="G511" s="116"/>
      <c r="I511" s="118"/>
      <c r="J511" s="118"/>
      <c r="L511" s="125"/>
    </row>
    <row r="512" spans="1:12" x14ac:dyDescent="0.25">
      <c r="A512" s="115"/>
      <c r="B512" s="115"/>
      <c r="C512" s="115"/>
      <c r="D512" s="115"/>
      <c r="E512" s="115"/>
      <c r="F512" s="115"/>
      <c r="G512" s="116"/>
      <c r="I512" s="118"/>
      <c r="J512" s="118"/>
      <c r="L512" s="125"/>
    </row>
    <row r="513" spans="1:12" x14ac:dyDescent="0.25">
      <c r="A513" s="115"/>
      <c r="B513" s="115"/>
      <c r="C513" s="115"/>
      <c r="D513" s="115"/>
      <c r="E513" s="115"/>
      <c r="F513" s="115"/>
      <c r="G513" s="116"/>
      <c r="I513" s="118"/>
      <c r="J513" s="118"/>
      <c r="L513" s="125"/>
    </row>
    <row r="514" spans="1:12" x14ac:dyDescent="0.25">
      <c r="A514" s="115"/>
      <c r="B514" s="115"/>
      <c r="C514" s="115"/>
      <c r="D514" s="115"/>
      <c r="E514" s="115"/>
      <c r="F514" s="115"/>
      <c r="G514" s="116"/>
      <c r="I514" s="118"/>
      <c r="J514" s="118"/>
      <c r="L514" s="125"/>
    </row>
    <row r="515" spans="1:12" x14ac:dyDescent="0.25">
      <c r="A515" s="115"/>
      <c r="B515" s="115"/>
      <c r="C515" s="115"/>
      <c r="D515" s="115"/>
      <c r="E515" s="115"/>
      <c r="F515" s="115"/>
      <c r="G515" s="116"/>
      <c r="I515" s="118"/>
      <c r="J515" s="118"/>
      <c r="L515" s="125"/>
    </row>
    <row r="516" spans="1:12" x14ac:dyDescent="0.25">
      <c r="A516" s="115"/>
      <c r="B516" s="115"/>
      <c r="C516" s="115"/>
      <c r="D516" s="115"/>
      <c r="E516" s="115"/>
      <c r="F516" s="115"/>
      <c r="G516" s="116"/>
      <c r="I516" s="118"/>
      <c r="J516" s="118"/>
      <c r="L516" s="125"/>
    </row>
    <row r="517" spans="1:12" x14ac:dyDescent="0.25">
      <c r="A517" s="115"/>
      <c r="B517" s="115"/>
      <c r="C517" s="115"/>
      <c r="D517" s="115"/>
      <c r="E517" s="115"/>
      <c r="F517" s="115"/>
      <c r="G517" s="116"/>
      <c r="I517" s="118"/>
      <c r="J517" s="118"/>
      <c r="L517" s="125"/>
    </row>
    <row r="518" spans="1:12" x14ac:dyDescent="0.25">
      <c r="A518" s="115"/>
      <c r="B518" s="115"/>
      <c r="C518" s="115"/>
      <c r="D518" s="115"/>
      <c r="E518" s="115"/>
      <c r="F518" s="115"/>
      <c r="G518" s="116"/>
      <c r="I518" s="118"/>
      <c r="J518" s="118"/>
      <c r="L518" s="125"/>
    </row>
    <row r="519" spans="1:12" x14ac:dyDescent="0.25">
      <c r="A519" s="115"/>
      <c r="B519" s="115"/>
      <c r="C519" s="115"/>
      <c r="D519" s="115"/>
      <c r="E519" s="115"/>
      <c r="F519" s="115"/>
      <c r="G519" s="116"/>
      <c r="I519" s="118"/>
      <c r="J519" s="118"/>
      <c r="L519" s="125"/>
    </row>
    <row r="520" spans="1:12" x14ac:dyDescent="0.25">
      <c r="A520" s="115"/>
      <c r="B520" s="115"/>
      <c r="C520" s="115"/>
      <c r="D520" s="115"/>
      <c r="E520" s="115"/>
      <c r="F520" s="115"/>
      <c r="G520" s="116"/>
      <c r="I520" s="118"/>
      <c r="J520" s="118"/>
      <c r="L520" s="125"/>
    </row>
    <row r="521" spans="1:12" x14ac:dyDescent="0.25">
      <c r="A521" s="115"/>
      <c r="B521" s="115"/>
      <c r="C521" s="115"/>
      <c r="D521" s="115"/>
      <c r="E521" s="115"/>
      <c r="F521" s="115"/>
      <c r="G521" s="116"/>
      <c r="I521" s="118"/>
      <c r="J521" s="118"/>
      <c r="L521" s="125"/>
    </row>
    <row r="522" spans="1:12" x14ac:dyDescent="0.25">
      <c r="A522" s="115"/>
      <c r="B522" s="115"/>
      <c r="C522" s="115"/>
      <c r="D522" s="115"/>
      <c r="E522" s="115"/>
      <c r="F522" s="115"/>
      <c r="G522" s="116"/>
      <c r="I522" s="118"/>
      <c r="J522" s="118"/>
      <c r="L522" s="125"/>
    </row>
    <row r="523" spans="1:12" x14ac:dyDescent="0.25">
      <c r="A523" s="115"/>
      <c r="B523" s="115"/>
      <c r="C523" s="115"/>
      <c r="D523" s="115"/>
      <c r="E523" s="115"/>
      <c r="F523" s="115"/>
      <c r="G523" s="116"/>
      <c r="I523" s="118"/>
      <c r="J523" s="118"/>
      <c r="L523" s="125"/>
    </row>
    <row r="524" spans="1:12" x14ac:dyDescent="0.25">
      <c r="A524" s="115"/>
      <c r="B524" s="115"/>
      <c r="C524" s="115"/>
      <c r="D524" s="115"/>
      <c r="E524" s="115"/>
      <c r="F524" s="115"/>
      <c r="G524" s="116"/>
      <c r="I524" s="118"/>
      <c r="J524" s="118"/>
      <c r="L524" s="125"/>
    </row>
    <row r="525" spans="1:12" x14ac:dyDescent="0.25">
      <c r="A525" s="115"/>
      <c r="B525" s="115"/>
      <c r="C525" s="115"/>
      <c r="D525" s="115"/>
      <c r="E525" s="115"/>
      <c r="F525" s="115"/>
      <c r="G525" s="116"/>
      <c r="I525" s="118"/>
      <c r="J525" s="118"/>
      <c r="L525" s="125"/>
    </row>
    <row r="526" spans="1:12" x14ac:dyDescent="0.25">
      <c r="A526" s="115"/>
      <c r="B526" s="115"/>
      <c r="C526" s="115"/>
      <c r="D526" s="115"/>
      <c r="E526" s="115"/>
      <c r="F526" s="115"/>
      <c r="G526" s="116"/>
      <c r="I526" s="118"/>
      <c r="J526" s="118"/>
      <c r="L526" s="125"/>
    </row>
    <row r="527" spans="1:12" x14ac:dyDescent="0.25">
      <c r="A527" s="115"/>
      <c r="B527" s="115"/>
      <c r="C527" s="115"/>
      <c r="D527" s="115"/>
      <c r="E527" s="115"/>
      <c r="F527" s="115"/>
      <c r="G527" s="116"/>
      <c r="I527" s="118"/>
      <c r="J527" s="118"/>
      <c r="L527" s="125"/>
    </row>
    <row r="528" spans="1:12" x14ac:dyDescent="0.25">
      <c r="A528" s="115"/>
      <c r="B528" s="115"/>
      <c r="C528" s="115"/>
      <c r="D528" s="115"/>
      <c r="E528" s="115"/>
      <c r="F528" s="115"/>
      <c r="G528" s="116"/>
      <c r="I528" s="118"/>
      <c r="J528" s="118"/>
      <c r="L528" s="125"/>
    </row>
    <row r="529" spans="1:12" x14ac:dyDescent="0.25">
      <c r="A529" s="115"/>
      <c r="B529" s="115"/>
      <c r="C529" s="115"/>
      <c r="D529" s="115"/>
      <c r="E529" s="115"/>
      <c r="F529" s="115"/>
      <c r="G529" s="116"/>
      <c r="I529" s="118"/>
      <c r="J529" s="118"/>
      <c r="L529" s="125"/>
    </row>
    <row r="530" spans="1:12" x14ac:dyDescent="0.25">
      <c r="A530" s="115"/>
      <c r="B530" s="115"/>
      <c r="C530" s="115"/>
      <c r="D530" s="115"/>
      <c r="E530" s="115"/>
      <c r="F530" s="115"/>
      <c r="G530" s="116"/>
      <c r="I530" s="118"/>
      <c r="J530" s="118"/>
      <c r="L530" s="125"/>
    </row>
    <row r="531" spans="1:12" x14ac:dyDescent="0.25">
      <c r="A531" s="115"/>
      <c r="B531" s="115"/>
      <c r="C531" s="115"/>
      <c r="D531" s="115"/>
      <c r="E531" s="115"/>
      <c r="F531" s="115"/>
      <c r="G531" s="116"/>
      <c r="I531" s="118"/>
      <c r="J531" s="118"/>
      <c r="L531" s="125"/>
    </row>
    <row r="532" spans="1:12" x14ac:dyDescent="0.25">
      <c r="A532" s="115"/>
      <c r="B532" s="115"/>
      <c r="C532" s="115"/>
      <c r="D532" s="115"/>
      <c r="E532" s="115"/>
      <c r="F532" s="115"/>
      <c r="G532" s="116"/>
      <c r="I532" s="118"/>
      <c r="J532" s="118"/>
      <c r="L532" s="125"/>
    </row>
    <row r="533" spans="1:12" x14ac:dyDescent="0.25">
      <c r="A533" s="115"/>
      <c r="B533" s="115"/>
      <c r="C533" s="115"/>
      <c r="D533" s="115"/>
      <c r="E533" s="115"/>
      <c r="F533" s="115"/>
      <c r="G533" s="116"/>
      <c r="I533" s="118"/>
      <c r="J533" s="118"/>
      <c r="L533" s="125"/>
    </row>
    <row r="534" spans="1:12" x14ac:dyDescent="0.25">
      <c r="A534" s="115"/>
      <c r="B534" s="115"/>
      <c r="C534" s="115"/>
      <c r="D534" s="115"/>
      <c r="E534" s="115"/>
      <c r="F534" s="115"/>
      <c r="G534" s="116"/>
      <c r="I534" s="118"/>
      <c r="J534" s="118"/>
      <c r="L534" s="125"/>
    </row>
    <row r="535" spans="1:12" x14ac:dyDescent="0.25">
      <c r="A535" s="115"/>
      <c r="B535" s="115"/>
      <c r="C535" s="115"/>
      <c r="D535" s="115"/>
      <c r="E535" s="115"/>
      <c r="F535" s="115"/>
      <c r="G535" s="116"/>
      <c r="I535" s="118"/>
      <c r="J535" s="118"/>
      <c r="L535" s="125"/>
    </row>
    <row r="536" spans="1:12" x14ac:dyDescent="0.25">
      <c r="A536" s="115"/>
      <c r="B536" s="115"/>
      <c r="C536" s="115"/>
      <c r="D536" s="115"/>
      <c r="E536" s="115"/>
      <c r="F536" s="115"/>
      <c r="G536" s="116"/>
      <c r="I536" s="118"/>
      <c r="J536" s="118"/>
      <c r="L536" s="125"/>
    </row>
    <row r="537" spans="1:12" x14ac:dyDescent="0.25">
      <c r="A537" s="115"/>
      <c r="B537" s="115"/>
      <c r="C537" s="115"/>
      <c r="D537" s="115"/>
      <c r="E537" s="115"/>
      <c r="F537" s="115"/>
      <c r="G537" s="116"/>
      <c r="I537" s="118"/>
      <c r="J537" s="118"/>
      <c r="L537" s="125"/>
    </row>
    <row r="538" spans="1:12" x14ac:dyDescent="0.25">
      <c r="A538" s="115"/>
      <c r="B538" s="115"/>
      <c r="C538" s="115"/>
      <c r="D538" s="115"/>
      <c r="E538" s="115"/>
      <c r="F538" s="115"/>
      <c r="G538" s="116"/>
      <c r="I538" s="118"/>
      <c r="J538" s="118"/>
      <c r="L538" s="125"/>
    </row>
    <row r="539" spans="1:12" x14ac:dyDescent="0.25">
      <c r="A539" s="115"/>
      <c r="B539" s="115"/>
      <c r="C539" s="115"/>
      <c r="D539" s="115"/>
      <c r="E539" s="115"/>
      <c r="F539" s="115"/>
      <c r="G539" s="116"/>
      <c r="I539" s="118"/>
      <c r="J539" s="118"/>
      <c r="L539" s="125"/>
    </row>
    <row r="540" spans="1:12" x14ac:dyDescent="0.25">
      <c r="A540" s="115"/>
      <c r="B540" s="115"/>
      <c r="C540" s="115"/>
      <c r="D540" s="115"/>
      <c r="E540" s="115"/>
      <c r="F540" s="115"/>
      <c r="G540" s="116"/>
      <c r="I540" s="118"/>
      <c r="J540" s="118"/>
      <c r="L540" s="125"/>
    </row>
    <row r="541" spans="1:12" x14ac:dyDescent="0.25">
      <c r="A541" s="115"/>
      <c r="B541" s="115"/>
      <c r="C541" s="115"/>
      <c r="D541" s="115"/>
      <c r="E541" s="115"/>
      <c r="F541" s="115"/>
      <c r="G541" s="116"/>
      <c r="I541" s="118"/>
      <c r="J541" s="118"/>
      <c r="L541" s="125"/>
    </row>
    <row r="542" spans="1:12" x14ac:dyDescent="0.25">
      <c r="A542" s="115"/>
      <c r="B542" s="115"/>
      <c r="C542" s="115"/>
      <c r="D542" s="115"/>
      <c r="E542" s="115"/>
      <c r="F542" s="115"/>
      <c r="G542" s="116"/>
      <c r="I542" s="118"/>
      <c r="J542" s="118"/>
      <c r="L542" s="125"/>
    </row>
    <row r="543" spans="1:12" x14ac:dyDescent="0.25">
      <c r="A543" s="115"/>
      <c r="B543" s="115"/>
      <c r="C543" s="115"/>
      <c r="D543" s="115"/>
      <c r="E543" s="115"/>
      <c r="F543" s="115"/>
      <c r="G543" s="116"/>
      <c r="I543" s="118"/>
      <c r="J543" s="118"/>
      <c r="L543" s="125"/>
    </row>
    <row r="544" spans="1:12" x14ac:dyDescent="0.25">
      <c r="A544" s="115"/>
      <c r="B544" s="115"/>
      <c r="C544" s="115"/>
      <c r="D544" s="115"/>
      <c r="E544" s="115"/>
      <c r="F544" s="115"/>
      <c r="G544" s="116"/>
      <c r="I544" s="118"/>
      <c r="J544" s="118"/>
      <c r="L544" s="125"/>
    </row>
    <row r="545" spans="1:12" x14ac:dyDescent="0.25">
      <c r="A545" s="115"/>
      <c r="B545" s="115"/>
      <c r="C545" s="115"/>
      <c r="D545" s="115"/>
      <c r="E545" s="115"/>
      <c r="F545" s="115"/>
      <c r="G545" s="116"/>
      <c r="I545" s="118"/>
      <c r="J545" s="118"/>
      <c r="L545" s="125"/>
    </row>
    <row r="546" spans="1:12" x14ac:dyDescent="0.25">
      <c r="A546" s="115"/>
      <c r="B546" s="115"/>
      <c r="C546" s="115"/>
      <c r="D546" s="115"/>
      <c r="E546" s="115"/>
      <c r="F546" s="115"/>
      <c r="G546" s="116"/>
      <c r="I546" s="118"/>
      <c r="J546" s="118"/>
      <c r="L546" s="125"/>
    </row>
    <row r="547" spans="1:12" x14ac:dyDescent="0.25">
      <c r="A547" s="115"/>
      <c r="B547" s="115"/>
      <c r="C547" s="115"/>
      <c r="D547" s="115"/>
      <c r="E547" s="115"/>
      <c r="F547" s="115"/>
      <c r="G547" s="116"/>
      <c r="I547" s="118"/>
      <c r="J547" s="118"/>
      <c r="L547" s="125"/>
    </row>
    <row r="548" spans="1:12" x14ac:dyDescent="0.25">
      <c r="A548" s="115"/>
      <c r="B548" s="115"/>
      <c r="C548" s="115"/>
      <c r="D548" s="115"/>
      <c r="E548" s="115"/>
      <c r="F548" s="115"/>
      <c r="G548" s="116"/>
      <c r="I548" s="118"/>
      <c r="J548" s="118"/>
      <c r="L548" s="125"/>
    </row>
    <row r="549" spans="1:12" x14ac:dyDescent="0.25">
      <c r="A549" s="115"/>
      <c r="B549" s="115"/>
      <c r="C549" s="115"/>
      <c r="D549" s="115"/>
      <c r="E549" s="115"/>
      <c r="F549" s="115"/>
      <c r="G549" s="116"/>
      <c r="I549" s="118"/>
      <c r="J549" s="118"/>
      <c r="L549" s="125"/>
    </row>
    <row r="550" spans="1:12" x14ac:dyDescent="0.25">
      <c r="A550" s="115"/>
      <c r="B550" s="115"/>
      <c r="C550" s="115"/>
      <c r="D550" s="115"/>
      <c r="E550" s="115"/>
      <c r="F550" s="115"/>
      <c r="G550" s="116"/>
      <c r="I550" s="118"/>
      <c r="J550" s="118"/>
      <c r="L550" s="125"/>
    </row>
    <row r="551" spans="1:12" x14ac:dyDescent="0.25">
      <c r="A551" s="115"/>
      <c r="B551" s="115"/>
      <c r="C551" s="115"/>
      <c r="D551" s="115"/>
      <c r="E551" s="115"/>
      <c r="F551" s="115"/>
      <c r="G551" s="116"/>
      <c r="I551" s="118"/>
      <c r="J551" s="118"/>
      <c r="L551" s="125"/>
    </row>
    <row r="552" spans="1:12" x14ac:dyDescent="0.25">
      <c r="A552" s="115"/>
      <c r="B552" s="115"/>
      <c r="C552" s="115"/>
      <c r="D552" s="115"/>
      <c r="E552" s="115"/>
      <c r="F552" s="115"/>
      <c r="G552" s="116"/>
      <c r="I552" s="118"/>
      <c r="J552" s="118"/>
      <c r="L552" s="125"/>
    </row>
    <row r="553" spans="1:12" x14ac:dyDescent="0.25">
      <c r="A553" s="115"/>
      <c r="B553" s="115"/>
      <c r="C553" s="115"/>
      <c r="D553" s="115"/>
      <c r="E553" s="115"/>
      <c r="F553" s="115"/>
      <c r="G553" s="116"/>
      <c r="I553" s="118"/>
      <c r="J553" s="118"/>
      <c r="L553" s="125"/>
    </row>
    <row r="554" spans="1:12" x14ac:dyDescent="0.25">
      <c r="A554" s="115"/>
      <c r="B554" s="115"/>
      <c r="C554" s="115"/>
      <c r="D554" s="115"/>
      <c r="E554" s="115"/>
      <c r="F554" s="115"/>
      <c r="G554" s="116"/>
      <c r="I554" s="118"/>
      <c r="J554" s="118"/>
      <c r="L554" s="125"/>
    </row>
    <row r="555" spans="1:12" x14ac:dyDescent="0.25">
      <c r="A555" s="115"/>
      <c r="B555" s="115"/>
      <c r="C555" s="115"/>
      <c r="D555" s="115"/>
      <c r="E555" s="115"/>
      <c r="F555" s="115"/>
      <c r="G555" s="116"/>
      <c r="I555" s="118"/>
      <c r="J555" s="118"/>
      <c r="L555" s="125"/>
    </row>
    <row r="556" spans="1:12" x14ac:dyDescent="0.25">
      <c r="A556" s="115"/>
      <c r="B556" s="115"/>
      <c r="C556" s="115"/>
      <c r="D556" s="115"/>
      <c r="E556" s="115"/>
      <c r="F556" s="115"/>
      <c r="G556" s="116"/>
      <c r="I556" s="118"/>
      <c r="J556" s="118"/>
      <c r="L556" s="125"/>
    </row>
    <row r="557" spans="1:12" x14ac:dyDescent="0.25">
      <c r="A557" s="115"/>
      <c r="B557" s="115"/>
      <c r="C557" s="115"/>
      <c r="D557" s="115"/>
      <c r="E557" s="115"/>
      <c r="F557" s="115"/>
      <c r="G557" s="116"/>
      <c r="I557" s="118"/>
      <c r="J557" s="118"/>
      <c r="L557" s="125"/>
    </row>
    <row r="558" spans="1:12" x14ac:dyDescent="0.25">
      <c r="A558" s="115"/>
      <c r="B558" s="115"/>
      <c r="C558" s="115"/>
      <c r="D558" s="115"/>
      <c r="E558" s="115"/>
      <c r="F558" s="115"/>
      <c r="G558" s="116"/>
      <c r="I558" s="118"/>
      <c r="J558" s="118"/>
      <c r="L558" s="125"/>
    </row>
    <row r="559" spans="1:12" x14ac:dyDescent="0.25">
      <c r="A559" s="115"/>
      <c r="B559" s="115"/>
      <c r="C559" s="115"/>
      <c r="D559" s="115"/>
      <c r="E559" s="115"/>
      <c r="F559" s="115"/>
      <c r="G559" s="116"/>
      <c r="I559" s="118"/>
      <c r="J559" s="118"/>
      <c r="L559" s="125"/>
    </row>
    <row r="560" spans="1:12" x14ac:dyDescent="0.25">
      <c r="A560" s="115"/>
      <c r="B560" s="115"/>
      <c r="C560" s="115"/>
      <c r="D560" s="115"/>
      <c r="E560" s="115"/>
      <c r="F560" s="115"/>
      <c r="G560" s="116"/>
      <c r="I560" s="118"/>
      <c r="J560" s="118"/>
      <c r="L560" s="125"/>
    </row>
    <row r="561" spans="1:12" x14ac:dyDescent="0.25">
      <c r="A561" s="115"/>
      <c r="B561" s="115"/>
      <c r="C561" s="115"/>
      <c r="D561" s="115"/>
      <c r="E561" s="115"/>
      <c r="F561" s="115"/>
      <c r="G561" s="116"/>
      <c r="I561" s="118"/>
      <c r="J561" s="118"/>
      <c r="L561" s="125"/>
    </row>
    <row r="562" spans="1:12" x14ac:dyDescent="0.25">
      <c r="A562" s="115"/>
      <c r="B562" s="115"/>
      <c r="C562" s="115"/>
      <c r="D562" s="115"/>
      <c r="E562" s="115"/>
      <c r="F562" s="115"/>
      <c r="G562" s="116"/>
      <c r="I562" s="118"/>
      <c r="J562" s="118"/>
      <c r="L562" s="125"/>
    </row>
    <row r="563" spans="1:12" x14ac:dyDescent="0.25">
      <c r="A563" s="115"/>
      <c r="B563" s="115"/>
      <c r="C563" s="115"/>
      <c r="D563" s="115"/>
      <c r="E563" s="115"/>
      <c r="F563" s="115"/>
      <c r="G563" s="116"/>
      <c r="I563" s="118"/>
      <c r="J563" s="118"/>
      <c r="L563" s="125"/>
    </row>
    <row r="564" spans="1:12" x14ac:dyDescent="0.25">
      <c r="A564" s="115"/>
      <c r="B564" s="115"/>
      <c r="C564" s="115"/>
      <c r="D564" s="115"/>
      <c r="E564" s="115"/>
      <c r="F564" s="115"/>
      <c r="G564" s="116"/>
      <c r="I564" s="118"/>
      <c r="J564" s="118"/>
      <c r="L564" s="125"/>
    </row>
    <row r="565" spans="1:12" x14ac:dyDescent="0.25">
      <c r="A565" s="115"/>
      <c r="B565" s="115"/>
      <c r="C565" s="115"/>
      <c r="D565" s="115"/>
      <c r="E565" s="115"/>
      <c r="F565" s="115"/>
      <c r="G565" s="116"/>
      <c r="I565" s="118"/>
      <c r="J565" s="118"/>
      <c r="L565" s="125"/>
    </row>
    <row r="566" spans="1:12" x14ac:dyDescent="0.25">
      <c r="A566" s="115"/>
      <c r="B566" s="115"/>
      <c r="C566" s="115"/>
      <c r="D566" s="115"/>
      <c r="E566" s="115"/>
      <c r="F566" s="115"/>
      <c r="G566" s="116"/>
      <c r="I566" s="118"/>
      <c r="J566" s="118"/>
      <c r="L566" s="125"/>
    </row>
    <row r="567" spans="1:12" x14ac:dyDescent="0.25">
      <c r="A567" s="115"/>
      <c r="B567" s="115"/>
      <c r="C567" s="115"/>
      <c r="D567" s="115"/>
      <c r="E567" s="115"/>
      <c r="F567" s="115"/>
      <c r="G567" s="116"/>
      <c r="I567" s="118"/>
      <c r="J567" s="118"/>
      <c r="L567" s="125"/>
    </row>
    <row r="568" spans="1:12" x14ac:dyDescent="0.25">
      <c r="A568" s="115"/>
      <c r="B568" s="115"/>
      <c r="C568" s="115"/>
      <c r="D568" s="115"/>
      <c r="E568" s="115"/>
      <c r="F568" s="115"/>
      <c r="G568" s="116"/>
      <c r="I568" s="118"/>
      <c r="J568" s="118"/>
      <c r="L568" s="125"/>
    </row>
    <row r="569" spans="1:12" x14ac:dyDescent="0.25">
      <c r="A569" s="115"/>
      <c r="B569" s="115"/>
      <c r="C569" s="115"/>
      <c r="D569" s="115"/>
      <c r="E569" s="115"/>
      <c r="F569" s="115"/>
      <c r="G569" s="116"/>
      <c r="I569" s="118"/>
      <c r="J569" s="118"/>
      <c r="L569" s="125"/>
    </row>
    <row r="570" spans="1:12" x14ac:dyDescent="0.25">
      <c r="A570" s="115"/>
      <c r="B570" s="115"/>
      <c r="C570" s="115"/>
      <c r="D570" s="115"/>
      <c r="E570" s="115"/>
      <c r="F570" s="115"/>
      <c r="G570" s="116"/>
      <c r="I570" s="118"/>
      <c r="J570" s="118"/>
      <c r="L570" s="125"/>
    </row>
    <row r="571" spans="1:12" x14ac:dyDescent="0.25">
      <c r="A571" s="115"/>
      <c r="B571" s="115"/>
      <c r="C571" s="115"/>
      <c r="D571" s="115"/>
      <c r="E571" s="115"/>
      <c r="F571" s="115"/>
      <c r="G571" s="116"/>
      <c r="I571" s="118"/>
      <c r="J571" s="118"/>
      <c r="L571" s="125"/>
    </row>
    <row r="572" spans="1:12" x14ac:dyDescent="0.25">
      <c r="A572" s="115"/>
      <c r="B572" s="115"/>
      <c r="C572" s="115"/>
      <c r="D572" s="115"/>
      <c r="E572" s="115"/>
      <c r="F572" s="115"/>
      <c r="G572" s="116"/>
      <c r="I572" s="118"/>
      <c r="J572" s="118"/>
      <c r="L572" s="125"/>
    </row>
    <row r="573" spans="1:12" x14ac:dyDescent="0.25">
      <c r="A573" s="115"/>
      <c r="B573" s="115"/>
      <c r="C573" s="115"/>
      <c r="D573" s="115"/>
      <c r="E573" s="115"/>
      <c r="F573" s="115"/>
      <c r="G573" s="116"/>
      <c r="I573" s="118"/>
      <c r="J573" s="118"/>
      <c r="L573" s="125"/>
    </row>
    <row r="574" spans="1:12" x14ac:dyDescent="0.25">
      <c r="A574" s="115"/>
      <c r="B574" s="115"/>
      <c r="C574" s="115"/>
      <c r="D574" s="115"/>
      <c r="E574" s="115"/>
      <c r="F574" s="115"/>
      <c r="G574" s="116"/>
      <c r="I574" s="118"/>
      <c r="J574" s="118"/>
      <c r="L574" s="125"/>
    </row>
    <row r="575" spans="1:12" x14ac:dyDescent="0.25">
      <c r="A575" s="115"/>
      <c r="B575" s="115"/>
      <c r="C575" s="115"/>
      <c r="D575" s="115"/>
      <c r="E575" s="115"/>
      <c r="F575" s="115"/>
      <c r="G575" s="116"/>
      <c r="I575" s="118"/>
      <c r="J575" s="118"/>
      <c r="L575" s="125"/>
    </row>
    <row r="576" spans="1:12" x14ac:dyDescent="0.25">
      <c r="A576" s="115"/>
      <c r="B576" s="115"/>
      <c r="C576" s="115"/>
      <c r="D576" s="115"/>
      <c r="E576" s="115"/>
      <c r="F576" s="115"/>
      <c r="G576" s="116"/>
      <c r="I576" s="118"/>
      <c r="J576" s="118"/>
      <c r="L576" s="125"/>
    </row>
    <row r="577" spans="1:12" x14ac:dyDescent="0.25">
      <c r="A577" s="115"/>
      <c r="B577" s="115"/>
      <c r="C577" s="115"/>
      <c r="D577" s="115"/>
      <c r="E577" s="115"/>
      <c r="F577" s="115"/>
      <c r="G577" s="116"/>
      <c r="I577" s="118"/>
      <c r="J577" s="118"/>
      <c r="L577" s="125"/>
    </row>
    <row r="578" spans="1:12" x14ac:dyDescent="0.25">
      <c r="A578" s="115"/>
      <c r="B578" s="115"/>
      <c r="C578" s="115"/>
      <c r="D578" s="115"/>
      <c r="E578" s="115"/>
      <c r="F578" s="115"/>
      <c r="G578" s="116"/>
      <c r="I578" s="118"/>
      <c r="J578" s="118"/>
      <c r="L578" s="125"/>
    </row>
    <row r="579" spans="1:12" x14ac:dyDescent="0.25">
      <c r="A579" s="115"/>
      <c r="B579" s="115"/>
      <c r="C579" s="115"/>
      <c r="D579" s="115"/>
      <c r="E579" s="115"/>
      <c r="F579" s="115"/>
      <c r="G579" s="116"/>
      <c r="I579" s="118"/>
      <c r="J579" s="118"/>
      <c r="L579" s="125"/>
    </row>
    <row r="580" spans="1:12" x14ac:dyDescent="0.25">
      <c r="A580" s="115"/>
      <c r="B580" s="115"/>
      <c r="C580" s="115"/>
      <c r="D580" s="115"/>
      <c r="E580" s="115"/>
      <c r="F580" s="115"/>
      <c r="G580" s="116"/>
      <c r="I580" s="118"/>
      <c r="J580" s="118"/>
      <c r="L580" s="125"/>
    </row>
    <row r="581" spans="1:12" x14ac:dyDescent="0.25">
      <c r="A581" s="115"/>
      <c r="B581" s="115"/>
      <c r="C581" s="115"/>
      <c r="D581" s="115"/>
      <c r="E581" s="115"/>
      <c r="F581" s="115"/>
      <c r="G581" s="116"/>
      <c r="I581" s="118"/>
      <c r="J581" s="118"/>
      <c r="L581" s="125"/>
    </row>
    <row r="582" spans="1:12" x14ac:dyDescent="0.25">
      <c r="A582" s="115"/>
      <c r="B582" s="115"/>
      <c r="C582" s="115"/>
      <c r="D582" s="115"/>
      <c r="E582" s="115"/>
      <c r="F582" s="115"/>
      <c r="G582" s="116"/>
      <c r="I582" s="118"/>
      <c r="J582" s="118"/>
      <c r="L582" s="125"/>
    </row>
    <row r="583" spans="1:12" x14ac:dyDescent="0.25">
      <c r="A583" s="115"/>
      <c r="B583" s="115"/>
      <c r="C583" s="115"/>
      <c r="D583" s="115"/>
      <c r="E583" s="115"/>
      <c r="F583" s="115"/>
      <c r="G583" s="116"/>
      <c r="I583" s="118"/>
      <c r="J583" s="118"/>
      <c r="L583" s="125"/>
    </row>
    <row r="584" spans="1:12" x14ac:dyDescent="0.25">
      <c r="A584" s="115"/>
      <c r="B584" s="115"/>
      <c r="C584" s="115"/>
      <c r="D584" s="115"/>
      <c r="E584" s="115"/>
      <c r="F584" s="115"/>
      <c r="G584" s="116"/>
      <c r="I584" s="118"/>
      <c r="J584" s="118"/>
      <c r="L584" s="125"/>
    </row>
    <row r="585" spans="1:12" x14ac:dyDescent="0.25">
      <c r="A585" s="115"/>
      <c r="B585" s="115"/>
      <c r="C585" s="115"/>
      <c r="D585" s="115"/>
      <c r="E585" s="115"/>
      <c r="F585" s="115"/>
      <c r="G585" s="116"/>
      <c r="I585" s="118"/>
      <c r="J585" s="118"/>
      <c r="L585" s="125"/>
    </row>
    <row r="586" spans="1:12" x14ac:dyDescent="0.25">
      <c r="A586" s="115"/>
      <c r="B586" s="115"/>
      <c r="C586" s="115"/>
      <c r="D586" s="115"/>
      <c r="E586" s="115"/>
      <c r="F586" s="115"/>
      <c r="G586" s="116"/>
      <c r="I586" s="118"/>
      <c r="J586" s="118"/>
      <c r="L586" s="125"/>
    </row>
    <row r="587" spans="1:12" x14ac:dyDescent="0.25">
      <c r="A587" s="115"/>
      <c r="B587" s="115"/>
      <c r="C587" s="115"/>
      <c r="D587" s="115"/>
      <c r="E587" s="115"/>
      <c r="F587" s="115"/>
      <c r="G587" s="116"/>
      <c r="I587" s="118"/>
      <c r="J587" s="118"/>
      <c r="L587" s="125"/>
    </row>
    <row r="588" spans="1:12" x14ac:dyDescent="0.25">
      <c r="A588" s="115"/>
      <c r="B588" s="115"/>
      <c r="C588" s="115"/>
      <c r="D588" s="115"/>
      <c r="E588" s="115"/>
      <c r="F588" s="115"/>
      <c r="G588" s="116"/>
      <c r="I588" s="118"/>
      <c r="J588" s="118"/>
      <c r="L588" s="125"/>
    </row>
    <row r="589" spans="1:12" x14ac:dyDescent="0.25">
      <c r="A589" s="115"/>
      <c r="B589" s="115"/>
      <c r="C589" s="115"/>
      <c r="D589" s="115"/>
      <c r="E589" s="115"/>
      <c r="F589" s="115"/>
      <c r="G589" s="116"/>
      <c r="I589" s="118"/>
      <c r="J589" s="118"/>
      <c r="L589" s="125"/>
    </row>
    <row r="590" spans="1:12" x14ac:dyDescent="0.25">
      <c r="A590" s="115"/>
      <c r="B590" s="115"/>
      <c r="C590" s="115"/>
      <c r="D590" s="115"/>
      <c r="E590" s="115"/>
      <c r="F590" s="115"/>
      <c r="G590" s="116"/>
      <c r="I590" s="118"/>
      <c r="J590" s="118"/>
      <c r="L590" s="125"/>
    </row>
    <row r="591" spans="1:12" x14ac:dyDescent="0.25">
      <c r="A591" s="115"/>
      <c r="B591" s="115"/>
      <c r="C591" s="115"/>
      <c r="D591" s="115"/>
      <c r="E591" s="115"/>
      <c r="F591" s="115"/>
      <c r="G591" s="116"/>
      <c r="I591" s="118"/>
      <c r="J591" s="118"/>
      <c r="L591" s="125"/>
    </row>
    <row r="592" spans="1:12" x14ac:dyDescent="0.25">
      <c r="A592" s="115"/>
      <c r="B592" s="115"/>
      <c r="C592" s="115"/>
      <c r="D592" s="115"/>
      <c r="E592" s="115"/>
      <c r="F592" s="115"/>
      <c r="G592" s="116"/>
      <c r="I592" s="118"/>
      <c r="J592" s="118"/>
      <c r="L592" s="125"/>
    </row>
    <row r="593" spans="1:12" x14ac:dyDescent="0.25">
      <c r="A593" s="115"/>
      <c r="B593" s="115"/>
      <c r="C593" s="115"/>
      <c r="D593" s="115"/>
      <c r="E593" s="115"/>
      <c r="F593" s="115"/>
      <c r="G593" s="116"/>
      <c r="I593" s="118"/>
      <c r="J593" s="118"/>
      <c r="L593" s="125"/>
    </row>
    <row r="594" spans="1:12" x14ac:dyDescent="0.25">
      <c r="A594" s="115"/>
      <c r="B594" s="115"/>
      <c r="C594" s="115"/>
      <c r="D594" s="115"/>
      <c r="E594" s="115"/>
      <c r="F594" s="115"/>
      <c r="G594" s="116"/>
      <c r="I594" s="118"/>
      <c r="J594" s="118"/>
      <c r="L594" s="125"/>
    </row>
    <row r="595" spans="1:12" x14ac:dyDescent="0.25">
      <c r="A595" s="115"/>
      <c r="B595" s="115"/>
      <c r="C595" s="115"/>
      <c r="D595" s="115"/>
      <c r="E595" s="115"/>
      <c r="F595" s="115"/>
      <c r="G595" s="116"/>
      <c r="I595" s="118"/>
      <c r="J595" s="118"/>
      <c r="L595" s="125"/>
    </row>
    <row r="596" spans="1:12" x14ac:dyDescent="0.25">
      <c r="A596" s="115"/>
      <c r="B596" s="115"/>
      <c r="C596" s="115"/>
      <c r="D596" s="115"/>
      <c r="E596" s="115"/>
      <c r="F596" s="115"/>
      <c r="G596" s="116"/>
      <c r="I596" s="118"/>
      <c r="J596" s="118"/>
      <c r="L596" s="125"/>
    </row>
    <row r="597" spans="1:12" x14ac:dyDescent="0.25">
      <c r="A597" s="115"/>
      <c r="B597" s="115"/>
      <c r="C597" s="115"/>
      <c r="D597" s="115"/>
      <c r="E597" s="115"/>
      <c r="F597" s="115"/>
      <c r="G597" s="116"/>
      <c r="I597" s="118"/>
      <c r="J597" s="118"/>
      <c r="L597" s="125"/>
    </row>
    <row r="598" spans="1:12" x14ac:dyDescent="0.25">
      <c r="A598" s="115"/>
      <c r="B598" s="115"/>
      <c r="C598" s="115"/>
      <c r="D598" s="115"/>
      <c r="E598" s="115"/>
      <c r="F598" s="115"/>
      <c r="G598" s="116"/>
      <c r="I598" s="118"/>
      <c r="J598" s="118"/>
      <c r="L598" s="125"/>
    </row>
    <row r="599" spans="1:12" x14ac:dyDescent="0.25">
      <c r="A599" s="115"/>
      <c r="B599" s="115"/>
      <c r="C599" s="115"/>
      <c r="D599" s="115"/>
      <c r="E599" s="115"/>
      <c r="F599" s="115"/>
      <c r="G599" s="116"/>
      <c r="I599" s="118"/>
      <c r="J599" s="118"/>
      <c r="L599" s="125"/>
    </row>
    <row r="600" spans="1:12" x14ac:dyDescent="0.25">
      <c r="A600" s="115"/>
      <c r="B600" s="115"/>
      <c r="C600" s="115"/>
      <c r="D600" s="115"/>
      <c r="E600" s="115"/>
      <c r="F600" s="115"/>
      <c r="G600" s="116"/>
      <c r="I600" s="118"/>
      <c r="J600" s="118"/>
      <c r="L600" s="125"/>
    </row>
    <row r="601" spans="1:12" x14ac:dyDescent="0.25">
      <c r="A601" s="115"/>
      <c r="B601" s="115"/>
      <c r="C601" s="115"/>
      <c r="D601" s="115"/>
      <c r="E601" s="115"/>
      <c r="F601" s="115"/>
      <c r="G601" s="116"/>
      <c r="I601" s="118"/>
      <c r="J601" s="118"/>
      <c r="L601" s="125"/>
    </row>
    <row r="602" spans="1:12" x14ac:dyDescent="0.25">
      <c r="A602" s="115"/>
      <c r="B602" s="115"/>
      <c r="C602" s="115"/>
      <c r="D602" s="115"/>
      <c r="E602" s="115"/>
      <c r="F602" s="115"/>
      <c r="G602" s="116"/>
      <c r="I602" s="118"/>
      <c r="J602" s="118"/>
      <c r="L602" s="125"/>
    </row>
    <row r="603" spans="1:12" x14ac:dyDescent="0.25">
      <c r="A603" s="115"/>
      <c r="B603" s="115"/>
      <c r="C603" s="115"/>
      <c r="D603" s="115"/>
      <c r="E603" s="115"/>
      <c r="F603" s="115"/>
      <c r="G603" s="116"/>
      <c r="I603" s="118"/>
      <c r="J603" s="118"/>
      <c r="L603" s="125"/>
    </row>
    <row r="604" spans="1:12" x14ac:dyDescent="0.25">
      <c r="A604" s="115"/>
      <c r="B604" s="115"/>
      <c r="C604" s="115"/>
      <c r="D604" s="115"/>
      <c r="E604" s="115"/>
      <c r="F604" s="115"/>
      <c r="G604" s="116"/>
      <c r="I604" s="118"/>
      <c r="J604" s="118"/>
      <c r="L604" s="125"/>
    </row>
    <row r="605" spans="1:12" x14ac:dyDescent="0.25">
      <c r="A605" s="115"/>
      <c r="B605" s="115"/>
      <c r="C605" s="115"/>
      <c r="D605" s="115"/>
      <c r="E605" s="115"/>
      <c r="F605" s="115"/>
      <c r="G605" s="116"/>
      <c r="I605" s="118"/>
      <c r="J605" s="118"/>
      <c r="L605" s="125"/>
    </row>
    <row r="606" spans="1:12" x14ac:dyDescent="0.25">
      <c r="A606" s="115"/>
      <c r="B606" s="115"/>
      <c r="C606" s="115"/>
      <c r="D606" s="115"/>
      <c r="E606" s="115"/>
      <c r="F606" s="115"/>
      <c r="G606" s="116"/>
      <c r="I606" s="118"/>
      <c r="J606" s="118"/>
      <c r="L606" s="125"/>
    </row>
    <row r="607" spans="1:12" x14ac:dyDescent="0.25">
      <c r="A607" s="115"/>
      <c r="B607" s="115"/>
      <c r="C607" s="115"/>
      <c r="D607" s="115"/>
      <c r="E607" s="115"/>
      <c r="F607" s="115"/>
      <c r="G607" s="116"/>
      <c r="I607" s="118"/>
      <c r="J607" s="118"/>
      <c r="L607" s="125"/>
    </row>
    <row r="608" spans="1:12" x14ac:dyDescent="0.25">
      <c r="A608" s="115"/>
      <c r="B608" s="115"/>
      <c r="C608" s="115"/>
      <c r="D608" s="115"/>
      <c r="E608" s="115"/>
      <c r="F608" s="115"/>
      <c r="G608" s="116"/>
      <c r="I608" s="118"/>
      <c r="J608" s="118"/>
      <c r="L608" s="125"/>
    </row>
    <row r="609" spans="1:12" x14ac:dyDescent="0.25">
      <c r="A609" s="115"/>
      <c r="B609" s="115"/>
      <c r="C609" s="115"/>
      <c r="D609" s="115"/>
      <c r="E609" s="115"/>
      <c r="F609" s="115"/>
      <c r="G609" s="116"/>
      <c r="I609" s="118"/>
      <c r="J609" s="118"/>
      <c r="L609" s="125"/>
    </row>
    <row r="610" spans="1:12" x14ac:dyDescent="0.25">
      <c r="A610" s="115"/>
      <c r="B610" s="115"/>
      <c r="C610" s="115"/>
      <c r="D610" s="115"/>
      <c r="E610" s="115"/>
      <c r="F610" s="115"/>
      <c r="G610" s="116"/>
      <c r="I610" s="118"/>
      <c r="J610" s="118"/>
      <c r="L610" s="125"/>
    </row>
    <row r="611" spans="1:12" x14ac:dyDescent="0.25">
      <c r="A611" s="115"/>
      <c r="B611" s="115"/>
      <c r="C611" s="115"/>
      <c r="D611" s="115"/>
      <c r="E611" s="115"/>
      <c r="F611" s="115"/>
      <c r="G611" s="116"/>
      <c r="I611" s="118"/>
      <c r="J611" s="118"/>
      <c r="L611" s="125"/>
    </row>
    <row r="612" spans="1:12" x14ac:dyDescent="0.25">
      <c r="A612" s="115"/>
      <c r="B612" s="115"/>
      <c r="C612" s="115"/>
      <c r="D612" s="115"/>
      <c r="E612" s="115"/>
      <c r="F612" s="115"/>
      <c r="G612" s="116"/>
      <c r="I612" s="118"/>
      <c r="J612" s="118"/>
      <c r="L612" s="125"/>
    </row>
    <row r="613" spans="1:12" x14ac:dyDescent="0.25">
      <c r="A613" s="115"/>
      <c r="B613" s="115"/>
      <c r="C613" s="115"/>
      <c r="D613" s="115"/>
      <c r="E613" s="115"/>
      <c r="F613" s="115"/>
      <c r="G613" s="116"/>
      <c r="I613" s="118"/>
      <c r="J613" s="118"/>
      <c r="L613" s="125"/>
    </row>
    <row r="614" spans="1:12" x14ac:dyDescent="0.25">
      <c r="A614" s="115"/>
      <c r="B614" s="115"/>
      <c r="C614" s="115"/>
      <c r="D614" s="115"/>
      <c r="E614" s="115"/>
      <c r="F614" s="115"/>
      <c r="G614" s="116"/>
      <c r="I614" s="118"/>
      <c r="J614" s="118"/>
      <c r="L614" s="125"/>
    </row>
    <row r="615" spans="1:12" x14ac:dyDescent="0.25">
      <c r="A615" s="115"/>
      <c r="B615" s="115"/>
      <c r="C615" s="115"/>
      <c r="D615" s="115"/>
      <c r="E615" s="115"/>
      <c r="F615" s="115"/>
      <c r="G615" s="116"/>
      <c r="I615" s="118"/>
      <c r="J615" s="118"/>
      <c r="L615" s="125"/>
    </row>
    <row r="616" spans="1:12" x14ac:dyDescent="0.25">
      <c r="A616" s="115"/>
      <c r="B616" s="115"/>
      <c r="C616" s="115"/>
      <c r="D616" s="115"/>
      <c r="E616" s="115"/>
      <c r="F616" s="115"/>
      <c r="G616" s="116"/>
      <c r="I616" s="118"/>
      <c r="J616" s="118"/>
      <c r="L616" s="125"/>
    </row>
    <row r="617" spans="1:12" x14ac:dyDescent="0.25">
      <c r="A617" s="115"/>
      <c r="B617" s="115"/>
      <c r="C617" s="115"/>
      <c r="D617" s="115"/>
      <c r="E617" s="115"/>
      <c r="F617" s="115"/>
      <c r="G617" s="116"/>
      <c r="I617" s="118"/>
      <c r="J617" s="118"/>
      <c r="L617" s="125"/>
    </row>
    <row r="618" spans="1:12" x14ac:dyDescent="0.25">
      <c r="A618" s="115"/>
      <c r="B618" s="115"/>
      <c r="C618" s="115"/>
      <c r="D618" s="115"/>
      <c r="E618" s="115"/>
      <c r="F618" s="115"/>
      <c r="G618" s="116"/>
      <c r="I618" s="118"/>
      <c r="J618" s="118"/>
      <c r="L618" s="125"/>
    </row>
    <row r="619" spans="1:12" x14ac:dyDescent="0.25">
      <c r="A619" s="115"/>
      <c r="B619" s="115"/>
      <c r="C619" s="115"/>
      <c r="D619" s="115"/>
      <c r="E619" s="115"/>
      <c r="F619" s="115"/>
      <c r="G619" s="116"/>
      <c r="I619" s="118"/>
      <c r="J619" s="118"/>
      <c r="L619" s="125"/>
    </row>
    <row r="620" spans="1:12" x14ac:dyDescent="0.25">
      <c r="A620" s="115"/>
      <c r="B620" s="115"/>
      <c r="C620" s="115"/>
      <c r="D620" s="115"/>
      <c r="E620" s="115"/>
      <c r="F620" s="115"/>
      <c r="G620" s="116"/>
      <c r="I620" s="118"/>
      <c r="J620" s="118"/>
      <c r="L620" s="125"/>
    </row>
    <row r="621" spans="1:12" x14ac:dyDescent="0.25">
      <c r="A621" s="115"/>
      <c r="B621" s="115"/>
      <c r="C621" s="115"/>
      <c r="D621" s="115"/>
      <c r="E621" s="115"/>
      <c r="F621" s="115"/>
      <c r="G621" s="116"/>
      <c r="I621" s="118"/>
      <c r="J621" s="118"/>
      <c r="L621" s="125"/>
    </row>
    <row r="622" spans="1:12" x14ac:dyDescent="0.25">
      <c r="A622" s="115"/>
      <c r="B622" s="115"/>
      <c r="C622" s="115"/>
      <c r="D622" s="115"/>
      <c r="E622" s="115"/>
      <c r="F622" s="115"/>
      <c r="G622" s="116"/>
      <c r="I622" s="118"/>
      <c r="J622" s="118"/>
      <c r="L622" s="125"/>
    </row>
    <row r="623" spans="1:12" x14ac:dyDescent="0.25">
      <c r="A623" s="115"/>
      <c r="B623" s="115"/>
      <c r="C623" s="115"/>
      <c r="D623" s="115"/>
      <c r="E623" s="115"/>
      <c r="F623" s="115"/>
      <c r="G623" s="116"/>
      <c r="I623" s="118"/>
      <c r="J623" s="118"/>
      <c r="L623" s="125"/>
    </row>
    <row r="624" spans="1:12" x14ac:dyDescent="0.25">
      <c r="A624" s="115"/>
      <c r="B624" s="115"/>
      <c r="C624" s="115"/>
      <c r="D624" s="115"/>
      <c r="E624" s="115"/>
      <c r="F624" s="115"/>
      <c r="G624" s="116"/>
      <c r="I624" s="118"/>
      <c r="J624" s="118"/>
      <c r="L624" s="125"/>
    </row>
    <row r="625" spans="1:12" x14ac:dyDescent="0.25">
      <c r="A625" s="115"/>
      <c r="B625" s="115"/>
      <c r="C625" s="115"/>
      <c r="D625" s="115"/>
      <c r="E625" s="115"/>
      <c r="F625" s="115"/>
      <c r="G625" s="116"/>
      <c r="I625" s="118"/>
      <c r="J625" s="118"/>
      <c r="L625" s="125"/>
    </row>
    <row r="626" spans="1:12" x14ac:dyDescent="0.25">
      <c r="A626" s="115"/>
      <c r="B626" s="115"/>
      <c r="C626" s="115"/>
      <c r="D626" s="115"/>
      <c r="E626" s="115"/>
      <c r="F626" s="115"/>
      <c r="G626" s="116"/>
      <c r="I626" s="118"/>
      <c r="J626" s="118"/>
      <c r="L626" s="125"/>
    </row>
    <row r="627" spans="1:12" x14ac:dyDescent="0.25">
      <c r="A627" s="115"/>
      <c r="B627" s="115"/>
      <c r="C627" s="115"/>
      <c r="D627" s="115"/>
      <c r="E627" s="115"/>
      <c r="F627" s="115"/>
      <c r="G627" s="116"/>
      <c r="I627" s="118"/>
      <c r="J627" s="118"/>
      <c r="L627" s="125"/>
    </row>
    <row r="628" spans="1:12" x14ac:dyDescent="0.25">
      <c r="A628" s="115"/>
      <c r="B628" s="115"/>
      <c r="C628" s="115"/>
      <c r="D628" s="115"/>
      <c r="E628" s="115"/>
      <c r="F628" s="115"/>
      <c r="G628" s="116"/>
      <c r="I628" s="118"/>
      <c r="J628" s="118"/>
      <c r="L628" s="125"/>
    </row>
    <row r="629" spans="1:12" x14ac:dyDescent="0.25">
      <c r="A629" s="115"/>
      <c r="B629" s="115"/>
      <c r="C629" s="115"/>
      <c r="D629" s="115"/>
      <c r="E629" s="115"/>
      <c r="F629" s="115"/>
      <c r="G629" s="116"/>
      <c r="I629" s="118"/>
      <c r="J629" s="118"/>
      <c r="L629" s="125"/>
    </row>
    <row r="630" spans="1:12" x14ac:dyDescent="0.25">
      <c r="A630" s="115"/>
      <c r="B630" s="115"/>
      <c r="C630" s="115"/>
      <c r="D630" s="115"/>
      <c r="E630" s="115"/>
      <c r="F630" s="115"/>
      <c r="G630" s="116"/>
      <c r="I630" s="118"/>
      <c r="J630" s="118"/>
      <c r="L630" s="125"/>
    </row>
    <row r="631" spans="1:12" x14ac:dyDescent="0.25">
      <c r="A631" s="115"/>
      <c r="B631" s="115"/>
      <c r="C631" s="115"/>
      <c r="D631" s="115"/>
      <c r="E631" s="115"/>
      <c r="F631" s="115"/>
      <c r="G631" s="116"/>
      <c r="I631" s="118"/>
      <c r="J631" s="118"/>
      <c r="L631" s="125"/>
    </row>
    <row r="632" spans="1:12" x14ac:dyDescent="0.25">
      <c r="A632" s="115"/>
      <c r="B632" s="115"/>
      <c r="C632" s="115"/>
      <c r="D632" s="115"/>
      <c r="E632" s="115"/>
      <c r="F632" s="115"/>
      <c r="G632" s="116"/>
      <c r="I632" s="118"/>
      <c r="J632" s="118"/>
      <c r="L632" s="125"/>
    </row>
    <row r="633" spans="1:12" x14ac:dyDescent="0.25">
      <c r="A633" s="115"/>
      <c r="B633" s="115"/>
      <c r="C633" s="115"/>
      <c r="D633" s="115"/>
      <c r="E633" s="115"/>
      <c r="F633" s="115"/>
      <c r="G633" s="116"/>
      <c r="I633" s="118"/>
      <c r="J633" s="118"/>
      <c r="L633" s="125"/>
    </row>
    <row r="634" spans="1:12" x14ac:dyDescent="0.25">
      <c r="A634" s="115"/>
      <c r="B634" s="115"/>
      <c r="C634" s="115"/>
      <c r="D634" s="115"/>
      <c r="E634" s="115"/>
      <c r="F634" s="115"/>
      <c r="G634" s="116"/>
      <c r="I634" s="118"/>
      <c r="J634" s="118"/>
      <c r="L634" s="125"/>
    </row>
    <row r="635" spans="1:12" x14ac:dyDescent="0.25">
      <c r="A635" s="115"/>
      <c r="B635" s="115"/>
      <c r="C635" s="115"/>
      <c r="D635" s="115"/>
      <c r="E635" s="115"/>
      <c r="F635" s="115"/>
      <c r="G635" s="116"/>
      <c r="I635" s="118"/>
      <c r="J635" s="118"/>
      <c r="L635" s="125"/>
    </row>
    <row r="636" spans="1:12" x14ac:dyDescent="0.25">
      <c r="A636" s="115"/>
      <c r="B636" s="115"/>
      <c r="C636" s="115"/>
      <c r="D636" s="115"/>
      <c r="E636" s="115"/>
      <c r="F636" s="115"/>
      <c r="G636" s="116"/>
      <c r="I636" s="118"/>
      <c r="J636" s="118"/>
      <c r="L636" s="125"/>
    </row>
    <row r="637" spans="1:12" x14ac:dyDescent="0.25">
      <c r="A637" s="115"/>
      <c r="B637" s="115"/>
      <c r="C637" s="115"/>
      <c r="D637" s="115"/>
      <c r="E637" s="115"/>
      <c r="F637" s="115"/>
      <c r="G637" s="116"/>
      <c r="I637" s="118"/>
      <c r="J637" s="118"/>
      <c r="L637" s="125"/>
    </row>
    <row r="638" spans="1:12" x14ac:dyDescent="0.25">
      <c r="A638" s="115"/>
      <c r="B638" s="115"/>
      <c r="C638" s="115"/>
      <c r="D638" s="115"/>
      <c r="E638" s="115"/>
      <c r="F638" s="115"/>
      <c r="G638" s="116"/>
      <c r="I638" s="118"/>
      <c r="J638" s="118"/>
      <c r="L638" s="125"/>
    </row>
    <row r="639" spans="1:12" x14ac:dyDescent="0.25">
      <c r="A639" s="115"/>
      <c r="B639" s="115"/>
      <c r="C639" s="115"/>
      <c r="D639" s="115"/>
      <c r="E639" s="115"/>
      <c r="F639" s="115"/>
      <c r="G639" s="116"/>
      <c r="I639" s="118"/>
      <c r="J639" s="118"/>
      <c r="L639" s="125"/>
    </row>
    <row r="640" spans="1:12" x14ac:dyDescent="0.25">
      <c r="A640" s="115"/>
      <c r="B640" s="115"/>
      <c r="C640" s="115"/>
      <c r="D640" s="115"/>
      <c r="E640" s="115"/>
      <c r="F640" s="115"/>
      <c r="G640" s="116"/>
      <c r="I640" s="118"/>
      <c r="J640" s="118"/>
      <c r="L640" s="125"/>
    </row>
    <row r="641" spans="1:12" x14ac:dyDescent="0.25">
      <c r="A641" s="115"/>
      <c r="B641" s="115"/>
      <c r="C641" s="115"/>
      <c r="D641" s="115"/>
      <c r="E641" s="115"/>
      <c r="F641" s="115"/>
      <c r="G641" s="116"/>
      <c r="I641" s="118"/>
      <c r="J641" s="118"/>
      <c r="L641" s="125"/>
    </row>
    <row r="642" spans="1:12" x14ac:dyDescent="0.25">
      <c r="A642" s="115"/>
      <c r="B642" s="115"/>
      <c r="C642" s="115"/>
      <c r="D642" s="115"/>
      <c r="E642" s="115"/>
      <c r="F642" s="115"/>
      <c r="G642" s="116"/>
      <c r="I642" s="118"/>
      <c r="J642" s="118"/>
      <c r="L642" s="125"/>
    </row>
    <row r="643" spans="1:12" x14ac:dyDescent="0.25">
      <c r="A643" s="115"/>
      <c r="B643" s="115"/>
      <c r="C643" s="115"/>
      <c r="D643" s="115"/>
      <c r="E643" s="115"/>
      <c r="F643" s="115"/>
      <c r="G643" s="116"/>
      <c r="I643" s="118"/>
      <c r="J643" s="118"/>
      <c r="L643" s="125"/>
    </row>
    <row r="644" spans="1:12" x14ac:dyDescent="0.25">
      <c r="A644" s="115"/>
      <c r="B644" s="115"/>
      <c r="C644" s="115"/>
      <c r="D644" s="115"/>
      <c r="E644" s="115"/>
      <c r="F644" s="115"/>
      <c r="G644" s="116"/>
      <c r="I644" s="118"/>
      <c r="J644" s="118"/>
      <c r="L644" s="125"/>
    </row>
    <row r="645" spans="1:12" x14ac:dyDescent="0.25">
      <c r="A645" s="115"/>
      <c r="B645" s="115"/>
      <c r="C645" s="115"/>
      <c r="D645" s="115"/>
      <c r="E645" s="115"/>
      <c r="F645" s="115"/>
      <c r="G645" s="116"/>
      <c r="I645" s="118"/>
      <c r="J645" s="118"/>
      <c r="L645" s="125"/>
    </row>
    <row r="646" spans="1:12" x14ac:dyDescent="0.25">
      <c r="A646" s="115"/>
      <c r="B646" s="115"/>
      <c r="C646" s="115"/>
      <c r="D646" s="115"/>
      <c r="E646" s="115"/>
      <c r="F646" s="115"/>
      <c r="G646" s="116"/>
      <c r="I646" s="118"/>
      <c r="J646" s="118"/>
      <c r="L646" s="125"/>
    </row>
    <row r="647" spans="1:12" x14ac:dyDescent="0.25">
      <c r="A647" s="115"/>
      <c r="B647" s="115"/>
      <c r="C647" s="115"/>
      <c r="D647" s="115"/>
      <c r="E647" s="115"/>
      <c r="F647" s="115"/>
      <c r="G647" s="116"/>
      <c r="I647" s="118"/>
      <c r="J647" s="118"/>
      <c r="L647" s="125"/>
    </row>
    <row r="648" spans="1:12" x14ac:dyDescent="0.25">
      <c r="A648" s="115"/>
      <c r="B648" s="115"/>
      <c r="C648" s="115"/>
      <c r="D648" s="115"/>
      <c r="E648" s="115"/>
      <c r="F648" s="115"/>
      <c r="G648" s="116"/>
      <c r="I648" s="118"/>
      <c r="J648" s="118"/>
      <c r="L648" s="125"/>
    </row>
    <row r="649" spans="1:12" x14ac:dyDescent="0.25">
      <c r="A649" s="115"/>
      <c r="B649" s="115"/>
      <c r="C649" s="115"/>
      <c r="D649" s="115"/>
      <c r="E649" s="115"/>
      <c r="F649" s="115"/>
      <c r="G649" s="116"/>
      <c r="I649" s="118"/>
      <c r="J649" s="118"/>
      <c r="L649" s="125"/>
    </row>
    <row r="650" spans="1:12" x14ac:dyDescent="0.25">
      <c r="A650" s="115"/>
      <c r="B650" s="115"/>
      <c r="C650" s="115"/>
      <c r="D650" s="115"/>
      <c r="E650" s="115"/>
      <c r="F650" s="115"/>
      <c r="G650" s="116"/>
      <c r="I650" s="118"/>
      <c r="J650" s="118"/>
      <c r="L650" s="125"/>
    </row>
    <row r="651" spans="1:12" x14ac:dyDescent="0.25">
      <c r="A651" s="115"/>
      <c r="B651" s="115"/>
      <c r="C651" s="115"/>
      <c r="D651" s="115"/>
      <c r="E651" s="115"/>
      <c r="F651" s="115"/>
      <c r="G651" s="116"/>
      <c r="I651" s="118"/>
      <c r="J651" s="118"/>
      <c r="L651" s="125"/>
    </row>
    <row r="652" spans="1:12" x14ac:dyDescent="0.25">
      <c r="A652" s="115"/>
      <c r="B652" s="115"/>
      <c r="C652" s="115"/>
      <c r="D652" s="115"/>
      <c r="E652" s="115"/>
      <c r="F652" s="115"/>
      <c r="G652" s="116"/>
      <c r="I652" s="118"/>
      <c r="J652" s="118"/>
      <c r="L652" s="125"/>
    </row>
    <row r="653" spans="1:12" x14ac:dyDescent="0.25">
      <c r="A653" s="115"/>
      <c r="B653" s="115"/>
      <c r="C653" s="115"/>
      <c r="D653" s="115"/>
      <c r="E653" s="115"/>
      <c r="F653" s="115"/>
      <c r="G653" s="116"/>
      <c r="I653" s="118"/>
      <c r="J653" s="118"/>
      <c r="L653" s="125"/>
    </row>
    <row r="654" spans="1:12" x14ac:dyDescent="0.25">
      <c r="A654" s="115"/>
      <c r="B654" s="115"/>
      <c r="C654" s="115"/>
      <c r="D654" s="115"/>
      <c r="E654" s="115"/>
      <c r="F654" s="115"/>
      <c r="G654" s="116"/>
      <c r="I654" s="118"/>
      <c r="J654" s="118"/>
      <c r="L654" s="125"/>
    </row>
    <row r="655" spans="1:12" x14ac:dyDescent="0.25">
      <c r="A655" s="115"/>
      <c r="B655" s="115"/>
      <c r="C655" s="115"/>
      <c r="D655" s="115"/>
      <c r="E655" s="115"/>
      <c r="F655" s="115"/>
      <c r="G655" s="116"/>
      <c r="I655" s="118"/>
      <c r="J655" s="118"/>
      <c r="L655" s="125"/>
    </row>
    <row r="656" spans="1:12" x14ac:dyDescent="0.25">
      <c r="A656" s="115"/>
      <c r="B656" s="115"/>
      <c r="C656" s="115"/>
      <c r="D656" s="115"/>
      <c r="E656" s="115"/>
      <c r="F656" s="115"/>
      <c r="G656" s="116"/>
      <c r="I656" s="118"/>
      <c r="J656" s="118"/>
      <c r="L656" s="125"/>
    </row>
    <row r="657" spans="1:12" x14ac:dyDescent="0.25">
      <c r="A657" s="115"/>
      <c r="B657" s="115"/>
      <c r="C657" s="115"/>
      <c r="D657" s="115"/>
      <c r="E657" s="115"/>
      <c r="F657" s="115"/>
      <c r="G657" s="116"/>
      <c r="I657" s="118"/>
      <c r="J657" s="118"/>
      <c r="L657" s="125"/>
    </row>
    <row r="658" spans="1:12" x14ac:dyDescent="0.25">
      <c r="A658" s="115"/>
      <c r="B658" s="115"/>
      <c r="C658" s="115"/>
      <c r="D658" s="115"/>
      <c r="E658" s="115"/>
      <c r="F658" s="115"/>
      <c r="G658" s="116"/>
      <c r="I658" s="118"/>
      <c r="J658" s="118"/>
      <c r="L658" s="125"/>
    </row>
    <row r="659" spans="1:12" x14ac:dyDescent="0.25">
      <c r="A659" s="115"/>
      <c r="B659" s="115"/>
      <c r="C659" s="115"/>
      <c r="D659" s="115"/>
      <c r="E659" s="115"/>
      <c r="F659" s="115"/>
      <c r="G659" s="116"/>
      <c r="I659" s="118"/>
      <c r="J659" s="118"/>
      <c r="L659" s="125"/>
    </row>
    <row r="660" spans="1:12" x14ac:dyDescent="0.25">
      <c r="A660" s="115"/>
      <c r="B660" s="115"/>
      <c r="C660" s="115"/>
      <c r="D660" s="115"/>
      <c r="E660" s="115"/>
      <c r="F660" s="115"/>
      <c r="G660" s="116"/>
      <c r="I660" s="118"/>
      <c r="J660" s="118"/>
      <c r="L660" s="125"/>
    </row>
    <row r="661" spans="1:12" x14ac:dyDescent="0.25">
      <c r="A661" s="115"/>
      <c r="B661" s="115"/>
      <c r="C661" s="115"/>
      <c r="D661" s="115"/>
      <c r="E661" s="115"/>
      <c r="F661" s="115"/>
      <c r="G661" s="116"/>
      <c r="I661" s="118"/>
      <c r="J661" s="118"/>
      <c r="L661" s="125"/>
    </row>
    <row r="662" spans="1:12" x14ac:dyDescent="0.25">
      <c r="A662" s="115"/>
      <c r="B662" s="115"/>
      <c r="C662" s="115"/>
      <c r="D662" s="115"/>
      <c r="E662" s="115"/>
      <c r="F662" s="115"/>
      <c r="G662" s="116"/>
      <c r="I662" s="118"/>
      <c r="J662" s="118"/>
      <c r="L662" s="125"/>
    </row>
    <row r="663" spans="1:12" x14ac:dyDescent="0.25">
      <c r="A663" s="115"/>
      <c r="B663" s="115"/>
      <c r="C663" s="115"/>
      <c r="D663" s="115"/>
      <c r="E663" s="115"/>
      <c r="F663" s="115"/>
      <c r="G663" s="116"/>
      <c r="I663" s="118"/>
      <c r="J663" s="118"/>
      <c r="L663" s="125"/>
    </row>
    <row r="664" spans="1:12" x14ac:dyDescent="0.25">
      <c r="A664" s="115"/>
      <c r="B664" s="115"/>
      <c r="C664" s="115"/>
      <c r="D664" s="115"/>
      <c r="E664" s="115"/>
      <c r="F664" s="115"/>
      <c r="G664" s="116"/>
      <c r="I664" s="118"/>
      <c r="J664" s="118"/>
      <c r="L664" s="125"/>
    </row>
    <row r="665" spans="1:12" x14ac:dyDescent="0.25">
      <c r="A665" s="115"/>
      <c r="B665" s="115"/>
      <c r="C665" s="115"/>
      <c r="D665" s="115"/>
      <c r="E665" s="115"/>
      <c r="F665" s="115"/>
      <c r="G665" s="116"/>
      <c r="I665" s="118"/>
      <c r="J665" s="118"/>
      <c r="L665" s="125"/>
    </row>
    <row r="666" spans="1:12" x14ac:dyDescent="0.25">
      <c r="A666" s="115"/>
      <c r="B666" s="115"/>
      <c r="C666" s="115"/>
      <c r="D666" s="115"/>
      <c r="E666" s="115"/>
      <c r="F666" s="115"/>
      <c r="G666" s="116"/>
      <c r="I666" s="118"/>
      <c r="J666" s="118"/>
      <c r="L666" s="125"/>
    </row>
    <row r="667" spans="1:12" x14ac:dyDescent="0.25">
      <c r="A667" s="115"/>
      <c r="B667" s="115"/>
      <c r="C667" s="115"/>
      <c r="D667" s="115"/>
      <c r="E667" s="115"/>
      <c r="F667" s="115"/>
      <c r="G667" s="116"/>
      <c r="I667" s="118"/>
      <c r="J667" s="118"/>
      <c r="L667" s="125"/>
    </row>
    <row r="668" spans="1:12" x14ac:dyDescent="0.25">
      <c r="A668" s="115"/>
      <c r="B668" s="115"/>
      <c r="C668" s="115"/>
      <c r="D668" s="115"/>
      <c r="E668" s="115"/>
      <c r="F668" s="115"/>
      <c r="G668" s="116"/>
      <c r="I668" s="118"/>
      <c r="J668" s="118"/>
      <c r="L668" s="125"/>
    </row>
    <row r="669" spans="1:12" x14ac:dyDescent="0.25">
      <c r="A669" s="115"/>
      <c r="B669" s="115"/>
      <c r="C669" s="115"/>
      <c r="D669" s="115"/>
      <c r="E669" s="115"/>
      <c r="F669" s="115"/>
      <c r="G669" s="116"/>
      <c r="I669" s="118"/>
      <c r="J669" s="118"/>
      <c r="L669" s="125"/>
    </row>
    <row r="670" spans="1:12" x14ac:dyDescent="0.25">
      <c r="A670" s="115"/>
      <c r="B670" s="115"/>
      <c r="C670" s="115"/>
      <c r="D670" s="115"/>
      <c r="E670" s="115"/>
      <c r="F670" s="115"/>
      <c r="G670" s="116"/>
      <c r="I670" s="118"/>
      <c r="J670" s="118"/>
      <c r="L670" s="125"/>
    </row>
    <row r="671" spans="1:12" x14ac:dyDescent="0.25">
      <c r="A671" s="115"/>
      <c r="B671" s="115"/>
      <c r="C671" s="115"/>
      <c r="D671" s="115"/>
      <c r="E671" s="115"/>
      <c r="F671" s="115"/>
      <c r="G671" s="116"/>
      <c r="I671" s="118"/>
      <c r="J671" s="118"/>
      <c r="L671" s="125"/>
    </row>
    <row r="672" spans="1:12" x14ac:dyDescent="0.25">
      <c r="A672" s="115"/>
      <c r="B672" s="115"/>
      <c r="C672" s="115"/>
      <c r="D672" s="115"/>
      <c r="E672" s="115"/>
      <c r="F672" s="115"/>
      <c r="G672" s="116"/>
      <c r="I672" s="118"/>
      <c r="J672" s="118"/>
      <c r="L672" s="125"/>
    </row>
    <row r="673" spans="1:12" x14ac:dyDescent="0.25">
      <c r="A673" s="115"/>
      <c r="B673" s="115"/>
      <c r="C673" s="115"/>
      <c r="D673" s="115"/>
      <c r="E673" s="115"/>
      <c r="F673" s="115"/>
      <c r="G673" s="116"/>
      <c r="I673" s="118"/>
      <c r="J673" s="118"/>
      <c r="L673" s="125"/>
    </row>
    <row r="674" spans="1:12" x14ac:dyDescent="0.25">
      <c r="A674" s="115"/>
      <c r="B674" s="115"/>
      <c r="C674" s="115"/>
      <c r="D674" s="115"/>
      <c r="E674" s="115"/>
      <c r="F674" s="115"/>
      <c r="G674" s="116"/>
      <c r="I674" s="118"/>
      <c r="J674" s="118"/>
      <c r="L674" s="125"/>
    </row>
    <row r="675" spans="1:12" x14ac:dyDescent="0.25">
      <c r="A675" s="115"/>
      <c r="B675" s="115"/>
      <c r="C675" s="115"/>
      <c r="D675" s="115"/>
      <c r="E675" s="115"/>
      <c r="F675" s="115"/>
      <c r="G675" s="116"/>
      <c r="I675" s="118"/>
      <c r="J675" s="118"/>
      <c r="L675" s="125"/>
    </row>
    <row r="676" spans="1:12" x14ac:dyDescent="0.25">
      <c r="A676" s="115"/>
      <c r="B676" s="115"/>
      <c r="C676" s="115"/>
      <c r="D676" s="115"/>
      <c r="E676" s="115"/>
      <c r="F676" s="115"/>
      <c r="G676" s="116"/>
      <c r="I676" s="118"/>
      <c r="J676" s="118"/>
      <c r="L676" s="125"/>
    </row>
    <row r="677" spans="1:12" x14ac:dyDescent="0.25">
      <c r="A677" s="115"/>
      <c r="B677" s="115"/>
      <c r="C677" s="115"/>
      <c r="D677" s="115"/>
      <c r="E677" s="115"/>
      <c r="F677" s="115"/>
      <c r="G677" s="116"/>
      <c r="I677" s="118"/>
      <c r="J677" s="118"/>
      <c r="L677" s="125"/>
    </row>
    <row r="678" spans="1:12" x14ac:dyDescent="0.25">
      <c r="A678" s="115"/>
      <c r="B678" s="115"/>
      <c r="C678" s="115"/>
      <c r="D678" s="115"/>
      <c r="E678" s="115"/>
      <c r="F678" s="115"/>
      <c r="G678" s="116"/>
      <c r="I678" s="118"/>
      <c r="J678" s="118"/>
      <c r="L678" s="125"/>
    </row>
    <row r="679" spans="1:12" x14ac:dyDescent="0.25">
      <c r="A679" s="115"/>
      <c r="B679" s="115"/>
      <c r="C679" s="115"/>
      <c r="D679" s="115"/>
      <c r="E679" s="115"/>
      <c r="F679" s="115"/>
      <c r="G679" s="116"/>
      <c r="I679" s="118"/>
      <c r="J679" s="118"/>
      <c r="L679" s="125"/>
    </row>
    <row r="680" spans="1:12" x14ac:dyDescent="0.25">
      <c r="A680" s="115"/>
      <c r="B680" s="115"/>
      <c r="C680" s="115"/>
      <c r="D680" s="115"/>
      <c r="E680" s="115"/>
      <c r="F680" s="115"/>
      <c r="G680" s="116"/>
      <c r="I680" s="118"/>
      <c r="J680" s="118"/>
      <c r="L680" s="125"/>
    </row>
    <row r="681" spans="1:12" x14ac:dyDescent="0.25">
      <c r="A681" s="115"/>
      <c r="B681" s="115"/>
      <c r="C681" s="115"/>
      <c r="D681" s="115"/>
      <c r="E681" s="115"/>
      <c r="F681" s="115"/>
      <c r="G681" s="116"/>
      <c r="I681" s="118"/>
      <c r="J681" s="118"/>
      <c r="L681" s="125"/>
    </row>
    <row r="682" spans="1:12" x14ac:dyDescent="0.25">
      <c r="A682" s="115"/>
      <c r="B682" s="115"/>
      <c r="C682" s="115"/>
      <c r="D682" s="115"/>
      <c r="E682" s="115"/>
      <c r="F682" s="115"/>
      <c r="G682" s="116"/>
      <c r="I682" s="118"/>
      <c r="J682" s="118"/>
      <c r="L682" s="125"/>
    </row>
    <row r="683" spans="1:12" x14ac:dyDescent="0.25">
      <c r="A683" s="115"/>
      <c r="B683" s="115"/>
      <c r="C683" s="115"/>
      <c r="D683" s="115"/>
      <c r="E683" s="115"/>
      <c r="F683" s="115"/>
      <c r="G683" s="116"/>
      <c r="I683" s="118"/>
      <c r="J683" s="118"/>
      <c r="L683" s="125"/>
    </row>
    <row r="684" spans="1:12" x14ac:dyDescent="0.25">
      <c r="A684" s="115"/>
      <c r="B684" s="115"/>
      <c r="C684" s="115"/>
      <c r="D684" s="115"/>
      <c r="E684" s="115"/>
      <c r="F684" s="115"/>
      <c r="G684" s="116"/>
      <c r="I684" s="118"/>
      <c r="J684" s="118"/>
      <c r="L684" s="125"/>
    </row>
    <row r="685" spans="1:12" x14ac:dyDescent="0.25">
      <c r="A685" s="115"/>
      <c r="B685" s="115"/>
      <c r="C685" s="115"/>
      <c r="D685" s="115"/>
      <c r="E685" s="115"/>
      <c r="F685" s="115"/>
      <c r="G685" s="116"/>
      <c r="I685" s="118"/>
      <c r="J685" s="118"/>
      <c r="L685" s="125"/>
    </row>
    <row r="686" spans="1:12" x14ac:dyDescent="0.25">
      <c r="A686" s="115"/>
      <c r="B686" s="115"/>
      <c r="C686" s="115"/>
      <c r="D686" s="115"/>
      <c r="E686" s="115"/>
      <c r="F686" s="115"/>
      <c r="G686" s="116"/>
      <c r="I686" s="118"/>
      <c r="J686" s="118"/>
      <c r="L686" s="125"/>
    </row>
    <row r="687" spans="1:12" x14ac:dyDescent="0.25">
      <c r="A687" s="115"/>
      <c r="B687" s="115"/>
      <c r="C687" s="115"/>
      <c r="D687" s="115"/>
      <c r="E687" s="115"/>
      <c r="F687" s="115"/>
      <c r="G687" s="116"/>
      <c r="I687" s="118"/>
      <c r="J687" s="118"/>
      <c r="L687" s="125"/>
    </row>
    <row r="688" spans="1:12" x14ac:dyDescent="0.25">
      <c r="A688" s="115"/>
      <c r="B688" s="115"/>
      <c r="C688" s="115"/>
      <c r="D688" s="115"/>
      <c r="E688" s="115"/>
      <c r="F688" s="115"/>
      <c r="G688" s="116"/>
      <c r="I688" s="118"/>
      <c r="J688" s="118"/>
      <c r="L688" s="125"/>
    </row>
    <row r="689" spans="1:12" x14ac:dyDescent="0.25">
      <c r="A689" s="115"/>
      <c r="B689" s="115"/>
      <c r="C689" s="115"/>
      <c r="D689" s="115"/>
      <c r="E689" s="115"/>
      <c r="F689" s="115"/>
      <c r="G689" s="116"/>
      <c r="I689" s="118"/>
      <c r="J689" s="118"/>
      <c r="L689" s="125"/>
    </row>
    <row r="690" spans="1:12" x14ac:dyDescent="0.25">
      <c r="A690" s="115"/>
      <c r="B690" s="115"/>
      <c r="C690" s="115"/>
      <c r="D690" s="115"/>
      <c r="E690" s="115"/>
      <c r="F690" s="115"/>
      <c r="G690" s="116"/>
      <c r="I690" s="118"/>
      <c r="J690" s="118"/>
      <c r="L690" s="125"/>
    </row>
    <row r="691" spans="1:12" x14ac:dyDescent="0.25">
      <c r="A691" s="115"/>
      <c r="B691" s="115"/>
      <c r="C691" s="115"/>
      <c r="D691" s="115"/>
      <c r="E691" s="115"/>
      <c r="F691" s="115"/>
      <c r="G691" s="116"/>
      <c r="I691" s="118"/>
      <c r="J691" s="118"/>
      <c r="L691" s="125"/>
    </row>
    <row r="692" spans="1:12" x14ac:dyDescent="0.25">
      <c r="A692" s="115"/>
      <c r="B692" s="115"/>
      <c r="C692" s="115"/>
      <c r="D692" s="115"/>
      <c r="E692" s="115"/>
      <c r="F692" s="115"/>
      <c r="G692" s="116"/>
      <c r="I692" s="118"/>
      <c r="J692" s="118"/>
      <c r="L692" s="125"/>
    </row>
    <row r="693" spans="1:12" x14ac:dyDescent="0.25">
      <c r="A693" s="115"/>
      <c r="B693" s="115"/>
      <c r="C693" s="115"/>
      <c r="D693" s="115"/>
      <c r="E693" s="115"/>
      <c r="F693" s="115"/>
      <c r="G693" s="116"/>
      <c r="I693" s="118"/>
      <c r="J693" s="118"/>
      <c r="L693" s="125"/>
    </row>
    <row r="694" spans="1:12" x14ac:dyDescent="0.25">
      <c r="A694" s="115"/>
      <c r="B694" s="115"/>
      <c r="C694" s="115"/>
      <c r="D694" s="115"/>
      <c r="E694" s="115"/>
      <c r="F694" s="115"/>
      <c r="G694" s="116"/>
      <c r="I694" s="118"/>
      <c r="J694" s="118"/>
      <c r="L694" s="125"/>
    </row>
    <row r="695" spans="1:12" x14ac:dyDescent="0.25">
      <c r="A695" s="115"/>
      <c r="B695" s="115"/>
      <c r="C695" s="115"/>
      <c r="D695" s="115"/>
      <c r="E695" s="115"/>
      <c r="F695" s="115"/>
      <c r="G695" s="116"/>
      <c r="I695" s="118"/>
      <c r="J695" s="118"/>
      <c r="L695" s="125"/>
    </row>
    <row r="696" spans="1:12" x14ac:dyDescent="0.25">
      <c r="A696" s="115"/>
      <c r="B696" s="115"/>
      <c r="C696" s="115"/>
      <c r="D696" s="115"/>
      <c r="E696" s="115"/>
      <c r="F696" s="115"/>
      <c r="G696" s="116"/>
      <c r="I696" s="118"/>
      <c r="J696" s="118"/>
      <c r="L696" s="125"/>
    </row>
    <row r="697" spans="1:12" x14ac:dyDescent="0.25">
      <c r="A697" s="115"/>
      <c r="B697" s="115"/>
      <c r="C697" s="115"/>
      <c r="D697" s="115"/>
      <c r="E697" s="115"/>
      <c r="F697" s="115"/>
      <c r="G697" s="116"/>
      <c r="I697" s="118"/>
      <c r="J697" s="118"/>
      <c r="L697" s="125"/>
    </row>
    <row r="698" spans="1:12" x14ac:dyDescent="0.25">
      <c r="A698" s="115"/>
      <c r="B698" s="115"/>
      <c r="C698" s="115"/>
      <c r="D698" s="115"/>
      <c r="E698" s="115"/>
      <c r="F698" s="115"/>
      <c r="G698" s="116"/>
      <c r="I698" s="118"/>
      <c r="J698" s="118"/>
      <c r="L698" s="125"/>
    </row>
    <row r="699" spans="1:12" x14ac:dyDescent="0.25">
      <c r="A699" s="115"/>
      <c r="B699" s="115"/>
      <c r="C699" s="115"/>
      <c r="D699" s="115"/>
      <c r="E699" s="115"/>
      <c r="F699" s="115"/>
      <c r="G699" s="116"/>
      <c r="I699" s="118"/>
      <c r="J699" s="118"/>
      <c r="L699" s="125"/>
    </row>
    <row r="700" spans="1:12" x14ac:dyDescent="0.25">
      <c r="A700" s="115"/>
      <c r="B700" s="115"/>
      <c r="C700" s="115"/>
      <c r="D700" s="115"/>
      <c r="E700" s="115"/>
      <c r="F700" s="115"/>
      <c r="G700" s="116"/>
      <c r="I700" s="118"/>
      <c r="J700" s="118"/>
      <c r="L700" s="125"/>
    </row>
    <row r="701" spans="1:12" x14ac:dyDescent="0.25">
      <c r="A701" s="115"/>
      <c r="B701" s="115"/>
      <c r="C701" s="115"/>
      <c r="D701" s="115"/>
      <c r="E701" s="115"/>
      <c r="F701" s="115"/>
      <c r="G701" s="116"/>
      <c r="I701" s="118"/>
      <c r="J701" s="118"/>
      <c r="L701" s="125"/>
    </row>
    <row r="702" spans="1:12" x14ac:dyDescent="0.25">
      <c r="A702" s="115"/>
      <c r="B702" s="115"/>
      <c r="C702" s="115"/>
      <c r="D702" s="115"/>
      <c r="E702" s="115"/>
      <c r="F702" s="115"/>
      <c r="G702" s="116"/>
      <c r="I702" s="118"/>
      <c r="J702" s="118"/>
      <c r="L702" s="125"/>
    </row>
    <row r="703" spans="1:12" x14ac:dyDescent="0.25">
      <c r="A703" s="115"/>
      <c r="B703" s="115"/>
      <c r="C703" s="115"/>
      <c r="D703" s="115"/>
      <c r="E703" s="115"/>
      <c r="F703" s="115"/>
      <c r="G703" s="116"/>
      <c r="I703" s="118"/>
      <c r="J703" s="118"/>
      <c r="L703" s="125"/>
    </row>
    <row r="704" spans="1:12" x14ac:dyDescent="0.25">
      <c r="A704" s="115"/>
      <c r="B704" s="115"/>
      <c r="C704" s="115"/>
      <c r="D704" s="115"/>
      <c r="E704" s="115"/>
      <c r="F704" s="115"/>
      <c r="G704" s="116"/>
      <c r="I704" s="118"/>
      <c r="J704" s="118"/>
      <c r="L704" s="125"/>
    </row>
    <row r="705" spans="1:12" x14ac:dyDescent="0.25">
      <c r="A705" s="115"/>
      <c r="B705" s="115"/>
      <c r="C705" s="115"/>
      <c r="D705" s="115"/>
      <c r="E705" s="115"/>
      <c r="F705" s="115"/>
      <c r="G705" s="116"/>
      <c r="I705" s="118"/>
      <c r="J705" s="118"/>
      <c r="L705" s="125"/>
    </row>
    <row r="706" spans="1:12" x14ac:dyDescent="0.25">
      <c r="A706" s="115"/>
      <c r="B706" s="115"/>
      <c r="C706" s="115"/>
      <c r="D706" s="115"/>
      <c r="E706" s="115"/>
      <c r="F706" s="115"/>
      <c r="G706" s="116"/>
      <c r="I706" s="118"/>
      <c r="J706" s="118"/>
      <c r="L706" s="125"/>
    </row>
    <row r="707" spans="1:12" x14ac:dyDescent="0.25">
      <c r="A707" s="115"/>
      <c r="B707" s="115"/>
      <c r="C707" s="115"/>
      <c r="D707" s="115"/>
      <c r="E707" s="115"/>
      <c r="F707" s="115"/>
      <c r="G707" s="116"/>
      <c r="I707" s="118"/>
      <c r="J707" s="118"/>
      <c r="L707" s="125"/>
    </row>
    <row r="708" spans="1:12" x14ac:dyDescent="0.25">
      <c r="A708" s="115"/>
      <c r="B708" s="115"/>
      <c r="C708" s="115"/>
      <c r="D708" s="115"/>
      <c r="E708" s="115"/>
      <c r="F708" s="115"/>
      <c r="G708" s="116"/>
      <c r="I708" s="118"/>
      <c r="J708" s="118"/>
      <c r="L708" s="125"/>
    </row>
    <row r="709" spans="1:12" x14ac:dyDescent="0.25">
      <c r="A709" s="115"/>
      <c r="B709" s="115"/>
      <c r="C709" s="115"/>
      <c r="D709" s="115"/>
      <c r="E709" s="115"/>
      <c r="F709" s="115"/>
      <c r="G709" s="116"/>
      <c r="I709" s="118"/>
      <c r="J709" s="118"/>
      <c r="L709" s="125"/>
    </row>
    <row r="710" spans="1:12" x14ac:dyDescent="0.25">
      <c r="A710" s="115"/>
      <c r="B710" s="115"/>
      <c r="C710" s="115"/>
      <c r="D710" s="115"/>
      <c r="E710" s="115"/>
      <c r="F710" s="115"/>
      <c r="G710" s="116"/>
      <c r="I710" s="118"/>
      <c r="J710" s="118"/>
      <c r="L710" s="125"/>
    </row>
    <row r="711" spans="1:12" x14ac:dyDescent="0.25">
      <c r="A711" s="115"/>
      <c r="B711" s="115"/>
      <c r="C711" s="115"/>
      <c r="D711" s="115"/>
      <c r="E711" s="115"/>
      <c r="F711" s="115"/>
      <c r="G711" s="116"/>
      <c r="I711" s="118"/>
      <c r="J711" s="118"/>
      <c r="L711" s="125"/>
    </row>
    <row r="712" spans="1:12" x14ac:dyDescent="0.25">
      <c r="A712" s="115"/>
      <c r="B712" s="115"/>
      <c r="C712" s="115"/>
      <c r="D712" s="115"/>
      <c r="E712" s="115"/>
      <c r="F712" s="115"/>
      <c r="G712" s="116"/>
      <c r="I712" s="118"/>
      <c r="J712" s="118"/>
      <c r="L712" s="125"/>
    </row>
    <row r="713" spans="1:12" x14ac:dyDescent="0.25">
      <c r="A713" s="115"/>
      <c r="B713" s="115"/>
      <c r="C713" s="115"/>
      <c r="D713" s="115"/>
      <c r="E713" s="115"/>
      <c r="F713" s="115"/>
      <c r="G713" s="116"/>
      <c r="I713" s="118"/>
      <c r="J713" s="118"/>
      <c r="L713" s="125"/>
    </row>
    <row r="714" spans="1:12" x14ac:dyDescent="0.25">
      <c r="A714" s="115"/>
      <c r="B714" s="115"/>
      <c r="C714" s="115"/>
      <c r="D714" s="115"/>
      <c r="E714" s="115"/>
      <c r="F714" s="115"/>
      <c r="G714" s="116"/>
      <c r="I714" s="118"/>
      <c r="J714" s="118"/>
      <c r="L714" s="125"/>
    </row>
    <row r="715" spans="1:12" x14ac:dyDescent="0.25">
      <c r="A715" s="115"/>
      <c r="B715" s="115"/>
      <c r="C715" s="115"/>
      <c r="D715" s="115"/>
      <c r="E715" s="115"/>
      <c r="F715" s="115"/>
      <c r="G715" s="116"/>
      <c r="I715" s="118"/>
      <c r="J715" s="118"/>
      <c r="L715" s="125"/>
    </row>
    <row r="716" spans="1:12" x14ac:dyDescent="0.25">
      <c r="A716" s="115"/>
      <c r="B716" s="115"/>
      <c r="C716" s="115"/>
      <c r="D716" s="115"/>
      <c r="E716" s="115"/>
      <c r="F716" s="115"/>
      <c r="G716" s="116"/>
      <c r="I716" s="118"/>
      <c r="J716" s="118"/>
      <c r="L716" s="125"/>
    </row>
    <row r="717" spans="1:12" x14ac:dyDescent="0.25">
      <c r="A717" s="115"/>
      <c r="B717" s="115"/>
      <c r="C717" s="115"/>
      <c r="D717" s="115"/>
      <c r="E717" s="115"/>
      <c r="F717" s="115"/>
      <c r="G717" s="116"/>
      <c r="I717" s="118"/>
      <c r="J717" s="118"/>
      <c r="L717" s="125"/>
    </row>
    <row r="718" spans="1:12" x14ac:dyDescent="0.25">
      <c r="A718" s="115"/>
      <c r="B718" s="115"/>
      <c r="C718" s="115"/>
      <c r="D718" s="115"/>
      <c r="E718" s="115"/>
      <c r="F718" s="115"/>
      <c r="G718" s="116"/>
      <c r="I718" s="118"/>
      <c r="J718" s="118"/>
      <c r="L718" s="125"/>
    </row>
    <row r="719" spans="1:12" x14ac:dyDescent="0.25">
      <c r="A719" s="115"/>
      <c r="B719" s="115"/>
      <c r="C719" s="115"/>
      <c r="D719" s="115"/>
      <c r="E719" s="115"/>
      <c r="F719" s="115"/>
      <c r="G719" s="116"/>
      <c r="I719" s="118"/>
      <c r="J719" s="118"/>
      <c r="L719" s="125"/>
    </row>
    <row r="720" spans="1:12" x14ac:dyDescent="0.25">
      <c r="A720" s="115"/>
      <c r="B720" s="115"/>
      <c r="C720" s="115"/>
      <c r="D720" s="115"/>
      <c r="E720" s="115"/>
      <c r="F720" s="115"/>
      <c r="G720" s="116"/>
      <c r="I720" s="118"/>
      <c r="J720" s="118"/>
      <c r="L720" s="125"/>
    </row>
    <row r="721" spans="1:12" x14ac:dyDescent="0.25">
      <c r="A721" s="115"/>
      <c r="B721" s="115"/>
      <c r="C721" s="115"/>
      <c r="D721" s="115"/>
      <c r="E721" s="115"/>
      <c r="F721" s="115"/>
      <c r="G721" s="116"/>
      <c r="I721" s="118"/>
      <c r="J721" s="118"/>
      <c r="L721" s="125"/>
    </row>
    <row r="722" spans="1:12" x14ac:dyDescent="0.25">
      <c r="A722" s="115"/>
      <c r="B722" s="115"/>
      <c r="C722" s="115"/>
      <c r="D722" s="115"/>
      <c r="E722" s="115"/>
      <c r="F722" s="115"/>
      <c r="G722" s="116"/>
      <c r="I722" s="118"/>
      <c r="J722" s="118"/>
      <c r="L722" s="125"/>
    </row>
    <row r="723" spans="1:12" x14ac:dyDescent="0.25">
      <c r="A723" s="115"/>
      <c r="B723" s="115"/>
      <c r="C723" s="115"/>
      <c r="D723" s="115"/>
      <c r="E723" s="115"/>
      <c r="F723" s="115"/>
      <c r="G723" s="116"/>
      <c r="I723" s="118"/>
      <c r="J723" s="118"/>
      <c r="L723" s="125"/>
    </row>
    <row r="724" spans="1:12" x14ac:dyDescent="0.25">
      <c r="A724" s="115"/>
      <c r="B724" s="115"/>
      <c r="C724" s="115"/>
      <c r="D724" s="115"/>
      <c r="E724" s="115"/>
      <c r="F724" s="115"/>
      <c r="G724" s="116"/>
      <c r="I724" s="118"/>
      <c r="J724" s="118"/>
      <c r="L724" s="125"/>
    </row>
    <row r="725" spans="1:12" x14ac:dyDescent="0.25">
      <c r="A725" s="115"/>
      <c r="B725" s="115"/>
      <c r="C725" s="115"/>
      <c r="D725" s="115"/>
      <c r="E725" s="115"/>
      <c r="F725" s="115"/>
      <c r="G725" s="116"/>
      <c r="I725" s="118"/>
      <c r="J725" s="118"/>
      <c r="L725" s="125"/>
    </row>
    <row r="726" spans="1:12" x14ac:dyDescent="0.25">
      <c r="A726" s="115"/>
      <c r="B726" s="115"/>
      <c r="C726" s="115"/>
      <c r="D726" s="115"/>
      <c r="E726" s="115"/>
      <c r="F726" s="115"/>
      <c r="G726" s="116"/>
      <c r="I726" s="118"/>
      <c r="J726" s="118"/>
      <c r="L726" s="125"/>
    </row>
    <row r="727" spans="1:12" x14ac:dyDescent="0.25">
      <c r="A727" s="115"/>
      <c r="B727" s="115"/>
      <c r="C727" s="115"/>
      <c r="D727" s="115"/>
      <c r="E727" s="115"/>
      <c r="F727" s="115"/>
      <c r="G727" s="116"/>
      <c r="I727" s="118"/>
      <c r="J727" s="118"/>
      <c r="L727" s="125"/>
    </row>
    <row r="728" spans="1:12" x14ac:dyDescent="0.25">
      <c r="A728" s="115"/>
      <c r="B728" s="115"/>
      <c r="C728" s="115"/>
      <c r="D728" s="115"/>
      <c r="E728" s="115"/>
      <c r="F728" s="115"/>
      <c r="G728" s="116"/>
      <c r="I728" s="118"/>
      <c r="J728" s="118"/>
      <c r="L728" s="125"/>
    </row>
    <row r="729" spans="1:12" x14ac:dyDescent="0.25">
      <c r="A729" s="115"/>
      <c r="B729" s="115"/>
      <c r="C729" s="115"/>
      <c r="D729" s="115"/>
      <c r="E729" s="115"/>
      <c r="F729" s="115"/>
      <c r="G729" s="116"/>
      <c r="I729" s="118"/>
      <c r="J729" s="118"/>
      <c r="L729" s="125"/>
    </row>
    <row r="730" spans="1:12" x14ac:dyDescent="0.25">
      <c r="A730" s="115"/>
      <c r="B730" s="115"/>
      <c r="C730" s="115"/>
      <c r="D730" s="115"/>
      <c r="E730" s="115"/>
      <c r="F730" s="115"/>
      <c r="G730" s="116"/>
      <c r="I730" s="118"/>
      <c r="J730" s="118"/>
      <c r="L730" s="125"/>
    </row>
    <row r="731" spans="1:12" x14ac:dyDescent="0.25">
      <c r="A731" s="115"/>
      <c r="B731" s="115"/>
      <c r="C731" s="115"/>
      <c r="D731" s="115"/>
      <c r="E731" s="115"/>
      <c r="F731" s="115"/>
      <c r="G731" s="116"/>
      <c r="I731" s="118"/>
      <c r="J731" s="118"/>
      <c r="L731" s="125"/>
    </row>
    <row r="732" spans="1:12" x14ac:dyDescent="0.25">
      <c r="A732" s="115"/>
      <c r="B732" s="115"/>
      <c r="C732" s="115"/>
      <c r="D732" s="115"/>
      <c r="E732" s="115"/>
      <c r="F732" s="115"/>
      <c r="G732" s="116"/>
      <c r="I732" s="118"/>
      <c r="J732" s="118"/>
      <c r="L732" s="125"/>
    </row>
    <row r="733" spans="1:12" x14ac:dyDescent="0.25">
      <c r="A733" s="115"/>
      <c r="B733" s="115"/>
      <c r="C733" s="115"/>
      <c r="D733" s="115"/>
      <c r="E733" s="115"/>
      <c r="F733" s="115"/>
      <c r="G733" s="116"/>
      <c r="I733" s="118"/>
      <c r="J733" s="118"/>
      <c r="L733" s="125"/>
    </row>
    <row r="734" spans="1:12" x14ac:dyDescent="0.25">
      <c r="A734" s="115"/>
      <c r="B734" s="115"/>
      <c r="C734" s="115"/>
      <c r="D734" s="115"/>
      <c r="E734" s="115"/>
      <c r="F734" s="115"/>
      <c r="G734" s="116"/>
      <c r="I734" s="118"/>
      <c r="J734" s="118"/>
      <c r="L734" s="125"/>
    </row>
    <row r="735" spans="1:12" x14ac:dyDescent="0.25">
      <c r="A735" s="115"/>
      <c r="B735" s="115"/>
      <c r="C735" s="115"/>
      <c r="D735" s="115"/>
      <c r="E735" s="115"/>
      <c r="F735" s="115"/>
      <c r="G735" s="116"/>
      <c r="I735" s="118"/>
      <c r="J735" s="118"/>
      <c r="L735" s="125"/>
    </row>
    <row r="736" spans="1:12" x14ac:dyDescent="0.25">
      <c r="A736" s="115"/>
      <c r="B736" s="115"/>
      <c r="C736" s="115"/>
      <c r="D736" s="115"/>
      <c r="E736" s="115"/>
      <c r="F736" s="115"/>
      <c r="G736" s="116"/>
      <c r="I736" s="118"/>
      <c r="J736" s="118"/>
      <c r="L736" s="125"/>
    </row>
    <row r="737" spans="1:12" x14ac:dyDescent="0.25">
      <c r="A737" s="115"/>
      <c r="B737" s="115"/>
      <c r="C737" s="115"/>
      <c r="D737" s="115"/>
      <c r="E737" s="115"/>
      <c r="F737" s="115"/>
      <c r="G737" s="116"/>
      <c r="I737" s="118"/>
      <c r="J737" s="118"/>
      <c r="L737" s="125"/>
    </row>
    <row r="738" spans="1:12" x14ac:dyDescent="0.25">
      <c r="A738" s="115"/>
      <c r="B738" s="115"/>
      <c r="C738" s="115"/>
      <c r="D738" s="115"/>
      <c r="E738" s="115"/>
      <c r="F738" s="115"/>
      <c r="G738" s="116"/>
      <c r="I738" s="118"/>
      <c r="J738" s="118"/>
      <c r="L738" s="125"/>
    </row>
    <row r="739" spans="1:12" x14ac:dyDescent="0.25">
      <c r="A739" s="115"/>
      <c r="B739" s="115"/>
      <c r="C739" s="115"/>
      <c r="D739" s="115"/>
      <c r="E739" s="115"/>
      <c r="F739" s="115"/>
      <c r="G739" s="116"/>
      <c r="I739" s="118"/>
      <c r="J739" s="118"/>
      <c r="L739" s="125"/>
    </row>
    <row r="740" spans="1:12" x14ac:dyDescent="0.25">
      <c r="A740" s="115"/>
      <c r="B740" s="115"/>
      <c r="C740" s="115"/>
      <c r="D740" s="115"/>
      <c r="E740" s="115"/>
      <c r="F740" s="115"/>
      <c r="G740" s="116"/>
      <c r="I740" s="118"/>
      <c r="J740" s="118"/>
      <c r="L740" s="125"/>
    </row>
    <row r="741" spans="1:12" x14ac:dyDescent="0.25">
      <c r="A741" s="115"/>
      <c r="B741" s="115"/>
      <c r="C741" s="115"/>
      <c r="D741" s="115"/>
      <c r="E741" s="115"/>
      <c r="F741" s="115"/>
      <c r="G741" s="116"/>
      <c r="I741" s="118"/>
      <c r="J741" s="118"/>
      <c r="L741" s="125"/>
    </row>
    <row r="742" spans="1:12" x14ac:dyDescent="0.25">
      <c r="A742" s="115"/>
      <c r="B742" s="115"/>
      <c r="C742" s="115"/>
      <c r="D742" s="115"/>
      <c r="E742" s="115"/>
      <c r="F742" s="115"/>
      <c r="G742" s="116"/>
      <c r="I742" s="118"/>
      <c r="J742" s="118"/>
      <c r="L742" s="125"/>
    </row>
    <row r="743" spans="1:12" x14ac:dyDescent="0.25">
      <c r="A743" s="115"/>
      <c r="B743" s="115"/>
      <c r="C743" s="115"/>
      <c r="D743" s="115"/>
      <c r="E743" s="115"/>
      <c r="F743" s="115"/>
      <c r="G743" s="116"/>
      <c r="I743" s="118"/>
      <c r="J743" s="118"/>
      <c r="L743" s="125"/>
    </row>
    <row r="744" spans="1:12" x14ac:dyDescent="0.25">
      <c r="A744" s="115"/>
      <c r="B744" s="115"/>
      <c r="C744" s="115"/>
      <c r="D744" s="115"/>
      <c r="E744" s="115"/>
      <c r="F744" s="115"/>
      <c r="G744" s="116"/>
      <c r="I744" s="118"/>
      <c r="J744" s="118"/>
      <c r="L744" s="125"/>
    </row>
    <row r="745" spans="1:12" x14ac:dyDescent="0.25">
      <c r="A745" s="115"/>
      <c r="B745" s="115"/>
      <c r="C745" s="115"/>
      <c r="D745" s="115"/>
      <c r="E745" s="115"/>
      <c r="F745" s="115"/>
      <c r="G745" s="116"/>
      <c r="I745" s="118"/>
      <c r="J745" s="118"/>
      <c r="L745" s="125"/>
    </row>
    <row r="746" spans="1:12" x14ac:dyDescent="0.25">
      <c r="A746" s="115"/>
      <c r="B746" s="115"/>
      <c r="C746" s="115"/>
      <c r="D746" s="115"/>
      <c r="E746" s="115"/>
      <c r="F746" s="115"/>
      <c r="G746" s="116"/>
      <c r="I746" s="118"/>
      <c r="J746" s="118"/>
      <c r="L746" s="125"/>
    </row>
    <row r="747" spans="1:12" x14ac:dyDescent="0.25">
      <c r="A747" s="115"/>
      <c r="B747" s="115"/>
      <c r="C747" s="115"/>
      <c r="D747" s="115"/>
      <c r="E747" s="115"/>
      <c r="F747" s="115"/>
      <c r="G747" s="116"/>
      <c r="I747" s="118"/>
      <c r="J747" s="118"/>
      <c r="L747" s="125"/>
    </row>
    <row r="748" spans="1:12" x14ac:dyDescent="0.25">
      <c r="A748" s="115"/>
      <c r="B748" s="115"/>
      <c r="C748" s="115"/>
      <c r="D748" s="115"/>
      <c r="E748" s="115"/>
      <c r="F748" s="115"/>
      <c r="G748" s="116"/>
      <c r="I748" s="118"/>
      <c r="J748" s="118"/>
      <c r="L748" s="125"/>
    </row>
    <row r="749" spans="1:12" x14ac:dyDescent="0.25">
      <c r="A749" s="115"/>
      <c r="B749" s="115"/>
      <c r="C749" s="115"/>
      <c r="D749" s="115"/>
      <c r="E749" s="115"/>
      <c r="F749" s="115"/>
      <c r="G749" s="116"/>
      <c r="I749" s="118"/>
      <c r="J749" s="118"/>
      <c r="L749" s="125"/>
    </row>
    <row r="750" spans="1:12" x14ac:dyDescent="0.25">
      <c r="A750" s="115"/>
      <c r="B750" s="115"/>
      <c r="C750" s="115"/>
      <c r="D750" s="115"/>
      <c r="E750" s="115"/>
      <c r="F750" s="115"/>
      <c r="G750" s="116"/>
      <c r="I750" s="118"/>
      <c r="J750" s="118"/>
      <c r="L750" s="125"/>
    </row>
    <row r="751" spans="1:12" x14ac:dyDescent="0.25">
      <c r="A751" s="115"/>
      <c r="B751" s="115"/>
      <c r="C751" s="115"/>
      <c r="D751" s="115"/>
      <c r="E751" s="115"/>
      <c r="F751" s="115"/>
      <c r="G751" s="116"/>
      <c r="I751" s="118"/>
      <c r="J751" s="118"/>
      <c r="L751" s="125"/>
    </row>
    <row r="752" spans="1:12" x14ac:dyDescent="0.25">
      <c r="A752" s="115"/>
      <c r="B752" s="115"/>
      <c r="C752" s="115"/>
      <c r="D752" s="115"/>
      <c r="E752" s="115"/>
      <c r="F752" s="115"/>
      <c r="G752" s="116"/>
      <c r="I752" s="118"/>
      <c r="J752" s="118"/>
      <c r="L752" s="125"/>
    </row>
    <row r="753" spans="1:12" x14ac:dyDescent="0.25">
      <c r="A753" s="115"/>
      <c r="B753" s="115"/>
      <c r="C753" s="115"/>
      <c r="D753" s="115"/>
      <c r="E753" s="115"/>
      <c r="F753" s="115"/>
      <c r="G753" s="116"/>
      <c r="I753" s="118"/>
      <c r="J753" s="118"/>
      <c r="L753" s="125"/>
    </row>
    <row r="754" spans="1:12" x14ac:dyDescent="0.25">
      <c r="A754" s="115"/>
      <c r="B754" s="115"/>
      <c r="C754" s="115"/>
      <c r="D754" s="115"/>
      <c r="E754" s="115"/>
      <c r="F754" s="115"/>
      <c r="G754" s="116"/>
      <c r="I754" s="118"/>
      <c r="J754" s="118"/>
      <c r="L754" s="125"/>
    </row>
    <row r="755" spans="1:12" x14ac:dyDescent="0.25">
      <c r="A755" s="115"/>
      <c r="B755" s="115"/>
      <c r="C755" s="115"/>
      <c r="D755" s="115"/>
      <c r="E755" s="115"/>
      <c r="F755" s="115"/>
      <c r="G755" s="116"/>
      <c r="I755" s="118"/>
      <c r="J755" s="118"/>
      <c r="L755" s="125"/>
    </row>
    <row r="756" spans="1:12" x14ac:dyDescent="0.25">
      <c r="A756" s="115"/>
      <c r="B756" s="115"/>
      <c r="C756" s="115"/>
      <c r="D756" s="115"/>
      <c r="E756" s="115"/>
      <c r="F756" s="115"/>
      <c r="G756" s="116"/>
      <c r="I756" s="118"/>
      <c r="J756" s="118"/>
      <c r="L756" s="125"/>
    </row>
    <row r="757" spans="1:12" x14ac:dyDescent="0.25">
      <c r="A757" s="115"/>
      <c r="B757" s="115"/>
      <c r="C757" s="115"/>
      <c r="D757" s="115"/>
      <c r="E757" s="115"/>
      <c r="F757" s="115"/>
      <c r="G757" s="116"/>
      <c r="I757" s="118"/>
      <c r="J757" s="118"/>
      <c r="L757" s="125"/>
    </row>
    <row r="758" spans="1:12" x14ac:dyDescent="0.25">
      <c r="A758" s="115"/>
      <c r="B758" s="115"/>
      <c r="C758" s="115"/>
      <c r="D758" s="115"/>
      <c r="E758" s="115"/>
      <c r="F758" s="115"/>
      <c r="G758" s="116"/>
      <c r="I758" s="118"/>
      <c r="J758" s="118"/>
      <c r="L758" s="125"/>
    </row>
    <row r="759" spans="1:12" x14ac:dyDescent="0.25">
      <c r="A759" s="115"/>
      <c r="B759" s="115"/>
      <c r="C759" s="115"/>
      <c r="D759" s="115"/>
      <c r="E759" s="115"/>
      <c r="F759" s="115"/>
      <c r="G759" s="116"/>
      <c r="I759" s="118"/>
      <c r="J759" s="118"/>
      <c r="L759" s="125"/>
    </row>
    <row r="760" spans="1:12" x14ac:dyDescent="0.25">
      <c r="A760" s="115"/>
      <c r="B760" s="115"/>
      <c r="C760" s="115"/>
      <c r="D760" s="115"/>
      <c r="E760" s="115"/>
      <c r="F760" s="115"/>
      <c r="G760" s="116"/>
      <c r="I760" s="118"/>
      <c r="J760" s="118"/>
      <c r="L760" s="125"/>
    </row>
    <row r="761" spans="1:12" x14ac:dyDescent="0.25">
      <c r="A761" s="115"/>
      <c r="B761" s="115"/>
      <c r="C761" s="115"/>
      <c r="D761" s="115"/>
      <c r="E761" s="115"/>
      <c r="F761" s="115"/>
      <c r="G761" s="116"/>
      <c r="I761" s="118"/>
      <c r="J761" s="118"/>
      <c r="L761" s="125"/>
    </row>
    <row r="762" spans="1:12" x14ac:dyDescent="0.25">
      <c r="A762" s="115"/>
      <c r="B762" s="115"/>
      <c r="C762" s="115"/>
      <c r="D762" s="115"/>
      <c r="E762" s="115"/>
      <c r="F762" s="115"/>
      <c r="G762" s="116"/>
      <c r="I762" s="118"/>
      <c r="J762" s="118"/>
      <c r="L762" s="125"/>
    </row>
    <row r="763" spans="1:12" x14ac:dyDescent="0.25">
      <c r="A763" s="115"/>
      <c r="B763" s="115"/>
      <c r="C763" s="115"/>
      <c r="D763" s="115"/>
      <c r="E763" s="115"/>
      <c r="F763" s="115"/>
      <c r="G763" s="116"/>
      <c r="I763" s="118"/>
      <c r="J763" s="118"/>
      <c r="L763" s="125"/>
    </row>
    <row r="764" spans="1:12" x14ac:dyDescent="0.25">
      <c r="A764" s="115"/>
      <c r="B764" s="115"/>
      <c r="C764" s="115"/>
      <c r="D764" s="115"/>
      <c r="E764" s="115"/>
      <c r="F764" s="115"/>
      <c r="G764" s="116"/>
      <c r="I764" s="118"/>
      <c r="J764" s="118"/>
      <c r="L764" s="125"/>
    </row>
    <row r="765" spans="1:12" x14ac:dyDescent="0.25">
      <c r="A765" s="115"/>
      <c r="B765" s="115"/>
      <c r="C765" s="115"/>
      <c r="D765" s="115"/>
      <c r="E765" s="115"/>
      <c r="F765" s="115"/>
      <c r="G765" s="116"/>
      <c r="I765" s="118"/>
      <c r="J765" s="118"/>
      <c r="L765" s="125"/>
    </row>
    <row r="766" spans="1:12" x14ac:dyDescent="0.25">
      <c r="A766" s="115"/>
      <c r="B766" s="115"/>
      <c r="C766" s="115"/>
      <c r="D766" s="115"/>
      <c r="E766" s="115"/>
      <c r="F766" s="115"/>
      <c r="G766" s="116"/>
      <c r="I766" s="118"/>
      <c r="J766" s="118"/>
      <c r="L766" s="125"/>
    </row>
    <row r="767" spans="1:12" x14ac:dyDescent="0.25">
      <c r="A767" s="115"/>
      <c r="B767" s="115"/>
      <c r="C767" s="115"/>
      <c r="D767" s="115"/>
      <c r="E767" s="115"/>
      <c r="F767" s="115"/>
      <c r="G767" s="116"/>
      <c r="I767" s="118"/>
      <c r="J767" s="118"/>
      <c r="L767" s="125"/>
    </row>
    <row r="768" spans="1:12" x14ac:dyDescent="0.25">
      <c r="A768" s="115"/>
      <c r="B768" s="115"/>
      <c r="C768" s="115"/>
      <c r="D768" s="115"/>
      <c r="E768" s="115"/>
      <c r="F768" s="115"/>
      <c r="G768" s="116"/>
      <c r="I768" s="118"/>
      <c r="J768" s="118"/>
      <c r="L768" s="125"/>
    </row>
    <row r="769" spans="1:12" x14ac:dyDescent="0.25">
      <c r="A769" s="115"/>
      <c r="B769" s="115"/>
      <c r="C769" s="115"/>
      <c r="D769" s="115"/>
      <c r="E769" s="115"/>
      <c r="F769" s="115"/>
      <c r="G769" s="116"/>
      <c r="I769" s="118"/>
      <c r="J769" s="118"/>
      <c r="L769" s="125"/>
    </row>
    <row r="770" spans="1:12" x14ac:dyDescent="0.25">
      <c r="A770" s="115"/>
      <c r="B770" s="115"/>
      <c r="C770" s="115"/>
      <c r="D770" s="115"/>
      <c r="E770" s="115"/>
      <c r="F770" s="115"/>
      <c r="G770" s="116"/>
      <c r="I770" s="118"/>
      <c r="J770" s="118"/>
      <c r="L770" s="125"/>
    </row>
    <row r="771" spans="1:12" x14ac:dyDescent="0.25">
      <c r="A771" s="115"/>
      <c r="B771" s="115"/>
      <c r="C771" s="115"/>
      <c r="D771" s="115"/>
      <c r="E771" s="115"/>
      <c r="F771" s="115"/>
      <c r="G771" s="116"/>
      <c r="I771" s="118"/>
      <c r="J771" s="118"/>
      <c r="L771" s="125"/>
    </row>
    <row r="772" spans="1:12" x14ac:dyDescent="0.25">
      <c r="A772" s="115"/>
      <c r="B772" s="115"/>
      <c r="C772" s="115"/>
      <c r="D772" s="115"/>
      <c r="E772" s="115"/>
      <c r="F772" s="115"/>
      <c r="G772" s="116"/>
      <c r="I772" s="118"/>
      <c r="J772" s="118"/>
      <c r="L772" s="125"/>
    </row>
    <row r="773" spans="1:12" x14ac:dyDescent="0.25">
      <c r="A773" s="115"/>
      <c r="B773" s="115"/>
      <c r="C773" s="115"/>
      <c r="D773" s="115"/>
      <c r="E773" s="115"/>
      <c r="F773" s="115"/>
      <c r="G773" s="116"/>
      <c r="I773" s="118"/>
      <c r="J773" s="118"/>
      <c r="L773" s="125"/>
    </row>
    <row r="774" spans="1:12" x14ac:dyDescent="0.25">
      <c r="A774" s="115"/>
      <c r="B774" s="115"/>
      <c r="C774" s="115"/>
      <c r="D774" s="115"/>
      <c r="E774" s="115"/>
      <c r="F774" s="115"/>
      <c r="G774" s="116"/>
      <c r="I774" s="118"/>
      <c r="J774" s="118"/>
      <c r="L774" s="125"/>
    </row>
    <row r="775" spans="1:12" x14ac:dyDescent="0.25">
      <c r="A775" s="115"/>
      <c r="B775" s="115"/>
      <c r="C775" s="115"/>
      <c r="D775" s="115"/>
      <c r="E775" s="115"/>
      <c r="F775" s="115"/>
      <c r="G775" s="116"/>
      <c r="I775" s="118"/>
      <c r="J775" s="118"/>
      <c r="L775" s="125"/>
    </row>
    <row r="776" spans="1:12" x14ac:dyDescent="0.25">
      <c r="A776" s="115"/>
      <c r="B776" s="115"/>
      <c r="C776" s="115"/>
      <c r="D776" s="115"/>
      <c r="E776" s="115"/>
      <c r="F776" s="115"/>
      <c r="G776" s="116"/>
      <c r="I776" s="118"/>
      <c r="J776" s="118"/>
      <c r="L776" s="125"/>
    </row>
    <row r="777" spans="1:12" x14ac:dyDescent="0.25">
      <c r="A777" s="115"/>
      <c r="B777" s="115"/>
      <c r="C777" s="115"/>
      <c r="D777" s="115"/>
      <c r="E777" s="115"/>
      <c r="F777" s="115"/>
      <c r="G777" s="116"/>
      <c r="I777" s="118"/>
      <c r="J777" s="118"/>
      <c r="L777" s="125"/>
    </row>
    <row r="778" spans="1:12" x14ac:dyDescent="0.25">
      <c r="A778" s="115"/>
      <c r="B778" s="115"/>
      <c r="C778" s="115"/>
      <c r="D778" s="115"/>
      <c r="E778" s="115"/>
      <c r="F778" s="115"/>
      <c r="G778" s="116"/>
      <c r="I778" s="118"/>
      <c r="J778" s="118"/>
      <c r="L778" s="125"/>
    </row>
    <row r="779" spans="1:12" x14ac:dyDescent="0.25">
      <c r="A779" s="115"/>
      <c r="B779" s="115"/>
      <c r="C779" s="115"/>
      <c r="D779" s="115"/>
      <c r="E779" s="115"/>
      <c r="F779" s="115"/>
      <c r="G779" s="116"/>
      <c r="I779" s="118"/>
      <c r="J779" s="118"/>
      <c r="L779" s="125"/>
    </row>
    <row r="780" spans="1:12" x14ac:dyDescent="0.25">
      <c r="A780" s="115"/>
      <c r="B780" s="115"/>
      <c r="C780" s="115"/>
      <c r="D780" s="115"/>
      <c r="E780" s="115"/>
      <c r="F780" s="115"/>
      <c r="G780" s="116"/>
      <c r="I780" s="118"/>
      <c r="J780" s="118"/>
      <c r="L780" s="125"/>
    </row>
    <row r="781" spans="1:12" x14ac:dyDescent="0.25">
      <c r="A781" s="115"/>
      <c r="B781" s="115"/>
      <c r="C781" s="115"/>
      <c r="D781" s="115"/>
      <c r="E781" s="115"/>
      <c r="F781" s="115"/>
      <c r="G781" s="116"/>
      <c r="I781" s="118"/>
      <c r="J781" s="118"/>
      <c r="L781" s="125"/>
    </row>
    <row r="782" spans="1:12" x14ac:dyDescent="0.25">
      <c r="A782" s="115"/>
      <c r="B782" s="115"/>
      <c r="C782" s="115"/>
      <c r="D782" s="115"/>
      <c r="E782" s="115"/>
      <c r="F782" s="115"/>
      <c r="G782" s="116"/>
      <c r="I782" s="118"/>
      <c r="J782" s="118"/>
      <c r="L782" s="125"/>
    </row>
    <row r="783" spans="1:12" x14ac:dyDescent="0.25">
      <c r="A783" s="115"/>
      <c r="B783" s="115"/>
      <c r="C783" s="115"/>
      <c r="D783" s="115"/>
      <c r="E783" s="115"/>
      <c r="F783" s="115"/>
      <c r="G783" s="116"/>
      <c r="I783" s="118"/>
      <c r="J783" s="118"/>
      <c r="L783" s="125"/>
    </row>
    <row r="784" spans="1:12" x14ac:dyDescent="0.25">
      <c r="A784" s="115"/>
      <c r="B784" s="115"/>
      <c r="C784" s="115"/>
      <c r="D784" s="115"/>
      <c r="E784" s="115"/>
      <c r="F784" s="115"/>
      <c r="G784" s="116"/>
      <c r="I784" s="118"/>
      <c r="J784" s="118"/>
      <c r="L784" s="125"/>
    </row>
    <row r="785" spans="1:12" x14ac:dyDescent="0.25">
      <c r="A785" s="115"/>
      <c r="B785" s="115"/>
      <c r="C785" s="115"/>
      <c r="D785" s="115"/>
      <c r="E785" s="115"/>
      <c r="F785" s="115"/>
      <c r="G785" s="116"/>
      <c r="I785" s="118"/>
      <c r="J785" s="118"/>
      <c r="L785" s="125"/>
    </row>
    <row r="786" spans="1:12" x14ac:dyDescent="0.25">
      <c r="A786" s="115"/>
      <c r="B786" s="115"/>
      <c r="C786" s="115"/>
      <c r="D786" s="115"/>
      <c r="E786" s="115"/>
      <c r="F786" s="115"/>
      <c r="G786" s="116"/>
      <c r="I786" s="118"/>
      <c r="J786" s="118"/>
      <c r="L786" s="125"/>
    </row>
    <row r="787" spans="1:12" x14ac:dyDescent="0.25">
      <c r="A787" s="115"/>
      <c r="B787" s="115"/>
      <c r="C787" s="115"/>
      <c r="D787" s="115"/>
      <c r="E787" s="115"/>
      <c r="F787" s="115"/>
      <c r="G787" s="116"/>
      <c r="I787" s="118"/>
      <c r="J787" s="118"/>
      <c r="L787" s="125"/>
    </row>
    <row r="788" spans="1:12" x14ac:dyDescent="0.25">
      <c r="A788" s="115"/>
      <c r="B788" s="115"/>
      <c r="C788" s="115"/>
      <c r="D788" s="115"/>
      <c r="E788" s="115"/>
      <c r="F788" s="115"/>
      <c r="G788" s="116"/>
      <c r="I788" s="118"/>
      <c r="J788" s="118"/>
      <c r="L788" s="125"/>
    </row>
    <row r="789" spans="1:12" x14ac:dyDescent="0.25">
      <c r="A789" s="115"/>
      <c r="B789" s="115"/>
      <c r="C789" s="115"/>
      <c r="D789" s="115"/>
      <c r="E789" s="115"/>
      <c r="F789" s="115"/>
      <c r="G789" s="116"/>
      <c r="I789" s="118"/>
      <c r="J789" s="118"/>
      <c r="L789" s="125"/>
    </row>
    <row r="790" spans="1:12" x14ac:dyDescent="0.25">
      <c r="A790" s="115"/>
      <c r="B790" s="115"/>
      <c r="C790" s="115"/>
      <c r="D790" s="115"/>
      <c r="E790" s="115"/>
      <c r="F790" s="115"/>
      <c r="G790" s="116"/>
      <c r="I790" s="118"/>
      <c r="J790" s="118"/>
      <c r="L790" s="125"/>
    </row>
    <row r="791" spans="1:12" x14ac:dyDescent="0.25">
      <c r="A791" s="115"/>
      <c r="B791" s="115"/>
      <c r="C791" s="115"/>
      <c r="D791" s="115"/>
      <c r="E791" s="115"/>
      <c r="F791" s="115"/>
      <c r="G791" s="116"/>
      <c r="I791" s="118"/>
      <c r="J791" s="118"/>
      <c r="L791" s="125"/>
    </row>
    <row r="792" spans="1:12" x14ac:dyDescent="0.25">
      <c r="A792" s="115"/>
      <c r="B792" s="115"/>
      <c r="C792" s="115"/>
      <c r="D792" s="115"/>
      <c r="E792" s="115"/>
      <c r="F792" s="115"/>
      <c r="G792" s="116"/>
      <c r="I792" s="118"/>
      <c r="J792" s="118"/>
      <c r="L792" s="125"/>
    </row>
    <row r="793" spans="1:12" x14ac:dyDescent="0.25">
      <c r="A793" s="115"/>
      <c r="B793" s="115"/>
      <c r="C793" s="115"/>
      <c r="D793" s="115"/>
      <c r="E793" s="115"/>
      <c r="F793" s="115"/>
      <c r="G793" s="116"/>
      <c r="I793" s="118"/>
      <c r="J793" s="118"/>
      <c r="L793" s="125"/>
    </row>
    <row r="794" spans="1:12" x14ac:dyDescent="0.25">
      <c r="A794" s="115"/>
      <c r="B794" s="115"/>
      <c r="C794" s="115"/>
      <c r="D794" s="115"/>
      <c r="E794" s="115"/>
      <c r="F794" s="115"/>
      <c r="G794" s="116"/>
      <c r="I794" s="118"/>
      <c r="J794" s="118"/>
      <c r="L794" s="125"/>
    </row>
    <row r="795" spans="1:12" x14ac:dyDescent="0.25">
      <c r="A795" s="115"/>
      <c r="B795" s="115"/>
      <c r="C795" s="115"/>
      <c r="D795" s="115"/>
      <c r="E795" s="115"/>
      <c r="F795" s="115"/>
      <c r="G795" s="116"/>
      <c r="I795" s="118"/>
      <c r="J795" s="118"/>
      <c r="L795" s="125"/>
    </row>
    <row r="796" spans="1:12" x14ac:dyDescent="0.25">
      <c r="A796" s="115"/>
      <c r="B796" s="115"/>
      <c r="C796" s="115"/>
      <c r="D796" s="115"/>
      <c r="E796" s="115"/>
      <c r="F796" s="115"/>
      <c r="G796" s="116"/>
      <c r="I796" s="118"/>
      <c r="J796" s="118"/>
      <c r="L796" s="125"/>
    </row>
    <row r="797" spans="1:12" x14ac:dyDescent="0.25">
      <c r="A797" s="115"/>
      <c r="B797" s="115"/>
      <c r="C797" s="115"/>
      <c r="D797" s="115"/>
      <c r="E797" s="115"/>
      <c r="F797" s="115"/>
      <c r="G797" s="116"/>
      <c r="I797" s="118"/>
      <c r="J797" s="118"/>
      <c r="L797" s="125"/>
    </row>
    <row r="798" spans="1:12" x14ac:dyDescent="0.25">
      <c r="A798" s="115"/>
      <c r="B798" s="115"/>
      <c r="C798" s="115"/>
      <c r="D798" s="115"/>
      <c r="E798" s="115"/>
      <c r="F798" s="115"/>
      <c r="G798" s="116"/>
      <c r="I798" s="118"/>
      <c r="J798" s="118"/>
      <c r="L798" s="125"/>
    </row>
    <row r="799" spans="1:12" x14ac:dyDescent="0.25">
      <c r="A799" s="115"/>
      <c r="B799" s="115"/>
      <c r="C799" s="115"/>
      <c r="D799" s="115"/>
      <c r="E799" s="115"/>
      <c r="F799" s="115"/>
      <c r="G799" s="116"/>
      <c r="I799" s="118"/>
      <c r="J799" s="118"/>
      <c r="L799" s="125"/>
    </row>
    <row r="800" spans="1:12" x14ac:dyDescent="0.25">
      <c r="A800" s="115"/>
      <c r="B800" s="115"/>
      <c r="C800" s="115"/>
      <c r="D800" s="115"/>
      <c r="E800" s="115"/>
      <c r="F800" s="115"/>
      <c r="G800" s="116"/>
      <c r="I800" s="118"/>
      <c r="J800" s="118"/>
      <c r="L800" s="125"/>
    </row>
    <row r="801" spans="1:12" x14ac:dyDescent="0.25">
      <c r="A801" s="115"/>
      <c r="B801" s="115"/>
      <c r="C801" s="115"/>
      <c r="D801" s="115"/>
      <c r="E801" s="115"/>
      <c r="F801" s="115"/>
      <c r="G801" s="116"/>
      <c r="I801" s="118"/>
      <c r="J801" s="118"/>
      <c r="L801" s="125"/>
    </row>
    <row r="802" spans="1:12" x14ac:dyDescent="0.25">
      <c r="A802" s="115"/>
      <c r="B802" s="115"/>
      <c r="C802" s="115"/>
      <c r="D802" s="115"/>
      <c r="E802" s="115"/>
      <c r="F802" s="115"/>
      <c r="G802" s="116"/>
      <c r="I802" s="118"/>
      <c r="J802" s="118"/>
      <c r="L802" s="125"/>
    </row>
    <row r="803" spans="1:12" x14ac:dyDescent="0.25">
      <c r="A803" s="115"/>
      <c r="B803" s="115"/>
      <c r="C803" s="115"/>
      <c r="D803" s="115"/>
      <c r="E803" s="115"/>
      <c r="F803" s="115"/>
      <c r="G803" s="116"/>
      <c r="I803" s="118"/>
      <c r="J803" s="118"/>
      <c r="L803" s="125"/>
    </row>
    <row r="804" spans="1:12" x14ac:dyDescent="0.25">
      <c r="A804" s="115"/>
      <c r="B804" s="115"/>
      <c r="C804" s="115"/>
      <c r="D804" s="115"/>
      <c r="E804" s="115"/>
      <c r="F804" s="115"/>
      <c r="G804" s="116"/>
      <c r="I804" s="118"/>
      <c r="J804" s="118"/>
      <c r="L804" s="125"/>
    </row>
    <row r="805" spans="1:12" x14ac:dyDescent="0.25">
      <c r="A805" s="115"/>
      <c r="B805" s="115"/>
      <c r="C805" s="115"/>
      <c r="D805" s="115"/>
      <c r="E805" s="115"/>
      <c r="F805" s="115"/>
      <c r="G805" s="116"/>
      <c r="I805" s="118"/>
      <c r="J805" s="118"/>
      <c r="L805" s="125"/>
    </row>
    <row r="806" spans="1:12" x14ac:dyDescent="0.25">
      <c r="A806" s="115"/>
      <c r="B806" s="115"/>
      <c r="C806" s="115"/>
      <c r="D806" s="115"/>
      <c r="E806" s="115"/>
      <c r="F806" s="115"/>
      <c r="G806" s="116"/>
      <c r="I806" s="118"/>
      <c r="J806" s="118"/>
      <c r="L806" s="125"/>
    </row>
    <row r="807" spans="1:12" x14ac:dyDescent="0.25">
      <c r="A807" s="115"/>
      <c r="B807" s="115"/>
      <c r="C807" s="115"/>
      <c r="D807" s="115"/>
      <c r="E807" s="115"/>
      <c r="F807" s="115"/>
      <c r="G807" s="116"/>
      <c r="I807" s="118"/>
      <c r="J807" s="118"/>
      <c r="L807" s="125"/>
    </row>
    <row r="808" spans="1:12" x14ac:dyDescent="0.25">
      <c r="A808" s="115"/>
      <c r="B808" s="115"/>
      <c r="C808" s="115"/>
      <c r="D808" s="115"/>
      <c r="E808" s="115"/>
      <c r="F808" s="115"/>
      <c r="G808" s="116"/>
      <c r="I808" s="118"/>
      <c r="J808" s="118"/>
      <c r="L808" s="125"/>
    </row>
    <row r="809" spans="1:12" x14ac:dyDescent="0.25">
      <c r="A809" s="115"/>
      <c r="B809" s="115"/>
      <c r="C809" s="115"/>
      <c r="D809" s="115"/>
      <c r="E809" s="115"/>
      <c r="F809" s="115"/>
      <c r="G809" s="116"/>
      <c r="I809" s="118"/>
      <c r="J809" s="118"/>
      <c r="L809" s="125"/>
    </row>
    <row r="810" spans="1:12" x14ac:dyDescent="0.25">
      <c r="A810" s="115"/>
      <c r="B810" s="115"/>
      <c r="C810" s="115"/>
      <c r="D810" s="115"/>
      <c r="E810" s="115"/>
      <c r="F810" s="115"/>
      <c r="G810" s="116"/>
      <c r="I810" s="118"/>
      <c r="J810" s="118"/>
      <c r="L810" s="125"/>
    </row>
    <row r="811" spans="1:12" x14ac:dyDescent="0.25">
      <c r="A811" s="115"/>
      <c r="B811" s="115"/>
      <c r="C811" s="115"/>
      <c r="D811" s="115"/>
      <c r="E811" s="115"/>
      <c r="F811" s="115"/>
      <c r="G811" s="116"/>
      <c r="I811" s="118"/>
      <c r="J811" s="118"/>
      <c r="L811" s="125"/>
    </row>
    <row r="812" spans="1:12" x14ac:dyDescent="0.25">
      <c r="A812" s="115"/>
      <c r="B812" s="115"/>
      <c r="C812" s="115"/>
      <c r="D812" s="115"/>
      <c r="E812" s="115"/>
      <c r="F812" s="115"/>
      <c r="G812" s="116"/>
      <c r="I812" s="118"/>
      <c r="J812" s="118"/>
      <c r="L812" s="125"/>
    </row>
    <row r="813" spans="1:12" x14ac:dyDescent="0.25">
      <c r="A813" s="115"/>
      <c r="B813" s="115"/>
      <c r="C813" s="115"/>
      <c r="D813" s="115"/>
      <c r="E813" s="115"/>
      <c r="F813" s="115"/>
      <c r="G813" s="116"/>
      <c r="I813" s="118"/>
      <c r="J813" s="118"/>
      <c r="L813" s="125"/>
    </row>
    <row r="814" spans="1:12" x14ac:dyDescent="0.25">
      <c r="A814" s="115"/>
      <c r="B814" s="115"/>
      <c r="C814" s="115"/>
      <c r="D814" s="115"/>
      <c r="E814" s="115"/>
      <c r="F814" s="115"/>
      <c r="G814" s="116"/>
      <c r="I814" s="118"/>
      <c r="J814" s="118"/>
      <c r="L814" s="125"/>
    </row>
    <row r="815" spans="1:12" x14ac:dyDescent="0.25">
      <c r="A815" s="115"/>
      <c r="B815" s="115"/>
      <c r="C815" s="115"/>
      <c r="D815" s="115"/>
      <c r="E815" s="115"/>
      <c r="F815" s="115"/>
      <c r="G815" s="116"/>
      <c r="I815" s="118"/>
      <c r="J815" s="118"/>
      <c r="L815" s="125"/>
    </row>
    <row r="816" spans="1:12" x14ac:dyDescent="0.25">
      <c r="A816" s="115"/>
      <c r="B816" s="115"/>
      <c r="C816" s="115"/>
      <c r="D816" s="115"/>
      <c r="E816" s="115"/>
      <c r="F816" s="115"/>
      <c r="G816" s="116"/>
      <c r="I816" s="118"/>
      <c r="J816" s="118"/>
      <c r="L816" s="125"/>
    </row>
    <row r="817" spans="1:12" x14ac:dyDescent="0.25">
      <c r="A817" s="115"/>
      <c r="B817" s="115"/>
      <c r="C817" s="115"/>
      <c r="D817" s="115"/>
      <c r="E817" s="115"/>
      <c r="F817" s="115"/>
      <c r="G817" s="116"/>
      <c r="I817" s="118"/>
      <c r="J817" s="118"/>
      <c r="L817" s="125"/>
    </row>
    <row r="818" spans="1:12" x14ac:dyDescent="0.25">
      <c r="A818" s="115"/>
      <c r="B818" s="115"/>
      <c r="C818" s="115"/>
      <c r="D818" s="115"/>
      <c r="E818" s="115"/>
      <c r="F818" s="115"/>
      <c r="G818" s="116"/>
      <c r="I818" s="118"/>
      <c r="J818" s="118"/>
      <c r="L818" s="125"/>
    </row>
    <row r="819" spans="1:12" x14ac:dyDescent="0.25">
      <c r="A819" s="115"/>
      <c r="B819" s="115"/>
      <c r="C819" s="115"/>
      <c r="D819" s="115"/>
      <c r="E819" s="115"/>
      <c r="F819" s="115"/>
      <c r="G819" s="116"/>
      <c r="I819" s="118"/>
      <c r="J819" s="118"/>
      <c r="L819" s="125"/>
    </row>
    <row r="820" spans="1:12" x14ac:dyDescent="0.25">
      <c r="A820" s="115"/>
      <c r="B820" s="115"/>
      <c r="C820" s="115"/>
      <c r="D820" s="115"/>
      <c r="E820" s="115"/>
      <c r="F820" s="115"/>
      <c r="G820" s="116"/>
      <c r="I820" s="118"/>
      <c r="J820" s="118"/>
      <c r="L820" s="125"/>
    </row>
    <row r="821" spans="1:12" x14ac:dyDescent="0.25">
      <c r="A821" s="115"/>
      <c r="B821" s="115"/>
      <c r="C821" s="115"/>
      <c r="D821" s="115"/>
      <c r="E821" s="115"/>
      <c r="F821" s="115"/>
      <c r="G821" s="116"/>
      <c r="I821" s="118"/>
      <c r="J821" s="118"/>
      <c r="L821" s="125"/>
    </row>
    <row r="822" spans="1:12" x14ac:dyDescent="0.25">
      <c r="A822" s="115"/>
      <c r="B822" s="115"/>
      <c r="C822" s="115"/>
      <c r="D822" s="115"/>
      <c r="E822" s="115"/>
      <c r="F822" s="115"/>
      <c r="G822" s="116"/>
      <c r="I822" s="118"/>
      <c r="J822" s="118"/>
      <c r="L822" s="125"/>
    </row>
    <row r="823" spans="1:12" x14ac:dyDescent="0.25">
      <c r="A823" s="115"/>
      <c r="B823" s="115"/>
      <c r="C823" s="115"/>
      <c r="D823" s="115"/>
      <c r="E823" s="115"/>
      <c r="F823" s="115"/>
      <c r="G823" s="116"/>
      <c r="I823" s="118"/>
      <c r="J823" s="118"/>
      <c r="L823" s="125"/>
    </row>
    <row r="824" spans="1:12" x14ac:dyDescent="0.25">
      <c r="A824" s="115"/>
      <c r="B824" s="115"/>
      <c r="C824" s="115"/>
      <c r="D824" s="115"/>
      <c r="E824" s="115"/>
      <c r="F824" s="115"/>
      <c r="G824" s="116"/>
      <c r="I824" s="118"/>
      <c r="J824" s="118"/>
      <c r="L824" s="125"/>
    </row>
    <row r="825" spans="1:12" x14ac:dyDescent="0.25">
      <c r="A825" s="115"/>
      <c r="B825" s="115"/>
      <c r="C825" s="115"/>
      <c r="D825" s="115"/>
      <c r="E825" s="115"/>
      <c r="F825" s="115"/>
      <c r="G825" s="116"/>
      <c r="I825" s="118"/>
      <c r="J825" s="118"/>
      <c r="L825" s="125"/>
    </row>
    <row r="826" spans="1:12" x14ac:dyDescent="0.25">
      <c r="A826" s="115"/>
      <c r="B826" s="115"/>
      <c r="C826" s="115"/>
      <c r="D826" s="115"/>
      <c r="E826" s="115"/>
      <c r="F826" s="115"/>
      <c r="G826" s="116"/>
      <c r="I826" s="118"/>
      <c r="J826" s="118"/>
      <c r="L826" s="125"/>
    </row>
    <row r="827" spans="1:12" x14ac:dyDescent="0.25">
      <c r="A827" s="115"/>
      <c r="B827" s="115"/>
      <c r="C827" s="115"/>
      <c r="D827" s="115"/>
      <c r="E827" s="115"/>
      <c r="F827" s="115"/>
      <c r="G827" s="116"/>
      <c r="I827" s="118"/>
      <c r="J827" s="118"/>
      <c r="L827" s="125"/>
    </row>
    <row r="828" spans="1:12" x14ac:dyDescent="0.25">
      <c r="A828" s="115"/>
      <c r="B828" s="115"/>
      <c r="C828" s="115"/>
      <c r="D828" s="115"/>
      <c r="E828" s="115"/>
      <c r="F828" s="115"/>
      <c r="G828" s="116"/>
      <c r="I828" s="118"/>
      <c r="J828" s="118"/>
      <c r="L828" s="125"/>
    </row>
    <row r="829" spans="1:12" x14ac:dyDescent="0.25">
      <c r="A829" s="115"/>
      <c r="B829" s="115"/>
      <c r="C829" s="115"/>
      <c r="D829" s="115"/>
      <c r="E829" s="115"/>
      <c r="F829" s="115"/>
      <c r="G829" s="116"/>
      <c r="I829" s="118"/>
      <c r="J829" s="118"/>
      <c r="L829" s="125"/>
    </row>
    <row r="830" spans="1:12" x14ac:dyDescent="0.25">
      <c r="A830" s="115"/>
      <c r="B830" s="115"/>
      <c r="C830" s="115"/>
      <c r="D830" s="115"/>
      <c r="E830" s="115"/>
      <c r="F830" s="115"/>
      <c r="G830" s="116"/>
      <c r="I830" s="118"/>
      <c r="J830" s="118"/>
      <c r="L830" s="125"/>
    </row>
    <row r="831" spans="1:12" x14ac:dyDescent="0.25">
      <c r="A831" s="115"/>
      <c r="B831" s="115"/>
      <c r="C831" s="115"/>
      <c r="D831" s="115"/>
      <c r="E831" s="115"/>
      <c r="F831" s="115"/>
      <c r="G831" s="116"/>
      <c r="I831" s="118"/>
      <c r="J831" s="118"/>
      <c r="L831" s="125"/>
    </row>
    <row r="832" spans="1:12" x14ac:dyDescent="0.25">
      <c r="A832" s="115"/>
      <c r="B832" s="115"/>
      <c r="C832" s="115"/>
      <c r="D832" s="115"/>
      <c r="E832" s="115"/>
      <c r="F832" s="115"/>
      <c r="G832" s="116"/>
      <c r="I832" s="118"/>
      <c r="J832" s="118"/>
      <c r="L832" s="125"/>
    </row>
    <row r="833" spans="1:12" x14ac:dyDescent="0.25">
      <c r="A833" s="115"/>
      <c r="B833" s="115"/>
      <c r="C833" s="115"/>
      <c r="D833" s="115"/>
      <c r="E833" s="115"/>
      <c r="F833" s="115"/>
      <c r="G833" s="116"/>
      <c r="I833" s="118"/>
      <c r="J833" s="118"/>
      <c r="L833" s="125"/>
    </row>
    <row r="834" spans="1:12" x14ac:dyDescent="0.25">
      <c r="A834" s="115"/>
      <c r="B834" s="115"/>
      <c r="C834" s="115"/>
      <c r="D834" s="115"/>
      <c r="E834" s="115"/>
      <c r="F834" s="115"/>
      <c r="G834" s="116"/>
      <c r="I834" s="118"/>
      <c r="J834" s="118"/>
      <c r="L834" s="125"/>
    </row>
    <row r="835" spans="1:12" x14ac:dyDescent="0.25">
      <c r="A835" s="115"/>
      <c r="B835" s="115"/>
      <c r="C835" s="115"/>
      <c r="D835" s="115"/>
      <c r="E835" s="115"/>
      <c r="F835" s="115"/>
      <c r="G835" s="116"/>
      <c r="I835" s="118"/>
      <c r="J835" s="118"/>
      <c r="L835" s="125"/>
    </row>
    <row r="836" spans="1:12" x14ac:dyDescent="0.25">
      <c r="A836" s="115"/>
      <c r="B836" s="115"/>
      <c r="C836" s="115"/>
      <c r="D836" s="115"/>
      <c r="E836" s="115"/>
      <c r="F836" s="115"/>
      <c r="G836" s="116"/>
      <c r="I836" s="118"/>
      <c r="J836" s="118"/>
      <c r="L836" s="125"/>
    </row>
    <row r="837" spans="1:12" x14ac:dyDescent="0.25">
      <c r="A837" s="115"/>
      <c r="B837" s="115"/>
      <c r="C837" s="115"/>
      <c r="D837" s="115"/>
      <c r="E837" s="115"/>
      <c r="F837" s="115"/>
      <c r="G837" s="116"/>
      <c r="I837" s="118"/>
      <c r="J837" s="118"/>
      <c r="L837" s="125"/>
    </row>
    <row r="838" spans="1:12" x14ac:dyDescent="0.25">
      <c r="A838" s="115"/>
      <c r="B838" s="115"/>
      <c r="C838" s="115"/>
      <c r="D838" s="115"/>
      <c r="E838" s="115"/>
      <c r="F838" s="115"/>
      <c r="G838" s="116"/>
      <c r="I838" s="118"/>
      <c r="J838" s="118"/>
      <c r="L838" s="125"/>
    </row>
    <row r="839" spans="1:12" x14ac:dyDescent="0.25">
      <c r="A839" s="115"/>
      <c r="B839" s="115"/>
      <c r="C839" s="115"/>
      <c r="D839" s="115"/>
      <c r="E839" s="115"/>
      <c r="F839" s="115"/>
      <c r="G839" s="116"/>
      <c r="I839" s="118"/>
      <c r="J839" s="118"/>
      <c r="L839" s="125"/>
    </row>
    <row r="840" spans="1:12" x14ac:dyDescent="0.25">
      <c r="A840" s="115"/>
      <c r="B840" s="115"/>
      <c r="C840" s="115"/>
      <c r="D840" s="115"/>
      <c r="E840" s="115"/>
      <c r="F840" s="115"/>
      <c r="G840" s="116"/>
      <c r="I840" s="118"/>
      <c r="J840" s="118"/>
      <c r="L840" s="125"/>
    </row>
    <row r="841" spans="1:12" x14ac:dyDescent="0.25">
      <c r="A841" s="115"/>
      <c r="B841" s="115"/>
      <c r="C841" s="115"/>
      <c r="D841" s="115"/>
      <c r="E841" s="115"/>
      <c r="F841" s="115"/>
      <c r="G841" s="116"/>
      <c r="I841" s="118"/>
      <c r="J841" s="118"/>
      <c r="L841" s="125"/>
    </row>
    <row r="842" spans="1:12" x14ac:dyDescent="0.25">
      <c r="A842" s="115"/>
      <c r="B842" s="115"/>
      <c r="C842" s="115"/>
      <c r="D842" s="115"/>
      <c r="E842" s="115"/>
      <c r="F842" s="115"/>
      <c r="G842" s="116"/>
      <c r="I842" s="118"/>
      <c r="J842" s="118"/>
      <c r="L842" s="125"/>
    </row>
    <row r="843" spans="1:12" x14ac:dyDescent="0.25">
      <c r="A843" s="115"/>
      <c r="B843" s="115"/>
      <c r="C843" s="115"/>
      <c r="D843" s="115"/>
      <c r="E843" s="115"/>
      <c r="F843" s="115"/>
      <c r="G843" s="116"/>
      <c r="I843" s="118"/>
      <c r="J843" s="118"/>
      <c r="L843" s="125"/>
    </row>
    <row r="844" spans="1:12" x14ac:dyDescent="0.25">
      <c r="A844" s="115"/>
      <c r="B844" s="115"/>
      <c r="C844" s="115"/>
      <c r="D844" s="115"/>
      <c r="E844" s="115"/>
      <c r="F844" s="115"/>
      <c r="G844" s="116"/>
      <c r="I844" s="118"/>
      <c r="J844" s="118"/>
      <c r="L844" s="125"/>
    </row>
    <row r="845" spans="1:12" x14ac:dyDescent="0.25">
      <c r="A845" s="115"/>
      <c r="B845" s="115"/>
      <c r="C845" s="115"/>
      <c r="D845" s="115"/>
      <c r="E845" s="115"/>
      <c r="F845" s="115"/>
      <c r="G845" s="116"/>
      <c r="I845" s="118"/>
      <c r="J845" s="118"/>
      <c r="L845" s="125"/>
    </row>
    <row r="846" spans="1:12" x14ac:dyDescent="0.25">
      <c r="A846" s="115"/>
      <c r="B846" s="115"/>
      <c r="C846" s="115"/>
      <c r="D846" s="115"/>
      <c r="E846" s="115"/>
      <c r="F846" s="115"/>
      <c r="G846" s="116"/>
      <c r="I846" s="118"/>
      <c r="J846" s="118"/>
      <c r="L846" s="125"/>
    </row>
    <row r="847" spans="1:12" x14ac:dyDescent="0.25">
      <c r="A847" s="115"/>
      <c r="B847" s="115"/>
      <c r="C847" s="115"/>
      <c r="D847" s="115"/>
      <c r="E847" s="115"/>
      <c r="F847" s="115"/>
      <c r="G847" s="116"/>
      <c r="I847" s="118"/>
      <c r="J847" s="118"/>
      <c r="L847" s="125"/>
    </row>
    <row r="848" spans="1:12" x14ac:dyDescent="0.25">
      <c r="A848" s="115"/>
      <c r="B848" s="115"/>
      <c r="C848" s="115"/>
      <c r="D848" s="115"/>
      <c r="E848" s="115"/>
      <c r="F848" s="115"/>
      <c r="G848" s="116"/>
      <c r="I848" s="118"/>
      <c r="J848" s="118"/>
      <c r="L848" s="125"/>
    </row>
    <row r="849" spans="1:12" x14ac:dyDescent="0.25">
      <c r="A849" s="115"/>
      <c r="B849" s="115"/>
      <c r="C849" s="115"/>
      <c r="D849" s="115"/>
      <c r="E849" s="115"/>
      <c r="F849" s="115"/>
      <c r="G849" s="116"/>
      <c r="I849" s="118"/>
      <c r="J849" s="118"/>
      <c r="L849" s="125"/>
    </row>
    <row r="850" spans="1:12" x14ac:dyDescent="0.25">
      <c r="A850" s="115"/>
      <c r="B850" s="115"/>
      <c r="C850" s="115"/>
      <c r="D850" s="115"/>
      <c r="E850" s="115"/>
      <c r="F850" s="115"/>
      <c r="G850" s="116"/>
      <c r="I850" s="118"/>
      <c r="J850" s="118"/>
      <c r="L850" s="125"/>
    </row>
    <row r="851" spans="1:12" x14ac:dyDescent="0.25">
      <c r="A851" s="115"/>
      <c r="B851" s="115"/>
      <c r="C851" s="115"/>
      <c r="D851" s="115"/>
      <c r="E851" s="115"/>
      <c r="F851" s="115"/>
      <c r="G851" s="116"/>
      <c r="I851" s="118"/>
      <c r="J851" s="118"/>
      <c r="L851" s="125"/>
    </row>
    <row r="852" spans="1:12" x14ac:dyDescent="0.25">
      <c r="A852" s="115"/>
      <c r="B852" s="115"/>
      <c r="C852" s="115"/>
      <c r="D852" s="115"/>
      <c r="E852" s="115"/>
      <c r="F852" s="115"/>
      <c r="G852" s="116"/>
      <c r="I852" s="118"/>
      <c r="J852" s="118"/>
      <c r="L852" s="125"/>
    </row>
    <row r="853" spans="1:12" x14ac:dyDescent="0.25">
      <c r="A853" s="115"/>
      <c r="B853" s="115"/>
      <c r="C853" s="115"/>
      <c r="D853" s="115"/>
      <c r="E853" s="115"/>
      <c r="F853" s="115"/>
      <c r="G853" s="116"/>
      <c r="I853" s="118"/>
      <c r="J853" s="118"/>
      <c r="L853" s="125"/>
    </row>
    <row r="854" spans="1:12" x14ac:dyDescent="0.25">
      <c r="A854" s="115"/>
      <c r="B854" s="115"/>
      <c r="C854" s="115"/>
      <c r="D854" s="115"/>
      <c r="E854" s="115"/>
      <c r="F854" s="115"/>
      <c r="G854" s="116"/>
      <c r="I854" s="118"/>
      <c r="J854" s="118"/>
      <c r="L854" s="125"/>
    </row>
    <row r="855" spans="1:12" x14ac:dyDescent="0.25">
      <c r="A855" s="115"/>
      <c r="B855" s="115"/>
      <c r="C855" s="115"/>
      <c r="D855" s="115"/>
      <c r="E855" s="115"/>
      <c r="F855" s="115"/>
      <c r="G855" s="116"/>
      <c r="I855" s="118"/>
      <c r="J855" s="118"/>
      <c r="L855" s="125"/>
    </row>
    <row r="856" spans="1:12" x14ac:dyDescent="0.25">
      <c r="A856" s="115"/>
      <c r="B856" s="115"/>
      <c r="C856" s="115"/>
      <c r="D856" s="115"/>
      <c r="E856" s="115"/>
      <c r="F856" s="115"/>
      <c r="G856" s="116"/>
      <c r="I856" s="118"/>
      <c r="J856" s="118"/>
      <c r="L856" s="125"/>
    </row>
    <row r="857" spans="1:12" x14ac:dyDescent="0.25">
      <c r="A857" s="115"/>
      <c r="B857" s="115"/>
      <c r="C857" s="115"/>
      <c r="D857" s="115"/>
      <c r="E857" s="115"/>
      <c r="F857" s="115"/>
      <c r="G857" s="116"/>
      <c r="I857" s="118"/>
      <c r="J857" s="118"/>
      <c r="L857" s="125"/>
    </row>
    <row r="858" spans="1:12" x14ac:dyDescent="0.25">
      <c r="A858" s="115"/>
      <c r="B858" s="115"/>
      <c r="C858" s="115"/>
      <c r="D858" s="115"/>
      <c r="E858" s="115"/>
      <c r="F858" s="115"/>
      <c r="G858" s="116"/>
      <c r="I858" s="118"/>
      <c r="J858" s="118"/>
      <c r="L858" s="125"/>
    </row>
    <row r="859" spans="1:12" x14ac:dyDescent="0.25">
      <c r="A859" s="115"/>
      <c r="B859" s="115"/>
      <c r="C859" s="115"/>
      <c r="D859" s="115"/>
      <c r="E859" s="115"/>
      <c r="F859" s="115"/>
      <c r="G859" s="116"/>
      <c r="I859" s="118"/>
      <c r="J859" s="118"/>
      <c r="L859" s="125"/>
    </row>
    <row r="860" spans="1:12" x14ac:dyDescent="0.25">
      <c r="A860" s="115"/>
      <c r="B860" s="115"/>
      <c r="C860" s="115"/>
      <c r="D860" s="115"/>
      <c r="E860" s="115"/>
      <c r="F860" s="115"/>
      <c r="G860" s="116"/>
      <c r="I860" s="118"/>
      <c r="J860" s="118"/>
      <c r="L860" s="125"/>
    </row>
    <row r="861" spans="1:12" x14ac:dyDescent="0.25">
      <c r="A861" s="115"/>
      <c r="B861" s="115"/>
      <c r="C861" s="115"/>
      <c r="D861" s="115"/>
      <c r="E861" s="115"/>
      <c r="F861" s="115"/>
      <c r="G861" s="116"/>
      <c r="I861" s="118"/>
      <c r="J861" s="118"/>
      <c r="L861" s="125"/>
    </row>
    <row r="862" spans="1:12" x14ac:dyDescent="0.25">
      <c r="A862" s="115"/>
      <c r="B862" s="115"/>
      <c r="C862" s="115"/>
      <c r="D862" s="115"/>
      <c r="E862" s="115"/>
      <c r="F862" s="115"/>
      <c r="G862" s="116"/>
      <c r="I862" s="118"/>
      <c r="J862" s="118"/>
      <c r="L862" s="125"/>
    </row>
    <row r="863" spans="1:12" x14ac:dyDescent="0.25">
      <c r="A863" s="115"/>
      <c r="B863" s="115"/>
      <c r="C863" s="115"/>
      <c r="D863" s="115"/>
      <c r="E863" s="115"/>
      <c r="F863" s="115"/>
      <c r="G863" s="116"/>
      <c r="I863" s="118"/>
      <c r="J863" s="118"/>
      <c r="L863" s="125"/>
    </row>
    <row r="864" spans="1:12" x14ac:dyDescent="0.25">
      <c r="A864" s="115"/>
      <c r="B864" s="115"/>
      <c r="C864" s="115"/>
      <c r="D864" s="115"/>
      <c r="E864" s="115"/>
      <c r="F864" s="115"/>
      <c r="G864" s="116"/>
      <c r="I864" s="118"/>
      <c r="J864" s="118"/>
      <c r="L864" s="125"/>
    </row>
    <row r="865" spans="1:12" x14ac:dyDescent="0.25">
      <c r="A865" s="115"/>
      <c r="B865" s="115"/>
      <c r="C865" s="115"/>
      <c r="D865" s="115"/>
      <c r="E865" s="115"/>
      <c r="F865" s="115"/>
      <c r="G865" s="116"/>
      <c r="I865" s="118"/>
      <c r="J865" s="118"/>
      <c r="L865" s="125"/>
    </row>
    <row r="866" spans="1:12" x14ac:dyDescent="0.25">
      <c r="A866" s="115"/>
      <c r="B866" s="115"/>
      <c r="C866" s="115"/>
      <c r="D866" s="115"/>
      <c r="E866" s="115"/>
      <c r="F866" s="115"/>
      <c r="G866" s="116"/>
      <c r="I866" s="118"/>
      <c r="J866" s="118"/>
      <c r="L866" s="125"/>
    </row>
    <row r="867" spans="1:12" x14ac:dyDescent="0.25">
      <c r="A867" s="115"/>
      <c r="B867" s="115"/>
      <c r="C867" s="115"/>
      <c r="D867" s="115"/>
      <c r="E867" s="115"/>
      <c r="F867" s="115"/>
      <c r="G867" s="116"/>
      <c r="I867" s="118"/>
      <c r="J867" s="118"/>
      <c r="L867" s="125"/>
    </row>
    <row r="868" spans="1:12" x14ac:dyDescent="0.25">
      <c r="A868" s="115"/>
      <c r="B868" s="115"/>
      <c r="C868" s="115"/>
      <c r="D868" s="115"/>
      <c r="E868" s="115"/>
      <c r="F868" s="115"/>
      <c r="G868" s="116"/>
      <c r="I868" s="118"/>
      <c r="J868" s="118"/>
      <c r="L868" s="125"/>
    </row>
    <row r="869" spans="1:12" x14ac:dyDescent="0.25">
      <c r="A869" s="115"/>
      <c r="B869" s="115"/>
      <c r="C869" s="115"/>
      <c r="D869" s="115"/>
      <c r="E869" s="115"/>
      <c r="F869" s="115"/>
      <c r="G869" s="116"/>
      <c r="I869" s="118"/>
      <c r="J869" s="118"/>
      <c r="L869" s="125"/>
    </row>
    <row r="870" spans="1:12" x14ac:dyDescent="0.25">
      <c r="A870" s="115"/>
      <c r="B870" s="115"/>
      <c r="C870" s="115"/>
      <c r="D870" s="115"/>
      <c r="E870" s="115"/>
      <c r="F870" s="115"/>
      <c r="G870" s="116"/>
      <c r="I870" s="118"/>
      <c r="J870" s="118"/>
      <c r="L870" s="125"/>
    </row>
    <row r="871" spans="1:12" x14ac:dyDescent="0.25">
      <c r="A871" s="115"/>
      <c r="B871" s="115"/>
      <c r="C871" s="115"/>
      <c r="D871" s="115"/>
      <c r="E871" s="115"/>
      <c r="F871" s="115"/>
      <c r="G871" s="116"/>
      <c r="I871" s="118"/>
      <c r="J871" s="118"/>
      <c r="L871" s="125"/>
    </row>
    <row r="872" spans="1:12" x14ac:dyDescent="0.25">
      <c r="A872" s="115"/>
      <c r="B872" s="115"/>
      <c r="C872" s="115"/>
      <c r="D872" s="115"/>
      <c r="E872" s="115"/>
      <c r="F872" s="115"/>
      <c r="G872" s="116"/>
      <c r="I872" s="118"/>
      <c r="J872" s="118"/>
      <c r="L872" s="125"/>
    </row>
    <row r="873" spans="1:12" x14ac:dyDescent="0.25">
      <c r="A873" s="115"/>
      <c r="B873" s="115"/>
      <c r="C873" s="115"/>
      <c r="D873" s="115"/>
      <c r="E873" s="115"/>
      <c r="F873" s="115"/>
      <c r="G873" s="116"/>
      <c r="I873" s="118"/>
      <c r="J873" s="118"/>
      <c r="L873" s="125"/>
    </row>
    <row r="874" spans="1:12" x14ac:dyDescent="0.25">
      <c r="A874" s="115"/>
      <c r="B874" s="115"/>
      <c r="C874" s="115"/>
      <c r="D874" s="115"/>
      <c r="E874" s="115"/>
      <c r="F874" s="115"/>
      <c r="G874" s="116"/>
      <c r="I874" s="118"/>
      <c r="J874" s="118"/>
      <c r="L874" s="125"/>
    </row>
    <row r="875" spans="1:12" x14ac:dyDescent="0.25">
      <c r="A875" s="115"/>
      <c r="B875" s="115"/>
      <c r="C875" s="115"/>
      <c r="D875" s="115"/>
      <c r="E875" s="115"/>
      <c r="F875" s="115"/>
      <c r="G875" s="116"/>
      <c r="I875" s="118"/>
      <c r="J875" s="118"/>
      <c r="L875" s="125"/>
    </row>
    <row r="876" spans="1:12" x14ac:dyDescent="0.25">
      <c r="A876" s="115"/>
      <c r="B876" s="115"/>
      <c r="C876" s="115"/>
      <c r="D876" s="115"/>
      <c r="E876" s="115"/>
      <c r="F876" s="115"/>
      <c r="G876" s="116"/>
      <c r="I876" s="118"/>
      <c r="J876" s="118"/>
      <c r="L876" s="125"/>
    </row>
    <row r="877" spans="1:12" x14ac:dyDescent="0.25">
      <c r="A877" s="115"/>
      <c r="B877" s="115"/>
      <c r="C877" s="115"/>
      <c r="D877" s="115"/>
      <c r="E877" s="115"/>
      <c r="F877" s="115"/>
      <c r="G877" s="116"/>
      <c r="I877" s="118"/>
      <c r="J877" s="118"/>
      <c r="L877" s="125"/>
    </row>
    <row r="878" spans="1:12" x14ac:dyDescent="0.25">
      <c r="A878" s="115"/>
      <c r="B878" s="115"/>
      <c r="C878" s="115"/>
      <c r="D878" s="115"/>
      <c r="E878" s="115"/>
      <c r="F878" s="115"/>
      <c r="G878" s="116"/>
      <c r="I878" s="118"/>
      <c r="J878" s="118"/>
      <c r="L878" s="125"/>
    </row>
    <row r="879" spans="1:12" x14ac:dyDescent="0.25">
      <c r="A879" s="115"/>
      <c r="B879" s="115"/>
      <c r="C879" s="115"/>
      <c r="D879" s="115"/>
      <c r="E879" s="115"/>
      <c r="F879" s="115"/>
      <c r="G879" s="116"/>
      <c r="I879" s="118"/>
      <c r="J879" s="118"/>
      <c r="L879" s="125"/>
    </row>
    <row r="880" spans="1:12" x14ac:dyDescent="0.25">
      <c r="A880" s="115"/>
      <c r="B880" s="115"/>
      <c r="C880" s="115"/>
      <c r="D880" s="115"/>
      <c r="E880" s="115"/>
      <c r="F880" s="115"/>
      <c r="G880" s="116"/>
      <c r="I880" s="118"/>
      <c r="J880" s="118"/>
      <c r="L880" s="125"/>
    </row>
    <row r="881" spans="1:12" x14ac:dyDescent="0.25">
      <c r="A881" s="115"/>
      <c r="B881" s="115"/>
      <c r="C881" s="115"/>
      <c r="D881" s="115"/>
      <c r="E881" s="115"/>
      <c r="F881" s="115"/>
      <c r="G881" s="116"/>
      <c r="I881" s="118"/>
      <c r="J881" s="118"/>
      <c r="L881" s="125"/>
    </row>
    <row r="882" spans="1:12" x14ac:dyDescent="0.25">
      <c r="A882" s="115"/>
      <c r="B882" s="115"/>
      <c r="C882" s="115"/>
      <c r="D882" s="115"/>
      <c r="E882" s="115"/>
      <c r="F882" s="115"/>
      <c r="G882" s="116"/>
      <c r="I882" s="118"/>
      <c r="J882" s="118"/>
      <c r="L882" s="125"/>
    </row>
    <row r="883" spans="1:12" x14ac:dyDescent="0.25">
      <c r="A883" s="115"/>
      <c r="B883" s="115"/>
      <c r="C883" s="115"/>
      <c r="D883" s="115"/>
      <c r="E883" s="115"/>
      <c r="F883" s="115"/>
      <c r="G883" s="116"/>
      <c r="I883" s="118"/>
      <c r="J883" s="118"/>
      <c r="L883" s="125"/>
    </row>
    <row r="884" spans="1:12" x14ac:dyDescent="0.25">
      <c r="A884" s="115"/>
      <c r="B884" s="115"/>
      <c r="C884" s="115"/>
      <c r="D884" s="115"/>
      <c r="E884" s="115"/>
      <c r="F884" s="115"/>
      <c r="G884" s="116"/>
      <c r="I884" s="118"/>
      <c r="J884" s="118"/>
      <c r="L884" s="125"/>
    </row>
    <row r="885" spans="1:12" x14ac:dyDescent="0.25">
      <c r="A885" s="115"/>
      <c r="B885" s="115"/>
      <c r="C885" s="115"/>
      <c r="D885" s="115"/>
      <c r="E885" s="115"/>
      <c r="F885" s="115"/>
      <c r="G885" s="116"/>
      <c r="I885" s="118"/>
      <c r="J885" s="118"/>
      <c r="L885" s="125"/>
    </row>
    <row r="886" spans="1:12" x14ac:dyDescent="0.25">
      <c r="A886" s="115"/>
      <c r="B886" s="115"/>
      <c r="C886" s="115"/>
      <c r="D886" s="115"/>
      <c r="E886" s="115"/>
      <c r="F886" s="115"/>
      <c r="G886" s="116"/>
      <c r="I886" s="118"/>
      <c r="J886" s="118"/>
      <c r="L886" s="125"/>
    </row>
    <row r="887" spans="1:12" x14ac:dyDescent="0.25">
      <c r="A887" s="115"/>
      <c r="B887" s="115"/>
      <c r="C887" s="115"/>
      <c r="D887" s="115"/>
      <c r="E887" s="115"/>
      <c r="F887" s="115"/>
      <c r="G887" s="116"/>
      <c r="I887" s="118"/>
      <c r="J887" s="118"/>
      <c r="L887" s="125"/>
    </row>
    <row r="888" spans="1:12" x14ac:dyDescent="0.25">
      <c r="A888" s="115"/>
      <c r="B888" s="115"/>
      <c r="C888" s="115"/>
      <c r="D888" s="115"/>
      <c r="E888" s="115"/>
      <c r="F888" s="115"/>
      <c r="G888" s="116"/>
      <c r="I888" s="118"/>
      <c r="J888" s="118"/>
      <c r="L888" s="125"/>
    </row>
    <row r="889" spans="1:12" x14ac:dyDescent="0.25">
      <c r="A889" s="115"/>
      <c r="B889" s="115"/>
      <c r="C889" s="115"/>
      <c r="D889" s="115"/>
      <c r="E889" s="115"/>
      <c r="F889" s="115"/>
      <c r="G889" s="116"/>
      <c r="I889" s="118"/>
      <c r="J889" s="118"/>
      <c r="L889" s="125"/>
    </row>
    <row r="890" spans="1:12" x14ac:dyDescent="0.25">
      <c r="A890" s="115"/>
      <c r="B890" s="115"/>
      <c r="C890" s="115"/>
      <c r="D890" s="115"/>
      <c r="E890" s="115"/>
      <c r="F890" s="115"/>
      <c r="G890" s="116"/>
      <c r="I890" s="118"/>
      <c r="J890" s="118"/>
      <c r="L890" s="125"/>
    </row>
    <row r="891" spans="1:12" x14ac:dyDescent="0.25">
      <c r="A891" s="115"/>
      <c r="B891" s="115"/>
      <c r="C891" s="115"/>
      <c r="D891" s="115"/>
      <c r="E891" s="115"/>
      <c r="F891" s="115"/>
      <c r="G891" s="116"/>
      <c r="I891" s="118"/>
      <c r="J891" s="118"/>
      <c r="L891" s="125"/>
    </row>
    <row r="892" spans="1:12" x14ac:dyDescent="0.25">
      <c r="A892" s="115"/>
      <c r="B892" s="115"/>
      <c r="C892" s="115"/>
      <c r="D892" s="115"/>
      <c r="E892" s="115"/>
      <c r="F892" s="115"/>
      <c r="G892" s="116"/>
      <c r="I892" s="118"/>
      <c r="J892" s="118"/>
      <c r="L892" s="125"/>
    </row>
    <row r="893" spans="1:12" x14ac:dyDescent="0.25">
      <c r="A893" s="115"/>
      <c r="B893" s="115"/>
      <c r="C893" s="115"/>
      <c r="D893" s="115"/>
      <c r="E893" s="115"/>
      <c r="F893" s="115"/>
      <c r="G893" s="116"/>
      <c r="I893" s="118"/>
      <c r="J893" s="118"/>
      <c r="L893" s="125"/>
    </row>
    <row r="894" spans="1:12" x14ac:dyDescent="0.25">
      <c r="A894" s="115"/>
      <c r="B894" s="115"/>
      <c r="C894" s="115"/>
      <c r="D894" s="115"/>
      <c r="E894" s="115"/>
      <c r="F894" s="115"/>
      <c r="G894" s="116"/>
      <c r="I894" s="118"/>
      <c r="J894" s="118"/>
      <c r="L894" s="125"/>
    </row>
    <row r="895" spans="1:12" x14ac:dyDescent="0.25">
      <c r="A895" s="115"/>
      <c r="B895" s="115"/>
      <c r="C895" s="115"/>
      <c r="D895" s="115"/>
      <c r="E895" s="115"/>
      <c r="F895" s="115"/>
      <c r="G895" s="116"/>
      <c r="I895" s="118"/>
      <c r="J895" s="118"/>
      <c r="L895" s="125"/>
    </row>
    <row r="896" spans="1:12" x14ac:dyDescent="0.25">
      <c r="A896" s="115"/>
      <c r="B896" s="115"/>
      <c r="C896" s="115"/>
      <c r="D896" s="115"/>
      <c r="E896" s="115"/>
      <c r="F896" s="115"/>
      <c r="G896" s="116"/>
      <c r="I896" s="118"/>
      <c r="J896" s="118"/>
      <c r="L896" s="125"/>
    </row>
    <row r="897" spans="1:12" x14ac:dyDescent="0.25">
      <c r="A897" s="115"/>
      <c r="B897" s="115"/>
      <c r="C897" s="115"/>
      <c r="D897" s="115"/>
      <c r="E897" s="115"/>
      <c r="F897" s="115"/>
      <c r="G897" s="116"/>
      <c r="I897" s="118"/>
      <c r="J897" s="118"/>
      <c r="L897" s="125"/>
    </row>
    <row r="898" spans="1:12" x14ac:dyDescent="0.25">
      <c r="A898" s="115"/>
      <c r="B898" s="115"/>
      <c r="C898" s="115"/>
      <c r="D898" s="115"/>
      <c r="E898" s="115"/>
      <c r="F898" s="115"/>
      <c r="G898" s="116"/>
      <c r="I898" s="118"/>
      <c r="J898" s="118"/>
      <c r="L898" s="125"/>
    </row>
    <row r="899" spans="1:12" x14ac:dyDescent="0.25">
      <c r="A899" s="115"/>
      <c r="B899" s="115"/>
      <c r="C899" s="115"/>
      <c r="D899" s="115"/>
      <c r="E899" s="115"/>
      <c r="F899" s="115"/>
      <c r="G899" s="116"/>
      <c r="I899" s="118"/>
      <c r="J899" s="118"/>
      <c r="L899" s="125"/>
    </row>
    <row r="900" spans="1:12" x14ac:dyDescent="0.25">
      <c r="A900" s="115"/>
      <c r="B900" s="115"/>
      <c r="C900" s="115"/>
      <c r="D900" s="115"/>
      <c r="E900" s="115"/>
      <c r="F900" s="115"/>
      <c r="G900" s="116"/>
      <c r="I900" s="118"/>
      <c r="J900" s="118"/>
      <c r="L900" s="125"/>
    </row>
    <row r="901" spans="1:12" x14ac:dyDescent="0.25">
      <c r="A901" s="115"/>
      <c r="B901" s="115"/>
      <c r="C901" s="115"/>
      <c r="D901" s="115"/>
      <c r="E901" s="115"/>
      <c r="F901" s="115"/>
      <c r="G901" s="116"/>
      <c r="I901" s="118"/>
      <c r="J901" s="118"/>
      <c r="L901" s="125"/>
    </row>
    <row r="902" spans="1:12" x14ac:dyDescent="0.25">
      <c r="A902" s="115"/>
      <c r="B902" s="115"/>
      <c r="C902" s="115"/>
      <c r="D902" s="115"/>
      <c r="E902" s="115"/>
      <c r="F902" s="115"/>
      <c r="G902" s="116"/>
      <c r="I902" s="118"/>
      <c r="J902" s="118"/>
      <c r="L902" s="125"/>
    </row>
    <row r="903" spans="1:12" x14ac:dyDescent="0.25">
      <c r="A903" s="115"/>
      <c r="B903" s="115"/>
      <c r="C903" s="115"/>
      <c r="D903" s="115"/>
      <c r="E903" s="115"/>
      <c r="F903" s="115"/>
      <c r="G903" s="116"/>
      <c r="I903" s="118"/>
      <c r="J903" s="118"/>
      <c r="L903" s="125"/>
    </row>
    <row r="904" spans="1:12" x14ac:dyDescent="0.25">
      <c r="A904" s="115"/>
      <c r="B904" s="115"/>
      <c r="C904" s="115"/>
      <c r="D904" s="115"/>
      <c r="E904" s="115"/>
      <c r="F904" s="115"/>
      <c r="G904" s="116"/>
      <c r="I904" s="118"/>
      <c r="J904" s="118"/>
      <c r="L904" s="125"/>
    </row>
    <row r="905" spans="1:12" x14ac:dyDescent="0.25">
      <c r="A905" s="115"/>
      <c r="B905" s="115"/>
      <c r="C905" s="115"/>
      <c r="D905" s="115"/>
      <c r="E905" s="115"/>
      <c r="F905" s="115"/>
      <c r="G905" s="116"/>
      <c r="I905" s="118"/>
      <c r="J905" s="118"/>
      <c r="L905" s="125"/>
    </row>
    <row r="906" spans="1:12" x14ac:dyDescent="0.25">
      <c r="A906" s="115"/>
      <c r="B906" s="115"/>
      <c r="C906" s="115"/>
      <c r="D906" s="115"/>
      <c r="E906" s="115"/>
      <c r="F906" s="115"/>
      <c r="G906" s="116"/>
      <c r="I906" s="118"/>
      <c r="J906" s="118"/>
      <c r="L906" s="125"/>
    </row>
    <row r="907" spans="1:12" x14ac:dyDescent="0.25">
      <c r="A907" s="115"/>
      <c r="B907" s="115"/>
      <c r="C907" s="115"/>
      <c r="D907" s="115"/>
      <c r="E907" s="115"/>
      <c r="F907" s="115"/>
      <c r="G907" s="116"/>
      <c r="I907" s="118"/>
      <c r="J907" s="118"/>
      <c r="L907" s="125"/>
    </row>
    <row r="908" spans="1:12" x14ac:dyDescent="0.25">
      <c r="A908" s="115"/>
      <c r="B908" s="115"/>
      <c r="C908" s="115"/>
      <c r="D908" s="115"/>
      <c r="E908" s="115"/>
      <c r="F908" s="115"/>
      <c r="G908" s="116"/>
      <c r="I908" s="118"/>
      <c r="J908" s="118"/>
      <c r="L908" s="125"/>
    </row>
    <row r="909" spans="1:12" x14ac:dyDescent="0.25">
      <c r="A909" s="115"/>
      <c r="B909" s="115"/>
      <c r="C909" s="115"/>
      <c r="D909" s="115"/>
      <c r="E909" s="115"/>
      <c r="F909" s="115"/>
      <c r="G909" s="116"/>
      <c r="I909" s="118"/>
      <c r="J909" s="118"/>
      <c r="L909" s="125"/>
    </row>
    <row r="910" spans="1:12" x14ac:dyDescent="0.25">
      <c r="A910" s="115"/>
      <c r="B910" s="115"/>
      <c r="C910" s="115"/>
      <c r="D910" s="115"/>
      <c r="E910" s="115"/>
      <c r="F910" s="115"/>
      <c r="G910" s="116"/>
      <c r="I910" s="118"/>
      <c r="J910" s="118"/>
      <c r="L910" s="125"/>
    </row>
    <row r="911" spans="1:12" x14ac:dyDescent="0.25">
      <c r="A911" s="115"/>
      <c r="B911" s="115"/>
      <c r="C911" s="115"/>
      <c r="D911" s="115"/>
      <c r="E911" s="115"/>
      <c r="F911" s="115"/>
      <c r="G911" s="116"/>
      <c r="I911" s="118"/>
      <c r="J911" s="118"/>
      <c r="L911" s="125"/>
    </row>
    <row r="912" spans="1:12" x14ac:dyDescent="0.25">
      <c r="A912" s="115"/>
      <c r="B912" s="115"/>
      <c r="C912" s="115"/>
      <c r="D912" s="115"/>
      <c r="E912" s="115"/>
      <c r="F912" s="115"/>
      <c r="G912" s="116"/>
      <c r="I912" s="118"/>
      <c r="J912" s="118"/>
      <c r="L912" s="125"/>
    </row>
    <row r="913" spans="1:12" x14ac:dyDescent="0.25">
      <c r="A913" s="115"/>
      <c r="B913" s="115"/>
      <c r="C913" s="115"/>
      <c r="D913" s="115"/>
      <c r="E913" s="115"/>
      <c r="F913" s="115"/>
      <c r="G913" s="116"/>
      <c r="I913" s="118"/>
      <c r="J913" s="118"/>
      <c r="L913" s="125"/>
    </row>
    <row r="914" spans="1:12" x14ac:dyDescent="0.25">
      <c r="A914" s="115"/>
      <c r="B914" s="115"/>
      <c r="C914" s="115"/>
      <c r="D914" s="115"/>
      <c r="E914" s="115"/>
      <c r="F914" s="115"/>
      <c r="G914" s="116"/>
      <c r="I914" s="118"/>
      <c r="J914" s="118"/>
      <c r="L914" s="125"/>
    </row>
    <row r="915" spans="1:12" x14ac:dyDescent="0.25">
      <c r="A915" s="115"/>
      <c r="B915" s="115"/>
      <c r="C915" s="115"/>
      <c r="D915" s="115"/>
      <c r="E915" s="115"/>
      <c r="F915" s="115"/>
      <c r="G915" s="116"/>
      <c r="I915" s="118"/>
      <c r="J915" s="118"/>
      <c r="L915" s="125"/>
    </row>
    <row r="916" spans="1:12" x14ac:dyDescent="0.25">
      <c r="A916" s="115"/>
      <c r="B916" s="115"/>
      <c r="C916" s="115"/>
      <c r="D916" s="115"/>
      <c r="E916" s="115"/>
      <c r="F916" s="115"/>
      <c r="G916" s="116"/>
      <c r="I916" s="118"/>
      <c r="J916" s="118"/>
      <c r="L916" s="125"/>
    </row>
    <row r="917" spans="1:12" x14ac:dyDescent="0.25">
      <c r="A917" s="115"/>
      <c r="B917" s="115"/>
      <c r="C917" s="115"/>
      <c r="D917" s="115"/>
      <c r="E917" s="115"/>
      <c r="F917" s="115"/>
      <c r="G917" s="116"/>
      <c r="I917" s="118"/>
      <c r="J917" s="118"/>
      <c r="L917" s="125"/>
    </row>
    <row r="918" spans="1:12" x14ac:dyDescent="0.25">
      <c r="A918" s="115"/>
      <c r="B918" s="115"/>
      <c r="C918" s="115"/>
      <c r="D918" s="115"/>
      <c r="E918" s="115"/>
      <c r="F918" s="115"/>
      <c r="G918" s="116"/>
      <c r="I918" s="118"/>
      <c r="J918" s="118"/>
      <c r="L918" s="125"/>
    </row>
    <row r="919" spans="1:12" x14ac:dyDescent="0.25">
      <c r="A919" s="115"/>
      <c r="B919" s="115"/>
      <c r="C919" s="115"/>
      <c r="D919" s="115"/>
      <c r="E919" s="115"/>
      <c r="F919" s="115"/>
      <c r="G919" s="116"/>
      <c r="I919" s="118"/>
      <c r="J919" s="118"/>
      <c r="L919" s="125"/>
    </row>
    <row r="920" spans="1:12" x14ac:dyDescent="0.25">
      <c r="A920" s="115"/>
      <c r="B920" s="115"/>
      <c r="C920" s="115"/>
      <c r="D920" s="115"/>
      <c r="E920" s="115"/>
      <c r="F920" s="115"/>
      <c r="G920" s="116"/>
      <c r="I920" s="118"/>
      <c r="J920" s="118"/>
      <c r="L920" s="125"/>
    </row>
    <row r="921" spans="1:12" x14ac:dyDescent="0.25">
      <c r="A921" s="115"/>
      <c r="B921" s="115"/>
      <c r="C921" s="115"/>
      <c r="D921" s="115"/>
      <c r="E921" s="115"/>
      <c r="F921" s="115"/>
      <c r="G921" s="116"/>
      <c r="I921" s="118"/>
      <c r="J921" s="118"/>
      <c r="L921" s="125"/>
    </row>
    <row r="922" spans="1:12" x14ac:dyDescent="0.25">
      <c r="A922" s="115"/>
      <c r="B922" s="115"/>
      <c r="C922" s="115"/>
      <c r="D922" s="115"/>
      <c r="E922" s="115"/>
      <c r="F922" s="115"/>
      <c r="G922" s="116"/>
      <c r="I922" s="118"/>
      <c r="J922" s="118"/>
      <c r="L922" s="125"/>
    </row>
    <row r="923" spans="1:12" x14ac:dyDescent="0.25">
      <c r="A923" s="115"/>
      <c r="B923" s="115"/>
      <c r="C923" s="115"/>
      <c r="D923" s="115"/>
      <c r="E923" s="115"/>
      <c r="F923" s="115"/>
      <c r="G923" s="116"/>
      <c r="I923" s="118"/>
      <c r="J923" s="118"/>
      <c r="L923" s="125"/>
    </row>
    <row r="924" spans="1:12" x14ac:dyDescent="0.25">
      <c r="A924" s="115"/>
      <c r="B924" s="115"/>
      <c r="C924" s="115"/>
      <c r="D924" s="115"/>
      <c r="E924" s="115"/>
      <c r="F924" s="115"/>
      <c r="G924" s="116"/>
      <c r="I924" s="118"/>
      <c r="J924" s="118"/>
      <c r="L924" s="125"/>
    </row>
    <row r="925" spans="1:12" x14ac:dyDescent="0.25">
      <c r="A925" s="115"/>
      <c r="B925" s="115"/>
      <c r="C925" s="115"/>
      <c r="D925" s="115"/>
      <c r="E925" s="115"/>
      <c r="F925" s="115"/>
      <c r="G925" s="116"/>
      <c r="I925" s="118"/>
      <c r="J925" s="118"/>
      <c r="L925" s="125"/>
    </row>
    <row r="926" spans="1:12" x14ac:dyDescent="0.25">
      <c r="A926" s="115"/>
      <c r="B926" s="115"/>
      <c r="C926" s="115"/>
      <c r="D926" s="115"/>
      <c r="E926" s="115"/>
      <c r="F926" s="115"/>
      <c r="G926" s="116"/>
      <c r="I926" s="118"/>
      <c r="J926" s="118"/>
      <c r="L926" s="125"/>
    </row>
    <row r="927" spans="1:12" x14ac:dyDescent="0.25">
      <c r="A927" s="115"/>
      <c r="B927" s="115"/>
      <c r="C927" s="115"/>
      <c r="D927" s="115"/>
      <c r="E927" s="115"/>
      <c r="F927" s="115"/>
      <c r="G927" s="116"/>
      <c r="I927" s="118"/>
      <c r="J927" s="118"/>
      <c r="L927" s="125"/>
    </row>
    <row r="928" spans="1:12" x14ac:dyDescent="0.25">
      <c r="A928" s="115"/>
      <c r="B928" s="115"/>
      <c r="C928" s="115"/>
      <c r="D928" s="115"/>
      <c r="E928" s="115"/>
      <c r="F928" s="115"/>
      <c r="G928" s="116"/>
      <c r="I928" s="118"/>
      <c r="J928" s="118"/>
      <c r="L928" s="125"/>
    </row>
    <row r="929" spans="1:12" x14ac:dyDescent="0.25">
      <c r="A929" s="115"/>
      <c r="B929" s="115"/>
      <c r="C929" s="115"/>
      <c r="D929" s="115"/>
      <c r="E929" s="115"/>
      <c r="F929" s="115"/>
      <c r="G929" s="116"/>
      <c r="I929" s="118"/>
      <c r="J929" s="118"/>
      <c r="L929" s="125"/>
    </row>
    <row r="930" spans="1:12" x14ac:dyDescent="0.25">
      <c r="A930" s="115"/>
      <c r="B930" s="115"/>
      <c r="C930" s="115"/>
      <c r="D930" s="115"/>
      <c r="E930" s="115"/>
      <c r="F930" s="115"/>
      <c r="G930" s="116"/>
      <c r="I930" s="118"/>
      <c r="J930" s="118"/>
      <c r="L930" s="125"/>
    </row>
    <row r="931" spans="1:12" x14ac:dyDescent="0.25">
      <c r="A931" s="115"/>
      <c r="B931" s="115"/>
      <c r="C931" s="115"/>
      <c r="D931" s="115"/>
      <c r="E931" s="115"/>
      <c r="F931" s="115"/>
      <c r="G931" s="116"/>
      <c r="I931" s="118"/>
      <c r="J931" s="118"/>
      <c r="L931" s="125"/>
    </row>
    <row r="932" spans="1:12" x14ac:dyDescent="0.25">
      <c r="A932" s="115"/>
      <c r="B932" s="115"/>
      <c r="C932" s="115"/>
      <c r="D932" s="115"/>
      <c r="E932" s="115"/>
      <c r="F932" s="115"/>
      <c r="G932" s="116"/>
      <c r="I932" s="118"/>
      <c r="J932" s="118"/>
      <c r="L932" s="125"/>
    </row>
    <row r="933" spans="1:12" x14ac:dyDescent="0.25">
      <c r="A933" s="115"/>
      <c r="B933" s="115"/>
      <c r="C933" s="115"/>
      <c r="D933" s="115"/>
      <c r="E933" s="115"/>
      <c r="F933" s="115"/>
      <c r="G933" s="116"/>
      <c r="I933" s="118"/>
      <c r="J933" s="118"/>
      <c r="L933" s="125"/>
    </row>
    <row r="934" spans="1:12" x14ac:dyDescent="0.25">
      <c r="A934" s="115"/>
      <c r="B934" s="115"/>
      <c r="C934" s="115"/>
      <c r="D934" s="115"/>
      <c r="E934" s="115"/>
      <c r="F934" s="115"/>
      <c r="G934" s="116"/>
      <c r="I934" s="118"/>
      <c r="J934" s="118"/>
      <c r="L934" s="125"/>
    </row>
    <row r="935" spans="1:12" x14ac:dyDescent="0.25">
      <c r="A935" s="115"/>
      <c r="B935" s="115"/>
      <c r="C935" s="115"/>
      <c r="D935" s="115"/>
      <c r="E935" s="115"/>
      <c r="F935" s="115"/>
      <c r="G935" s="116"/>
      <c r="I935" s="118"/>
      <c r="J935" s="118"/>
      <c r="L935" s="125"/>
    </row>
    <row r="936" spans="1:12" x14ac:dyDescent="0.25">
      <c r="A936" s="115"/>
      <c r="B936" s="115"/>
      <c r="C936" s="115"/>
      <c r="D936" s="115"/>
      <c r="E936" s="115"/>
      <c r="F936" s="115"/>
      <c r="G936" s="116"/>
      <c r="I936" s="118"/>
      <c r="J936" s="118"/>
      <c r="L936" s="125"/>
    </row>
    <row r="937" spans="1:12" x14ac:dyDescent="0.25">
      <c r="A937" s="115"/>
      <c r="B937" s="115"/>
      <c r="C937" s="115"/>
      <c r="D937" s="115"/>
      <c r="E937" s="115"/>
      <c r="F937" s="115"/>
      <c r="G937" s="116"/>
      <c r="I937" s="118"/>
      <c r="J937" s="118"/>
      <c r="L937" s="125"/>
    </row>
    <row r="938" spans="1:12" x14ac:dyDescent="0.25">
      <c r="A938" s="115"/>
      <c r="B938" s="115"/>
      <c r="C938" s="115"/>
      <c r="D938" s="115"/>
      <c r="E938" s="115"/>
      <c r="F938" s="115"/>
      <c r="G938" s="116"/>
      <c r="I938" s="118"/>
      <c r="J938" s="118"/>
      <c r="L938" s="125"/>
    </row>
    <row r="939" spans="1:12" x14ac:dyDescent="0.25">
      <c r="A939" s="115"/>
      <c r="B939" s="115"/>
      <c r="C939" s="115"/>
      <c r="D939" s="115"/>
      <c r="E939" s="115"/>
      <c r="F939" s="115"/>
      <c r="G939" s="116"/>
      <c r="I939" s="118"/>
      <c r="J939" s="118"/>
      <c r="L939" s="125"/>
    </row>
    <row r="940" spans="1:12" x14ac:dyDescent="0.25">
      <c r="A940" s="115"/>
      <c r="B940" s="115"/>
      <c r="C940" s="115"/>
      <c r="D940" s="115"/>
      <c r="E940" s="115"/>
      <c r="F940" s="115"/>
      <c r="G940" s="116"/>
      <c r="I940" s="118"/>
      <c r="J940" s="118"/>
      <c r="L940" s="125"/>
    </row>
    <row r="941" spans="1:12" x14ac:dyDescent="0.25">
      <c r="A941" s="115"/>
      <c r="B941" s="115"/>
      <c r="C941" s="115"/>
      <c r="D941" s="115"/>
      <c r="E941" s="115"/>
      <c r="F941" s="115"/>
      <c r="G941" s="116"/>
      <c r="I941" s="118"/>
      <c r="J941" s="118"/>
      <c r="L941" s="125"/>
    </row>
    <row r="942" spans="1:12" x14ac:dyDescent="0.25">
      <c r="A942" s="115"/>
      <c r="B942" s="115"/>
      <c r="C942" s="115"/>
      <c r="D942" s="115"/>
      <c r="E942" s="115"/>
      <c r="F942" s="115"/>
      <c r="G942" s="116"/>
      <c r="I942" s="118"/>
      <c r="J942" s="118"/>
      <c r="L942" s="125"/>
    </row>
    <row r="943" spans="1:12" x14ac:dyDescent="0.25">
      <c r="A943" s="115"/>
      <c r="B943" s="115"/>
      <c r="C943" s="115"/>
      <c r="D943" s="115"/>
      <c r="E943" s="115"/>
      <c r="F943" s="115"/>
      <c r="G943" s="116"/>
      <c r="I943" s="118"/>
      <c r="J943" s="118"/>
      <c r="L943" s="125"/>
    </row>
    <row r="944" spans="1:12" x14ac:dyDescent="0.25">
      <c r="A944" s="115"/>
      <c r="B944" s="115"/>
      <c r="C944" s="115"/>
      <c r="D944" s="115"/>
      <c r="E944" s="115"/>
      <c r="F944" s="115"/>
      <c r="G944" s="116"/>
      <c r="I944" s="118"/>
      <c r="J944" s="118"/>
      <c r="L944" s="125"/>
    </row>
    <row r="945" spans="1:12" x14ac:dyDescent="0.25">
      <c r="A945" s="115"/>
      <c r="B945" s="115"/>
      <c r="C945" s="115"/>
      <c r="D945" s="115"/>
      <c r="E945" s="115"/>
      <c r="F945" s="115"/>
      <c r="G945" s="116"/>
      <c r="I945" s="118"/>
      <c r="J945" s="118"/>
      <c r="L945" s="125"/>
    </row>
    <row r="946" spans="1:12" x14ac:dyDescent="0.25">
      <c r="A946" s="115"/>
      <c r="B946" s="115"/>
      <c r="C946" s="115"/>
      <c r="D946" s="115"/>
      <c r="E946" s="115"/>
      <c r="F946" s="115"/>
      <c r="G946" s="116"/>
      <c r="I946" s="118"/>
      <c r="J946" s="118"/>
      <c r="L946" s="125"/>
    </row>
    <row r="947" spans="1:12" x14ac:dyDescent="0.25">
      <c r="A947" s="115"/>
      <c r="B947" s="115"/>
      <c r="C947" s="115"/>
      <c r="D947" s="115"/>
      <c r="E947" s="115"/>
      <c r="F947" s="115"/>
      <c r="G947" s="116"/>
      <c r="I947" s="118"/>
      <c r="J947" s="118"/>
      <c r="L947" s="125"/>
    </row>
    <row r="948" spans="1:12" x14ac:dyDescent="0.25">
      <c r="A948" s="115"/>
      <c r="B948" s="115"/>
      <c r="C948" s="115"/>
      <c r="D948" s="115"/>
      <c r="E948" s="115"/>
      <c r="F948" s="115"/>
      <c r="G948" s="116"/>
      <c r="I948" s="118"/>
      <c r="J948" s="118"/>
      <c r="L948" s="125"/>
    </row>
    <row r="949" spans="1:12" x14ac:dyDescent="0.25">
      <c r="A949" s="115"/>
      <c r="B949" s="115"/>
      <c r="C949" s="115"/>
      <c r="D949" s="115"/>
      <c r="E949" s="115"/>
      <c r="F949" s="115"/>
      <c r="G949" s="116"/>
      <c r="I949" s="118"/>
      <c r="J949" s="118"/>
      <c r="L949" s="125"/>
    </row>
    <row r="950" spans="1:12" x14ac:dyDescent="0.25">
      <c r="A950" s="115"/>
      <c r="B950" s="115"/>
      <c r="C950" s="115"/>
      <c r="D950" s="115"/>
      <c r="E950" s="115"/>
      <c r="F950" s="115"/>
      <c r="G950" s="116"/>
      <c r="I950" s="118"/>
      <c r="J950" s="118"/>
      <c r="L950" s="125"/>
    </row>
    <row r="951" spans="1:12" x14ac:dyDescent="0.25">
      <c r="A951" s="115"/>
      <c r="B951" s="115"/>
      <c r="C951" s="115"/>
      <c r="D951" s="115"/>
      <c r="E951" s="115"/>
      <c r="F951" s="115"/>
      <c r="G951" s="116"/>
      <c r="I951" s="118"/>
      <c r="J951" s="118"/>
      <c r="L951" s="125"/>
    </row>
    <row r="952" spans="1:12" x14ac:dyDescent="0.25">
      <c r="A952" s="115"/>
      <c r="B952" s="115"/>
      <c r="C952" s="115"/>
      <c r="D952" s="115"/>
      <c r="E952" s="115"/>
      <c r="F952" s="115"/>
      <c r="G952" s="116"/>
      <c r="I952" s="118"/>
      <c r="J952" s="118"/>
      <c r="L952" s="125"/>
    </row>
    <row r="953" spans="1:12" x14ac:dyDescent="0.25">
      <c r="A953" s="115"/>
      <c r="B953" s="115"/>
      <c r="C953" s="115"/>
      <c r="D953" s="115"/>
      <c r="E953" s="115"/>
      <c r="F953" s="115"/>
      <c r="G953" s="116"/>
      <c r="I953" s="118"/>
      <c r="J953" s="118"/>
      <c r="L953" s="125"/>
    </row>
    <row r="954" spans="1:12" x14ac:dyDescent="0.25">
      <c r="A954" s="115"/>
      <c r="B954" s="115"/>
      <c r="C954" s="115"/>
      <c r="D954" s="115"/>
      <c r="E954" s="115"/>
      <c r="F954" s="115"/>
      <c r="G954" s="116"/>
      <c r="I954" s="118"/>
      <c r="J954" s="118"/>
      <c r="L954" s="125"/>
    </row>
    <row r="955" spans="1:12" x14ac:dyDescent="0.25">
      <c r="A955" s="115"/>
      <c r="B955" s="115"/>
      <c r="C955" s="115"/>
      <c r="D955" s="115"/>
      <c r="E955" s="115"/>
      <c r="F955" s="115"/>
      <c r="G955" s="116"/>
      <c r="I955" s="118"/>
      <c r="J955" s="118"/>
      <c r="L955" s="125"/>
    </row>
    <row r="956" spans="1:12" x14ac:dyDescent="0.25">
      <c r="A956" s="115"/>
      <c r="B956" s="115"/>
      <c r="C956" s="115"/>
      <c r="D956" s="115"/>
      <c r="E956" s="115"/>
      <c r="F956" s="115"/>
      <c r="G956" s="116"/>
      <c r="I956" s="118"/>
      <c r="J956" s="118"/>
      <c r="L956" s="125"/>
    </row>
    <row r="957" spans="1:12" x14ac:dyDescent="0.25">
      <c r="A957" s="115"/>
      <c r="B957" s="115"/>
      <c r="C957" s="115"/>
      <c r="D957" s="115"/>
      <c r="E957" s="115"/>
      <c r="F957" s="115"/>
      <c r="G957" s="116"/>
      <c r="I957" s="118"/>
      <c r="J957" s="118"/>
      <c r="L957" s="125"/>
    </row>
    <row r="958" spans="1:12" x14ac:dyDescent="0.25">
      <c r="A958" s="115"/>
      <c r="B958" s="115"/>
      <c r="C958" s="115"/>
      <c r="D958" s="115"/>
      <c r="E958" s="115"/>
      <c r="F958" s="115"/>
      <c r="G958" s="116"/>
      <c r="I958" s="118"/>
      <c r="J958" s="118"/>
      <c r="L958" s="125"/>
    </row>
    <row r="959" spans="1:12" x14ac:dyDescent="0.25">
      <c r="A959" s="115"/>
      <c r="B959" s="115"/>
      <c r="C959" s="115"/>
      <c r="D959" s="115"/>
      <c r="E959" s="115"/>
      <c r="F959" s="115"/>
      <c r="G959" s="116"/>
      <c r="I959" s="118"/>
      <c r="J959" s="118"/>
      <c r="L959" s="125"/>
    </row>
    <row r="960" spans="1:12" x14ac:dyDescent="0.25">
      <c r="A960" s="115"/>
      <c r="B960" s="115"/>
      <c r="C960" s="115"/>
      <c r="D960" s="115"/>
      <c r="E960" s="115"/>
      <c r="F960" s="115"/>
      <c r="G960" s="116"/>
      <c r="I960" s="118"/>
      <c r="J960" s="118"/>
      <c r="L960" s="125"/>
    </row>
    <row r="961" spans="1:12" x14ac:dyDescent="0.25">
      <c r="A961" s="115"/>
      <c r="B961" s="115"/>
      <c r="C961" s="115"/>
      <c r="D961" s="115"/>
      <c r="E961" s="115"/>
      <c r="F961" s="115"/>
      <c r="G961" s="116"/>
      <c r="I961" s="118"/>
      <c r="J961" s="118"/>
      <c r="L961" s="125"/>
    </row>
    <row r="962" spans="1:12" x14ac:dyDescent="0.25">
      <c r="A962" s="115"/>
      <c r="B962" s="115"/>
      <c r="C962" s="115"/>
      <c r="D962" s="115"/>
      <c r="E962" s="115"/>
      <c r="F962" s="115"/>
      <c r="G962" s="116"/>
      <c r="I962" s="118"/>
      <c r="J962" s="118"/>
      <c r="L962" s="125"/>
    </row>
    <row r="963" spans="1:12" x14ac:dyDescent="0.25">
      <c r="A963" s="115"/>
      <c r="B963" s="115"/>
      <c r="C963" s="115"/>
      <c r="D963" s="115"/>
      <c r="E963" s="115"/>
      <c r="F963" s="115"/>
      <c r="G963" s="116"/>
      <c r="I963" s="118"/>
      <c r="J963" s="118"/>
      <c r="L963" s="125"/>
    </row>
    <row r="964" spans="1:12" x14ac:dyDescent="0.25">
      <c r="A964" s="115"/>
      <c r="B964" s="115"/>
      <c r="C964" s="115"/>
      <c r="D964" s="115"/>
      <c r="E964" s="115"/>
      <c r="F964" s="115"/>
      <c r="G964" s="116"/>
      <c r="I964" s="118"/>
      <c r="J964" s="118"/>
      <c r="L964" s="125"/>
    </row>
    <row r="965" spans="1:12" x14ac:dyDescent="0.25">
      <c r="A965" s="115"/>
      <c r="B965" s="115"/>
      <c r="C965" s="115"/>
      <c r="D965" s="115"/>
      <c r="E965" s="115"/>
      <c r="F965" s="115"/>
      <c r="G965" s="116"/>
      <c r="I965" s="118"/>
      <c r="J965" s="118"/>
      <c r="L965" s="125"/>
    </row>
    <row r="966" spans="1:12" x14ac:dyDescent="0.25">
      <c r="A966" s="115"/>
      <c r="B966" s="115"/>
      <c r="C966" s="115"/>
      <c r="D966" s="115"/>
      <c r="E966" s="115"/>
      <c r="F966" s="115"/>
      <c r="G966" s="116"/>
      <c r="I966" s="118"/>
      <c r="J966" s="118"/>
      <c r="L966" s="125"/>
    </row>
    <row r="967" spans="1:12" x14ac:dyDescent="0.25">
      <c r="A967" s="115"/>
      <c r="B967" s="115"/>
      <c r="C967" s="115"/>
      <c r="D967" s="115"/>
      <c r="E967" s="115"/>
      <c r="F967" s="115"/>
      <c r="G967" s="116"/>
      <c r="I967" s="118"/>
      <c r="J967" s="118"/>
      <c r="L967" s="125"/>
    </row>
    <row r="968" spans="1:12" x14ac:dyDescent="0.25">
      <c r="A968" s="115"/>
      <c r="B968" s="115"/>
      <c r="C968" s="115"/>
      <c r="D968" s="115"/>
      <c r="E968" s="115"/>
      <c r="F968" s="115"/>
      <c r="G968" s="116"/>
      <c r="I968" s="118"/>
      <c r="J968" s="118"/>
      <c r="L968" s="125"/>
    </row>
    <row r="969" spans="1:12" x14ac:dyDescent="0.25">
      <c r="A969" s="115"/>
      <c r="B969" s="115"/>
      <c r="C969" s="115"/>
      <c r="D969" s="115"/>
      <c r="E969" s="115"/>
      <c r="F969" s="115"/>
      <c r="G969" s="116"/>
      <c r="I969" s="118"/>
      <c r="J969" s="118"/>
      <c r="L969" s="125"/>
    </row>
    <row r="970" spans="1:12" x14ac:dyDescent="0.25">
      <c r="A970" s="115"/>
      <c r="B970" s="115"/>
      <c r="C970" s="115"/>
      <c r="D970" s="115"/>
      <c r="E970" s="115"/>
      <c r="F970" s="115"/>
      <c r="G970" s="116"/>
      <c r="I970" s="118"/>
      <c r="J970" s="118"/>
      <c r="L970" s="125"/>
    </row>
    <row r="971" spans="1:12" x14ac:dyDescent="0.25">
      <c r="A971" s="115"/>
      <c r="B971" s="115"/>
      <c r="C971" s="115"/>
      <c r="D971" s="115"/>
      <c r="E971" s="115"/>
      <c r="F971" s="115"/>
      <c r="G971" s="116"/>
      <c r="I971" s="118"/>
      <c r="J971" s="118"/>
      <c r="L971" s="125"/>
    </row>
    <row r="972" spans="1:12" x14ac:dyDescent="0.25">
      <c r="A972" s="115"/>
      <c r="B972" s="115"/>
      <c r="C972" s="115"/>
      <c r="D972" s="115"/>
      <c r="E972" s="115"/>
      <c r="F972" s="115"/>
      <c r="G972" s="116"/>
      <c r="I972" s="118"/>
      <c r="J972" s="118"/>
      <c r="L972" s="125"/>
    </row>
    <row r="973" spans="1:12" x14ac:dyDescent="0.25">
      <c r="A973" s="115"/>
      <c r="B973" s="115"/>
      <c r="C973" s="115"/>
      <c r="D973" s="115"/>
      <c r="E973" s="115"/>
      <c r="F973" s="115"/>
      <c r="G973" s="116"/>
      <c r="I973" s="118"/>
      <c r="J973" s="118"/>
      <c r="L973" s="125"/>
    </row>
    <row r="974" spans="1:12" x14ac:dyDescent="0.25">
      <c r="A974" s="115"/>
      <c r="B974" s="115"/>
      <c r="C974" s="115"/>
      <c r="D974" s="115"/>
      <c r="E974" s="115"/>
      <c r="F974" s="115"/>
      <c r="G974" s="116"/>
      <c r="I974" s="118"/>
      <c r="J974" s="118"/>
      <c r="L974" s="125"/>
    </row>
    <row r="975" spans="1:12" x14ac:dyDescent="0.25">
      <c r="A975" s="115"/>
      <c r="B975" s="115"/>
      <c r="C975" s="115"/>
      <c r="D975" s="115"/>
      <c r="E975" s="115"/>
      <c r="F975" s="115"/>
      <c r="G975" s="116"/>
      <c r="I975" s="118"/>
      <c r="J975" s="118"/>
      <c r="L975" s="125"/>
    </row>
    <row r="976" spans="1:12" x14ac:dyDescent="0.25">
      <c r="A976" s="115"/>
      <c r="B976" s="115"/>
      <c r="C976" s="115"/>
      <c r="D976" s="115"/>
      <c r="E976" s="115"/>
      <c r="F976" s="115"/>
      <c r="G976" s="116"/>
      <c r="I976" s="118"/>
      <c r="J976" s="118"/>
      <c r="L976" s="125"/>
    </row>
    <row r="977" spans="1:12" x14ac:dyDescent="0.25">
      <c r="A977" s="115"/>
      <c r="B977" s="115"/>
      <c r="C977" s="115"/>
      <c r="D977" s="115"/>
      <c r="E977" s="115"/>
      <c r="F977" s="115"/>
      <c r="G977" s="116"/>
      <c r="I977" s="118"/>
      <c r="J977" s="118"/>
      <c r="L977" s="125"/>
    </row>
    <row r="978" spans="1:12" x14ac:dyDescent="0.25">
      <c r="A978" s="115"/>
      <c r="B978" s="115"/>
      <c r="C978" s="115"/>
      <c r="D978" s="115"/>
      <c r="E978" s="115"/>
      <c r="F978" s="115"/>
      <c r="G978" s="116"/>
      <c r="I978" s="118"/>
      <c r="J978" s="118"/>
      <c r="L978" s="125"/>
    </row>
    <row r="979" spans="1:12" x14ac:dyDescent="0.25">
      <c r="A979" s="115"/>
      <c r="B979" s="115"/>
      <c r="C979" s="115"/>
      <c r="D979" s="115"/>
      <c r="E979" s="115"/>
      <c r="F979" s="115"/>
      <c r="G979" s="116"/>
      <c r="I979" s="118"/>
      <c r="J979" s="118"/>
      <c r="L979" s="125"/>
    </row>
    <row r="980" spans="1:12" x14ac:dyDescent="0.25">
      <c r="A980" s="115"/>
      <c r="B980" s="115"/>
      <c r="C980" s="115"/>
      <c r="D980" s="115"/>
      <c r="E980" s="115"/>
      <c r="F980" s="115"/>
      <c r="G980" s="116"/>
      <c r="I980" s="118"/>
      <c r="J980" s="118"/>
      <c r="L980" s="125"/>
    </row>
    <row r="981" spans="1:12" x14ac:dyDescent="0.25">
      <c r="A981" s="115"/>
      <c r="B981" s="115"/>
      <c r="C981" s="115"/>
      <c r="D981" s="115"/>
      <c r="E981" s="115"/>
      <c r="F981" s="115"/>
      <c r="G981" s="116"/>
      <c r="I981" s="118"/>
      <c r="J981" s="118"/>
      <c r="L981" s="125"/>
    </row>
    <row r="982" spans="1:12" x14ac:dyDescent="0.25">
      <c r="A982" s="115"/>
      <c r="B982" s="115"/>
      <c r="C982" s="115"/>
      <c r="D982" s="115"/>
      <c r="E982" s="115"/>
      <c r="F982" s="115"/>
      <c r="G982" s="116"/>
      <c r="I982" s="118"/>
      <c r="J982" s="118"/>
      <c r="L982" s="125"/>
    </row>
    <row r="983" spans="1:12" x14ac:dyDescent="0.25">
      <c r="A983" s="115"/>
      <c r="B983" s="115"/>
      <c r="C983" s="115"/>
      <c r="D983" s="115"/>
      <c r="E983" s="115"/>
      <c r="F983" s="115"/>
      <c r="G983" s="116"/>
      <c r="I983" s="118"/>
      <c r="J983" s="118"/>
      <c r="L983" s="125"/>
    </row>
    <row r="984" spans="1:12" x14ac:dyDescent="0.25">
      <c r="A984" s="115"/>
      <c r="B984" s="115"/>
      <c r="C984" s="115"/>
      <c r="D984" s="115"/>
      <c r="E984" s="115"/>
      <c r="F984" s="115"/>
      <c r="G984" s="116"/>
      <c r="I984" s="118"/>
      <c r="J984" s="118"/>
      <c r="L984" s="125"/>
    </row>
    <row r="985" spans="1:12" x14ac:dyDescent="0.25">
      <c r="A985" s="115"/>
      <c r="B985" s="115"/>
      <c r="C985" s="115"/>
      <c r="D985" s="115"/>
      <c r="E985" s="115"/>
      <c r="F985" s="115"/>
      <c r="G985" s="116"/>
      <c r="I985" s="118"/>
      <c r="J985" s="118"/>
      <c r="L985" s="125"/>
    </row>
    <row r="986" spans="1:12" x14ac:dyDescent="0.25">
      <c r="A986" s="115"/>
      <c r="B986" s="115"/>
      <c r="C986" s="115"/>
      <c r="D986" s="115"/>
      <c r="E986" s="115"/>
      <c r="F986" s="115"/>
      <c r="G986" s="116"/>
      <c r="I986" s="118"/>
      <c r="J986" s="118"/>
      <c r="L986" s="125"/>
    </row>
    <row r="987" spans="1:12" x14ac:dyDescent="0.25">
      <c r="A987" s="115"/>
      <c r="B987" s="115"/>
      <c r="C987" s="115"/>
      <c r="D987" s="115"/>
      <c r="E987" s="115"/>
      <c r="F987" s="115"/>
      <c r="G987" s="116"/>
      <c r="I987" s="118"/>
      <c r="J987" s="118"/>
      <c r="L987" s="125"/>
    </row>
    <row r="988" spans="1:12" x14ac:dyDescent="0.25">
      <c r="A988" s="115"/>
      <c r="B988" s="115"/>
      <c r="C988" s="115"/>
      <c r="D988" s="115"/>
      <c r="E988" s="115"/>
      <c r="F988" s="115"/>
      <c r="G988" s="116"/>
      <c r="I988" s="118"/>
      <c r="J988" s="118"/>
      <c r="L988" s="125"/>
    </row>
    <row r="989" spans="1:12" x14ac:dyDescent="0.25">
      <c r="A989" s="115"/>
      <c r="B989" s="115"/>
      <c r="C989" s="115"/>
      <c r="D989" s="115"/>
      <c r="E989" s="115"/>
      <c r="F989" s="115"/>
      <c r="G989" s="116"/>
      <c r="I989" s="118"/>
      <c r="J989" s="118"/>
      <c r="L989" s="125"/>
    </row>
    <row r="990" spans="1:12" x14ac:dyDescent="0.25">
      <c r="A990" s="115"/>
      <c r="B990" s="115"/>
      <c r="C990" s="115"/>
      <c r="D990" s="115"/>
      <c r="E990" s="115"/>
      <c r="F990" s="115"/>
      <c r="G990" s="116"/>
      <c r="I990" s="118"/>
      <c r="J990" s="118"/>
      <c r="L990" s="125"/>
    </row>
    <row r="991" spans="1:12" x14ac:dyDescent="0.25">
      <c r="A991" s="115"/>
      <c r="B991" s="115"/>
      <c r="C991" s="115"/>
      <c r="D991" s="115"/>
      <c r="E991" s="115"/>
      <c r="F991" s="115"/>
      <c r="G991" s="116"/>
      <c r="I991" s="118"/>
      <c r="J991" s="118"/>
      <c r="L991" s="125"/>
    </row>
    <row r="992" spans="1:12" x14ac:dyDescent="0.25">
      <c r="A992" s="115"/>
      <c r="B992" s="115"/>
      <c r="C992" s="115"/>
      <c r="D992" s="115"/>
      <c r="E992" s="115"/>
      <c r="F992" s="115"/>
      <c r="G992" s="116"/>
      <c r="I992" s="118"/>
      <c r="J992" s="118"/>
      <c r="L992" s="125"/>
    </row>
    <row r="993" spans="1:12" x14ac:dyDescent="0.25">
      <c r="A993" s="115"/>
      <c r="B993" s="115"/>
      <c r="C993" s="115"/>
      <c r="D993" s="115"/>
      <c r="E993" s="115"/>
      <c r="F993" s="115"/>
      <c r="G993" s="116"/>
      <c r="I993" s="118"/>
      <c r="J993" s="118"/>
      <c r="L993" s="125"/>
    </row>
    <row r="994" spans="1:12" x14ac:dyDescent="0.25">
      <c r="A994" s="115"/>
      <c r="B994" s="115"/>
      <c r="C994" s="115"/>
      <c r="D994" s="115"/>
      <c r="E994" s="115"/>
      <c r="F994" s="115"/>
      <c r="G994" s="116"/>
      <c r="I994" s="118"/>
      <c r="J994" s="118"/>
      <c r="L994" s="125"/>
    </row>
    <row r="995" spans="1:12" x14ac:dyDescent="0.25">
      <c r="A995" s="115"/>
      <c r="B995" s="115"/>
      <c r="C995" s="115"/>
      <c r="D995" s="115"/>
      <c r="E995" s="115"/>
      <c r="F995" s="115"/>
      <c r="G995" s="116"/>
      <c r="I995" s="118"/>
      <c r="J995" s="118"/>
      <c r="L995" s="125"/>
    </row>
    <row r="996" spans="1:12" x14ac:dyDescent="0.25">
      <c r="A996" s="115"/>
      <c r="B996" s="115"/>
      <c r="C996" s="115"/>
      <c r="D996" s="115"/>
      <c r="E996" s="115"/>
      <c r="F996" s="115"/>
      <c r="G996" s="116"/>
      <c r="I996" s="118"/>
      <c r="J996" s="118"/>
      <c r="L996" s="125"/>
    </row>
    <row r="997" spans="1:12" x14ac:dyDescent="0.25">
      <c r="A997" s="115"/>
      <c r="B997" s="115"/>
      <c r="C997" s="115"/>
      <c r="D997" s="115"/>
      <c r="E997" s="115"/>
      <c r="F997" s="115"/>
      <c r="G997" s="116"/>
      <c r="I997" s="118"/>
      <c r="J997" s="118"/>
      <c r="L997" s="125"/>
    </row>
    <row r="998" spans="1:12" x14ac:dyDescent="0.25">
      <c r="A998" s="115"/>
      <c r="B998" s="115"/>
      <c r="C998" s="115"/>
      <c r="D998" s="115"/>
      <c r="E998" s="115"/>
      <c r="F998" s="115"/>
      <c r="G998" s="116"/>
      <c r="I998" s="118"/>
      <c r="J998" s="118"/>
      <c r="L998" s="125"/>
    </row>
    <row r="999" spans="1:12" x14ac:dyDescent="0.25">
      <c r="A999" s="115"/>
      <c r="B999" s="115"/>
      <c r="C999" s="115"/>
      <c r="D999" s="115"/>
      <c r="E999" s="115"/>
      <c r="F999" s="115"/>
      <c r="G999" s="116"/>
      <c r="I999" s="118"/>
      <c r="J999" s="118"/>
      <c r="L999" s="125"/>
    </row>
    <row r="1000" spans="1:12" x14ac:dyDescent="0.25">
      <c r="A1000" s="115"/>
      <c r="B1000" s="115"/>
      <c r="C1000" s="115"/>
      <c r="D1000" s="115"/>
      <c r="E1000" s="115"/>
      <c r="F1000" s="115"/>
      <c r="G1000" s="116"/>
      <c r="I1000" s="118"/>
      <c r="J1000" s="118"/>
      <c r="L1000" s="125"/>
    </row>
    <row r="1001" spans="1:12" x14ac:dyDescent="0.25">
      <c r="A1001" s="115"/>
      <c r="B1001" s="115"/>
      <c r="C1001" s="115"/>
      <c r="D1001" s="115"/>
      <c r="E1001" s="115"/>
      <c r="F1001" s="115"/>
      <c r="G1001" s="116"/>
      <c r="I1001" s="118"/>
      <c r="J1001" s="118"/>
      <c r="L1001" s="125"/>
    </row>
    <row r="1002" spans="1:12" x14ac:dyDescent="0.25">
      <c r="A1002" s="115"/>
      <c r="B1002" s="115"/>
      <c r="C1002" s="115"/>
      <c r="D1002" s="115"/>
      <c r="E1002" s="115"/>
      <c r="F1002" s="115"/>
      <c r="G1002" s="116"/>
      <c r="I1002" s="118"/>
      <c r="J1002" s="118"/>
      <c r="L1002" s="125"/>
    </row>
    <row r="1003" spans="1:12" x14ac:dyDescent="0.25">
      <c r="A1003" s="115"/>
      <c r="B1003" s="115"/>
      <c r="C1003" s="115"/>
      <c r="D1003" s="115"/>
      <c r="E1003" s="115"/>
      <c r="F1003" s="115"/>
      <c r="G1003" s="116"/>
      <c r="I1003" s="118"/>
      <c r="J1003" s="118"/>
      <c r="L1003" s="125"/>
    </row>
    <row r="1004" spans="1:12" x14ac:dyDescent="0.25">
      <c r="A1004" s="115"/>
      <c r="B1004" s="115"/>
      <c r="C1004" s="115"/>
      <c r="D1004" s="115"/>
      <c r="E1004" s="115"/>
      <c r="F1004" s="115"/>
      <c r="G1004" s="116"/>
      <c r="I1004" s="118"/>
      <c r="J1004" s="118"/>
      <c r="L1004" s="125"/>
    </row>
    <row r="1005" spans="1:12" x14ac:dyDescent="0.25">
      <c r="A1005" s="115"/>
      <c r="B1005" s="115"/>
      <c r="C1005" s="115"/>
      <c r="D1005" s="115"/>
      <c r="E1005" s="115"/>
      <c r="F1005" s="115"/>
      <c r="G1005" s="116"/>
      <c r="I1005" s="118"/>
      <c r="J1005" s="118"/>
      <c r="L1005" s="125"/>
    </row>
    <row r="1006" spans="1:12" x14ac:dyDescent="0.25">
      <c r="A1006" s="115"/>
      <c r="B1006" s="115"/>
      <c r="C1006" s="115"/>
      <c r="D1006" s="115"/>
      <c r="E1006" s="115"/>
      <c r="F1006" s="115"/>
      <c r="G1006" s="116"/>
      <c r="I1006" s="118"/>
      <c r="J1006" s="118"/>
      <c r="L1006" s="125"/>
    </row>
    <row r="1007" spans="1:12" x14ac:dyDescent="0.25">
      <c r="A1007" s="115"/>
      <c r="B1007" s="115"/>
      <c r="C1007" s="115"/>
      <c r="D1007" s="115"/>
      <c r="E1007" s="115"/>
      <c r="F1007" s="115"/>
      <c r="G1007" s="116"/>
      <c r="I1007" s="118"/>
      <c r="J1007" s="118"/>
      <c r="L1007" s="125"/>
    </row>
    <row r="1008" spans="1:12" x14ac:dyDescent="0.25">
      <c r="A1008" s="115"/>
      <c r="B1008" s="115"/>
      <c r="C1008" s="115"/>
      <c r="D1008" s="115"/>
      <c r="E1008" s="115"/>
      <c r="F1008" s="115"/>
      <c r="G1008" s="116"/>
      <c r="I1008" s="118"/>
      <c r="J1008" s="118"/>
      <c r="L1008" s="125"/>
    </row>
    <row r="1009" spans="1:12" x14ac:dyDescent="0.25">
      <c r="A1009" s="115"/>
      <c r="B1009" s="115"/>
      <c r="C1009" s="115"/>
      <c r="D1009" s="115"/>
      <c r="E1009" s="115"/>
      <c r="F1009" s="115"/>
      <c r="G1009" s="116"/>
      <c r="I1009" s="118"/>
      <c r="J1009" s="118"/>
      <c r="L1009" s="125"/>
    </row>
    <row r="1010" spans="1:12" x14ac:dyDescent="0.25">
      <c r="A1010" s="115"/>
      <c r="B1010" s="115"/>
      <c r="C1010" s="115"/>
      <c r="D1010" s="115"/>
      <c r="E1010" s="115"/>
      <c r="F1010" s="115"/>
      <c r="G1010" s="116"/>
      <c r="I1010" s="118"/>
      <c r="J1010" s="118"/>
      <c r="L1010" s="125"/>
    </row>
    <row r="1011" spans="1:12" x14ac:dyDescent="0.25">
      <c r="A1011" s="115"/>
      <c r="B1011" s="115"/>
      <c r="C1011" s="115"/>
      <c r="D1011" s="115"/>
      <c r="E1011" s="115"/>
      <c r="F1011" s="115"/>
      <c r="G1011" s="116"/>
      <c r="I1011" s="118"/>
      <c r="J1011" s="118"/>
      <c r="L1011" s="125"/>
    </row>
    <row r="1012" spans="1:12" x14ac:dyDescent="0.25">
      <c r="A1012" s="115"/>
      <c r="B1012" s="115"/>
      <c r="C1012" s="115"/>
      <c r="D1012" s="115"/>
      <c r="E1012" s="115"/>
      <c r="F1012" s="115"/>
      <c r="G1012" s="116"/>
      <c r="I1012" s="118"/>
      <c r="J1012" s="118"/>
      <c r="L1012" s="125"/>
    </row>
    <row r="1013" spans="1:12" x14ac:dyDescent="0.25">
      <c r="A1013" s="115"/>
      <c r="B1013" s="115"/>
      <c r="C1013" s="115"/>
      <c r="D1013" s="115"/>
      <c r="E1013" s="115"/>
      <c r="F1013" s="115"/>
      <c r="G1013" s="116"/>
      <c r="I1013" s="118"/>
      <c r="J1013" s="118"/>
      <c r="L1013" s="125"/>
    </row>
    <row r="1014" spans="1:12" x14ac:dyDescent="0.25">
      <c r="A1014" s="115"/>
      <c r="B1014" s="115"/>
      <c r="C1014" s="115"/>
      <c r="D1014" s="115"/>
      <c r="E1014" s="115"/>
      <c r="F1014" s="115"/>
      <c r="G1014" s="116"/>
      <c r="I1014" s="118"/>
      <c r="J1014" s="118"/>
      <c r="L1014" s="125"/>
    </row>
    <row r="1015" spans="1:12" x14ac:dyDescent="0.25">
      <c r="A1015" s="115"/>
      <c r="B1015" s="115"/>
      <c r="C1015" s="115"/>
      <c r="D1015" s="115"/>
      <c r="E1015" s="115"/>
      <c r="F1015" s="115"/>
      <c r="G1015" s="116"/>
      <c r="I1015" s="118"/>
      <c r="J1015" s="118"/>
      <c r="L1015" s="125"/>
    </row>
    <row r="1016" spans="1:12" x14ac:dyDescent="0.25">
      <c r="A1016" s="115"/>
      <c r="B1016" s="115"/>
      <c r="C1016" s="115"/>
      <c r="D1016" s="115"/>
      <c r="E1016" s="115"/>
      <c r="F1016" s="115"/>
      <c r="G1016" s="116"/>
      <c r="I1016" s="118"/>
      <c r="J1016" s="118"/>
      <c r="L1016" s="125"/>
    </row>
    <row r="1017" spans="1:12" x14ac:dyDescent="0.25">
      <c r="A1017" s="115"/>
      <c r="B1017" s="115"/>
      <c r="C1017" s="115"/>
      <c r="D1017" s="115"/>
      <c r="E1017" s="115"/>
      <c r="F1017" s="115"/>
      <c r="G1017" s="116"/>
      <c r="I1017" s="118"/>
      <c r="J1017" s="118"/>
      <c r="L1017" s="125"/>
    </row>
    <row r="1018" spans="1:12" x14ac:dyDescent="0.25">
      <c r="A1018" s="115"/>
      <c r="B1018" s="115"/>
      <c r="C1018" s="115"/>
      <c r="D1018" s="115"/>
      <c r="E1018" s="115"/>
      <c r="F1018" s="115"/>
      <c r="G1018" s="116"/>
      <c r="I1018" s="118"/>
      <c r="J1018" s="118"/>
      <c r="L1018" s="125"/>
    </row>
    <row r="1019" spans="1:12" x14ac:dyDescent="0.25">
      <c r="A1019" s="115"/>
      <c r="B1019" s="115"/>
      <c r="C1019" s="115"/>
      <c r="D1019" s="115"/>
      <c r="E1019" s="115"/>
      <c r="F1019" s="115"/>
      <c r="G1019" s="116"/>
      <c r="I1019" s="118"/>
      <c r="J1019" s="118"/>
      <c r="L1019" s="125"/>
    </row>
    <row r="1020" spans="1:12" x14ac:dyDescent="0.25">
      <c r="A1020" s="115"/>
      <c r="B1020" s="115"/>
      <c r="C1020" s="115"/>
      <c r="D1020" s="115"/>
      <c r="E1020" s="115"/>
      <c r="F1020" s="115"/>
      <c r="G1020" s="116"/>
      <c r="I1020" s="118"/>
      <c r="J1020" s="118"/>
      <c r="L1020" s="125"/>
    </row>
    <row r="1021" spans="1:12" x14ac:dyDescent="0.25">
      <c r="A1021" s="115"/>
      <c r="B1021" s="115"/>
      <c r="C1021" s="115"/>
      <c r="D1021" s="115"/>
      <c r="E1021" s="115"/>
      <c r="F1021" s="115"/>
      <c r="G1021" s="116"/>
      <c r="I1021" s="118"/>
      <c r="J1021" s="118"/>
      <c r="L1021" s="125"/>
    </row>
    <row r="1022" spans="1:12" x14ac:dyDescent="0.25">
      <c r="A1022" s="115"/>
      <c r="B1022" s="115"/>
      <c r="C1022" s="115"/>
      <c r="D1022" s="115"/>
      <c r="E1022" s="115"/>
      <c r="F1022" s="115"/>
      <c r="G1022" s="116"/>
      <c r="I1022" s="118"/>
      <c r="J1022" s="118"/>
      <c r="L1022" s="125"/>
    </row>
    <row r="1023" spans="1:12" x14ac:dyDescent="0.25">
      <c r="A1023" s="115"/>
      <c r="B1023" s="115"/>
      <c r="C1023" s="115"/>
      <c r="D1023" s="115"/>
      <c r="E1023" s="115"/>
      <c r="F1023" s="115"/>
      <c r="G1023" s="116"/>
      <c r="I1023" s="118"/>
      <c r="J1023" s="118"/>
      <c r="L1023" s="125"/>
    </row>
    <row r="1024" spans="1:12" x14ac:dyDescent="0.25">
      <c r="A1024" s="115"/>
      <c r="B1024" s="115"/>
      <c r="C1024" s="115"/>
      <c r="D1024" s="115"/>
      <c r="E1024" s="115"/>
      <c r="F1024" s="115"/>
      <c r="G1024" s="116"/>
      <c r="I1024" s="118"/>
      <c r="J1024" s="118"/>
      <c r="L1024" s="125"/>
    </row>
    <row r="1025" spans="1:12" x14ac:dyDescent="0.25">
      <c r="A1025" s="115"/>
      <c r="B1025" s="115"/>
      <c r="C1025" s="115"/>
      <c r="D1025" s="115"/>
      <c r="E1025" s="115"/>
      <c r="F1025" s="115"/>
      <c r="G1025" s="116"/>
      <c r="I1025" s="118"/>
      <c r="J1025" s="118"/>
      <c r="L1025" s="125"/>
    </row>
    <row r="1026" spans="1:12" x14ac:dyDescent="0.25">
      <c r="A1026" s="115"/>
      <c r="B1026" s="115"/>
      <c r="C1026" s="115"/>
      <c r="D1026" s="115"/>
      <c r="E1026" s="115"/>
      <c r="F1026" s="115"/>
      <c r="G1026" s="116"/>
      <c r="I1026" s="118"/>
      <c r="J1026" s="118"/>
      <c r="L1026" s="125"/>
    </row>
    <row r="1027" spans="1:12" x14ac:dyDescent="0.25">
      <c r="A1027" s="115"/>
      <c r="B1027" s="115"/>
      <c r="C1027" s="115"/>
      <c r="D1027" s="115"/>
      <c r="E1027" s="115"/>
      <c r="F1027" s="115"/>
      <c r="G1027" s="116"/>
      <c r="I1027" s="118"/>
      <c r="J1027" s="118"/>
      <c r="L1027" s="125"/>
    </row>
    <row r="1028" spans="1:12" x14ac:dyDescent="0.25">
      <c r="A1028" s="115"/>
      <c r="B1028" s="115"/>
      <c r="C1028" s="115"/>
      <c r="D1028" s="115"/>
      <c r="E1028" s="115"/>
      <c r="F1028" s="115"/>
      <c r="G1028" s="116"/>
      <c r="I1028" s="118"/>
      <c r="J1028" s="118"/>
      <c r="L1028" s="125"/>
    </row>
    <row r="1029" spans="1:12" x14ac:dyDescent="0.25">
      <c r="A1029" s="115"/>
      <c r="B1029" s="115"/>
      <c r="C1029" s="115"/>
      <c r="D1029" s="115"/>
      <c r="E1029" s="115"/>
      <c r="F1029" s="115"/>
      <c r="G1029" s="116"/>
      <c r="I1029" s="118"/>
      <c r="J1029" s="118"/>
      <c r="L1029" s="125"/>
    </row>
    <row r="1030" spans="1:12" x14ac:dyDescent="0.25">
      <c r="A1030" s="115"/>
      <c r="B1030" s="115"/>
      <c r="C1030" s="115"/>
      <c r="D1030" s="115"/>
      <c r="E1030" s="115"/>
      <c r="F1030" s="115"/>
      <c r="G1030" s="116"/>
      <c r="I1030" s="118"/>
      <c r="J1030" s="118"/>
      <c r="L1030" s="125"/>
    </row>
    <row r="1031" spans="1:12" x14ac:dyDescent="0.25">
      <c r="A1031" s="115"/>
      <c r="B1031" s="115"/>
      <c r="C1031" s="115"/>
      <c r="D1031" s="115"/>
      <c r="E1031" s="115"/>
      <c r="F1031" s="115"/>
      <c r="G1031" s="116"/>
      <c r="I1031" s="118"/>
      <c r="J1031" s="118"/>
      <c r="L1031" s="125"/>
    </row>
    <row r="1032" spans="1:12" x14ac:dyDescent="0.25">
      <c r="A1032" s="115"/>
      <c r="B1032" s="115"/>
      <c r="C1032" s="115"/>
      <c r="D1032" s="115"/>
      <c r="E1032" s="115"/>
      <c r="F1032" s="115"/>
      <c r="G1032" s="116"/>
      <c r="I1032" s="118"/>
      <c r="J1032" s="118"/>
      <c r="L1032" s="125"/>
    </row>
    <row r="1033" spans="1:12" x14ac:dyDescent="0.25">
      <c r="A1033" s="115"/>
      <c r="B1033" s="115"/>
      <c r="C1033" s="115"/>
      <c r="D1033" s="115"/>
      <c r="E1033" s="115"/>
      <c r="F1033" s="115"/>
      <c r="G1033" s="116"/>
      <c r="I1033" s="118"/>
      <c r="J1033" s="118"/>
      <c r="L1033" s="125"/>
    </row>
    <row r="1034" spans="1:12" x14ac:dyDescent="0.25">
      <c r="A1034" s="115"/>
      <c r="B1034" s="115"/>
      <c r="C1034" s="115"/>
      <c r="D1034" s="115"/>
      <c r="E1034" s="115"/>
      <c r="F1034" s="115"/>
      <c r="G1034" s="116"/>
      <c r="I1034" s="118"/>
      <c r="J1034" s="118"/>
      <c r="L1034" s="125"/>
    </row>
    <row r="1035" spans="1:12" x14ac:dyDescent="0.25">
      <c r="A1035" s="115"/>
      <c r="B1035" s="115"/>
      <c r="C1035" s="115"/>
      <c r="D1035" s="115"/>
      <c r="E1035" s="115"/>
      <c r="F1035" s="115"/>
      <c r="G1035" s="116"/>
      <c r="I1035" s="118"/>
      <c r="J1035" s="118"/>
      <c r="L1035" s="125"/>
    </row>
    <row r="1036" spans="1:12" x14ac:dyDescent="0.25">
      <c r="A1036" s="115"/>
      <c r="B1036" s="115"/>
      <c r="C1036" s="115"/>
      <c r="D1036" s="115"/>
      <c r="E1036" s="115"/>
      <c r="F1036" s="115"/>
      <c r="G1036" s="116"/>
      <c r="I1036" s="118"/>
      <c r="J1036" s="118"/>
      <c r="L1036" s="125"/>
    </row>
    <row r="1037" spans="1:12" x14ac:dyDescent="0.25">
      <c r="A1037" s="115"/>
      <c r="B1037" s="115"/>
      <c r="C1037" s="115"/>
      <c r="D1037" s="115"/>
      <c r="E1037" s="115"/>
      <c r="F1037" s="115"/>
      <c r="G1037" s="116"/>
      <c r="I1037" s="118"/>
      <c r="J1037" s="118"/>
      <c r="L1037" s="125"/>
    </row>
    <row r="1038" spans="1:12" x14ac:dyDescent="0.25">
      <c r="A1038" s="115"/>
      <c r="B1038" s="115"/>
      <c r="C1038" s="115"/>
      <c r="D1038" s="115"/>
      <c r="E1038" s="115"/>
      <c r="F1038" s="115"/>
      <c r="G1038" s="116"/>
      <c r="I1038" s="118"/>
      <c r="J1038" s="118"/>
      <c r="L1038" s="125"/>
    </row>
    <row r="1039" spans="1:12" x14ac:dyDescent="0.25">
      <c r="A1039" s="115"/>
      <c r="B1039" s="115"/>
      <c r="C1039" s="115"/>
      <c r="D1039" s="115"/>
      <c r="E1039" s="115"/>
      <c r="F1039" s="115"/>
      <c r="G1039" s="116"/>
      <c r="I1039" s="118"/>
      <c r="J1039" s="118"/>
      <c r="L1039" s="125"/>
    </row>
    <row r="1040" spans="1:12" x14ac:dyDescent="0.25">
      <c r="A1040" s="115"/>
      <c r="B1040" s="115"/>
      <c r="C1040" s="115"/>
      <c r="D1040" s="115"/>
      <c r="E1040" s="115"/>
      <c r="F1040" s="115"/>
      <c r="G1040" s="116"/>
      <c r="I1040" s="118"/>
      <c r="J1040" s="118"/>
      <c r="L1040" s="125"/>
    </row>
    <row r="1041" spans="1:12" x14ac:dyDescent="0.25">
      <c r="A1041" s="115"/>
      <c r="B1041" s="115"/>
      <c r="C1041" s="115"/>
      <c r="D1041" s="115"/>
      <c r="E1041" s="115"/>
      <c r="F1041" s="115"/>
      <c r="G1041" s="116"/>
      <c r="I1041" s="118"/>
      <c r="J1041" s="118"/>
      <c r="L1041" s="125"/>
    </row>
    <row r="1042" spans="1:12" x14ac:dyDescent="0.25">
      <c r="A1042" s="115"/>
      <c r="B1042" s="115"/>
      <c r="C1042" s="115"/>
      <c r="D1042" s="115"/>
      <c r="E1042" s="115"/>
      <c r="F1042" s="115"/>
      <c r="G1042" s="116"/>
      <c r="I1042" s="118"/>
      <c r="J1042" s="118"/>
      <c r="L1042" s="125"/>
    </row>
    <row r="1043" spans="1:12" x14ac:dyDescent="0.25">
      <c r="A1043" s="115"/>
      <c r="B1043" s="115"/>
      <c r="C1043" s="115"/>
      <c r="D1043" s="115"/>
      <c r="E1043" s="115"/>
      <c r="F1043" s="115"/>
      <c r="G1043" s="116"/>
      <c r="I1043" s="118"/>
      <c r="J1043" s="118"/>
      <c r="L1043" s="125"/>
    </row>
    <row r="1044" spans="1:12" x14ac:dyDescent="0.25">
      <c r="A1044" s="115"/>
      <c r="B1044" s="115"/>
      <c r="C1044" s="115"/>
      <c r="D1044" s="115"/>
      <c r="E1044" s="115"/>
      <c r="F1044" s="115"/>
      <c r="G1044" s="116"/>
      <c r="I1044" s="118"/>
      <c r="J1044" s="118"/>
      <c r="L1044" s="125"/>
    </row>
    <row r="1045" spans="1:12" x14ac:dyDescent="0.25">
      <c r="A1045" s="115"/>
      <c r="B1045" s="115"/>
      <c r="C1045" s="115"/>
      <c r="D1045" s="115"/>
      <c r="E1045" s="115"/>
      <c r="F1045" s="115"/>
      <c r="G1045" s="116"/>
      <c r="I1045" s="118"/>
      <c r="J1045" s="118"/>
      <c r="L1045" s="125"/>
    </row>
    <row r="1046" spans="1:12" x14ac:dyDescent="0.25">
      <c r="A1046" s="115"/>
      <c r="B1046" s="115"/>
      <c r="C1046" s="115"/>
      <c r="D1046" s="115"/>
      <c r="E1046" s="115"/>
      <c r="F1046" s="115"/>
      <c r="G1046" s="116"/>
      <c r="I1046" s="118"/>
      <c r="J1046" s="118"/>
      <c r="L1046" s="125"/>
    </row>
    <row r="1047" spans="1:12" x14ac:dyDescent="0.25">
      <c r="A1047" s="115"/>
      <c r="B1047" s="115"/>
      <c r="C1047" s="115"/>
      <c r="D1047" s="115"/>
      <c r="E1047" s="115"/>
      <c r="F1047" s="115"/>
      <c r="G1047" s="116"/>
      <c r="I1047" s="118"/>
      <c r="J1047" s="118"/>
      <c r="L1047" s="125"/>
    </row>
    <row r="1048" spans="1:12" x14ac:dyDescent="0.25">
      <c r="A1048" s="115"/>
      <c r="B1048" s="115"/>
      <c r="C1048" s="115"/>
      <c r="D1048" s="115"/>
      <c r="E1048" s="115"/>
      <c r="F1048" s="115"/>
      <c r="G1048" s="116"/>
      <c r="I1048" s="118"/>
      <c r="J1048" s="118"/>
      <c r="L1048" s="125"/>
    </row>
    <row r="1049" spans="1:12" x14ac:dyDescent="0.25">
      <c r="A1049" s="115"/>
      <c r="B1049" s="115"/>
      <c r="C1049" s="115"/>
      <c r="D1049" s="115"/>
      <c r="E1049" s="115"/>
      <c r="F1049" s="115"/>
      <c r="G1049" s="116"/>
      <c r="I1049" s="118"/>
      <c r="J1049" s="118"/>
      <c r="L1049" s="125"/>
    </row>
    <row r="1050" spans="1:12" x14ac:dyDescent="0.25">
      <c r="A1050" s="115"/>
      <c r="B1050" s="115"/>
      <c r="C1050" s="115"/>
      <c r="D1050" s="115"/>
      <c r="E1050" s="115"/>
      <c r="F1050" s="115"/>
      <c r="G1050" s="116"/>
      <c r="I1050" s="118"/>
      <c r="J1050" s="118"/>
      <c r="L1050" s="125"/>
    </row>
    <row r="1051" spans="1:12" x14ac:dyDescent="0.25">
      <c r="A1051" s="115"/>
      <c r="B1051" s="115"/>
      <c r="C1051" s="115"/>
      <c r="D1051" s="115"/>
      <c r="E1051" s="115"/>
      <c r="F1051" s="115"/>
      <c r="G1051" s="116"/>
      <c r="I1051" s="118"/>
      <c r="J1051" s="118"/>
      <c r="L1051" s="125"/>
    </row>
    <row r="1052" spans="1:12" x14ac:dyDescent="0.25">
      <c r="A1052" s="115"/>
      <c r="B1052" s="115"/>
      <c r="C1052" s="115"/>
      <c r="D1052" s="115"/>
      <c r="E1052" s="115"/>
      <c r="F1052" s="115"/>
      <c r="G1052" s="116"/>
      <c r="I1052" s="118"/>
      <c r="J1052" s="118"/>
      <c r="L1052" s="125"/>
    </row>
    <row r="1053" spans="1:12" x14ac:dyDescent="0.25">
      <c r="A1053" s="115"/>
      <c r="B1053" s="115"/>
      <c r="C1053" s="115"/>
      <c r="D1053" s="115"/>
      <c r="E1053" s="115"/>
      <c r="F1053" s="115"/>
      <c r="G1053" s="116"/>
      <c r="I1053" s="118"/>
      <c r="J1053" s="118"/>
      <c r="L1053" s="125"/>
    </row>
    <row r="1054" spans="1:12" x14ac:dyDescent="0.25">
      <c r="A1054" s="115"/>
      <c r="B1054" s="115"/>
      <c r="C1054" s="115"/>
      <c r="D1054" s="115"/>
      <c r="E1054" s="115"/>
      <c r="F1054" s="115"/>
      <c r="G1054" s="116"/>
      <c r="I1054" s="118"/>
      <c r="J1054" s="118"/>
      <c r="L1054" s="125"/>
    </row>
    <row r="1055" spans="1:12" x14ac:dyDescent="0.25">
      <c r="A1055" s="115"/>
      <c r="B1055" s="115"/>
      <c r="C1055" s="115"/>
      <c r="D1055" s="115"/>
      <c r="E1055" s="115"/>
      <c r="F1055" s="115"/>
      <c r="G1055" s="116"/>
      <c r="I1055" s="118"/>
      <c r="J1055" s="118"/>
      <c r="L1055" s="125"/>
    </row>
    <row r="1056" spans="1:12" x14ac:dyDescent="0.25">
      <c r="A1056" s="115"/>
      <c r="B1056" s="115"/>
      <c r="C1056" s="115"/>
      <c r="D1056" s="115"/>
      <c r="E1056" s="115"/>
      <c r="F1056" s="115"/>
      <c r="G1056" s="116"/>
      <c r="I1056" s="118"/>
      <c r="J1056" s="118"/>
      <c r="L1056" s="125"/>
    </row>
    <row r="1057" spans="1:12" x14ac:dyDescent="0.25">
      <c r="A1057" s="115"/>
      <c r="B1057" s="115"/>
      <c r="C1057" s="115"/>
      <c r="D1057" s="115"/>
      <c r="E1057" s="115"/>
      <c r="F1057" s="115"/>
      <c r="G1057" s="116"/>
      <c r="I1057" s="118"/>
      <c r="J1057" s="118"/>
      <c r="L1057" s="125"/>
    </row>
    <row r="1058" spans="1:12" x14ac:dyDescent="0.25">
      <c r="A1058" s="115"/>
      <c r="B1058" s="115"/>
      <c r="C1058" s="115"/>
      <c r="D1058" s="115"/>
      <c r="E1058" s="115"/>
      <c r="F1058" s="115"/>
      <c r="G1058" s="116"/>
      <c r="I1058" s="118"/>
      <c r="J1058" s="118"/>
      <c r="L1058" s="125"/>
    </row>
    <row r="1059" spans="1:12" x14ac:dyDescent="0.25">
      <c r="A1059" s="115"/>
      <c r="B1059" s="115"/>
      <c r="C1059" s="115"/>
      <c r="D1059" s="115"/>
      <c r="E1059" s="115"/>
      <c r="F1059" s="115"/>
      <c r="G1059" s="116"/>
      <c r="I1059" s="118"/>
      <c r="J1059" s="118"/>
      <c r="L1059" s="125"/>
    </row>
    <row r="1060" spans="1:12" x14ac:dyDescent="0.25">
      <c r="A1060" s="115"/>
      <c r="B1060" s="115"/>
      <c r="C1060" s="115"/>
      <c r="D1060" s="115"/>
      <c r="E1060" s="115"/>
      <c r="F1060" s="115"/>
      <c r="G1060" s="116"/>
      <c r="I1060" s="118"/>
      <c r="J1060" s="118"/>
      <c r="L1060" s="125"/>
    </row>
    <row r="1061" spans="1:12" x14ac:dyDescent="0.25">
      <c r="A1061" s="115"/>
      <c r="B1061" s="115"/>
      <c r="C1061" s="115"/>
      <c r="D1061" s="115"/>
      <c r="E1061" s="115"/>
      <c r="F1061" s="115"/>
      <c r="G1061" s="116"/>
      <c r="I1061" s="118"/>
      <c r="J1061" s="118"/>
      <c r="L1061" s="125"/>
    </row>
    <row r="1062" spans="1:12" x14ac:dyDescent="0.25">
      <c r="A1062" s="115"/>
      <c r="B1062" s="115"/>
      <c r="C1062" s="115"/>
      <c r="D1062" s="115"/>
      <c r="E1062" s="115"/>
      <c r="F1062" s="115"/>
      <c r="G1062" s="116"/>
      <c r="I1062" s="118"/>
      <c r="J1062" s="118"/>
      <c r="L1062" s="125"/>
    </row>
    <row r="1063" spans="1:12" x14ac:dyDescent="0.25">
      <c r="A1063" s="115"/>
      <c r="B1063" s="115"/>
      <c r="C1063" s="115"/>
      <c r="D1063" s="115"/>
      <c r="E1063" s="115"/>
      <c r="F1063" s="115"/>
      <c r="G1063" s="116"/>
      <c r="I1063" s="118"/>
      <c r="J1063" s="118"/>
      <c r="L1063" s="125"/>
    </row>
    <row r="1064" spans="1:12" x14ac:dyDescent="0.25">
      <c r="A1064" s="115"/>
      <c r="B1064" s="115"/>
      <c r="C1064" s="115"/>
      <c r="D1064" s="115"/>
      <c r="E1064" s="115"/>
      <c r="F1064" s="115"/>
      <c r="G1064" s="116"/>
      <c r="I1064" s="118"/>
      <c r="J1064" s="118"/>
      <c r="L1064" s="125"/>
    </row>
    <row r="1065" spans="1:12" x14ac:dyDescent="0.25">
      <c r="A1065" s="115"/>
      <c r="B1065" s="115"/>
      <c r="C1065" s="115"/>
      <c r="D1065" s="115"/>
      <c r="E1065" s="115"/>
      <c r="F1065" s="115"/>
      <c r="G1065" s="116"/>
      <c r="I1065" s="118"/>
      <c r="J1065" s="118"/>
      <c r="L1065" s="125"/>
    </row>
    <row r="1066" spans="1:12" x14ac:dyDescent="0.25">
      <c r="A1066" s="115"/>
      <c r="B1066" s="115"/>
      <c r="C1066" s="115"/>
      <c r="D1066" s="115"/>
      <c r="E1066" s="115"/>
      <c r="F1066" s="115"/>
      <c r="G1066" s="116"/>
      <c r="I1066" s="118"/>
      <c r="J1066" s="118"/>
      <c r="L1066" s="125"/>
    </row>
    <row r="1067" spans="1:12" x14ac:dyDescent="0.25">
      <c r="A1067" s="115"/>
      <c r="B1067" s="115"/>
      <c r="C1067" s="115"/>
      <c r="D1067" s="115"/>
      <c r="E1067" s="115"/>
      <c r="F1067" s="115"/>
      <c r="G1067" s="116"/>
      <c r="I1067" s="118"/>
      <c r="J1067" s="118"/>
      <c r="L1067" s="125"/>
    </row>
    <row r="1068" spans="1:12" x14ac:dyDescent="0.25">
      <c r="A1068" s="115"/>
      <c r="B1068" s="115"/>
      <c r="C1068" s="115"/>
      <c r="D1068" s="115"/>
      <c r="E1068" s="115"/>
      <c r="F1068" s="115"/>
      <c r="G1068" s="116"/>
      <c r="I1068" s="118"/>
      <c r="J1068" s="118"/>
      <c r="L1068" s="125"/>
    </row>
    <row r="1069" spans="1:12" x14ac:dyDescent="0.25">
      <c r="A1069" s="115"/>
      <c r="B1069" s="115"/>
      <c r="C1069" s="115"/>
      <c r="D1069" s="115"/>
      <c r="E1069" s="115"/>
      <c r="F1069" s="115"/>
      <c r="G1069" s="116"/>
      <c r="I1069" s="118"/>
      <c r="J1069" s="118"/>
      <c r="L1069" s="125"/>
    </row>
    <row r="1070" spans="1:12" x14ac:dyDescent="0.25">
      <c r="A1070" s="115"/>
      <c r="B1070" s="115"/>
      <c r="C1070" s="115"/>
      <c r="D1070" s="115"/>
      <c r="E1070" s="115"/>
      <c r="F1070" s="115"/>
      <c r="G1070" s="116"/>
      <c r="I1070" s="118"/>
      <c r="J1070" s="118"/>
      <c r="L1070" s="125"/>
    </row>
    <row r="1071" spans="1:12" x14ac:dyDescent="0.25">
      <c r="A1071" s="115"/>
      <c r="B1071" s="115"/>
      <c r="C1071" s="115"/>
      <c r="D1071" s="115"/>
      <c r="E1071" s="115"/>
      <c r="F1071" s="115"/>
      <c r="G1071" s="116"/>
      <c r="I1071" s="118"/>
      <c r="J1071" s="118"/>
      <c r="L1071" s="125"/>
    </row>
    <row r="1072" spans="1:12" x14ac:dyDescent="0.25">
      <c r="A1072" s="115"/>
      <c r="B1072" s="115"/>
      <c r="C1072" s="115"/>
      <c r="D1072" s="115"/>
      <c r="E1072" s="115"/>
      <c r="F1072" s="115"/>
      <c r="G1072" s="116"/>
      <c r="I1072" s="118"/>
      <c r="J1072" s="118"/>
      <c r="L1072" s="125"/>
    </row>
    <row r="1073" spans="1:12" x14ac:dyDescent="0.25">
      <c r="A1073" s="115"/>
      <c r="B1073" s="115"/>
      <c r="C1073" s="115"/>
      <c r="D1073" s="115"/>
      <c r="E1073" s="115"/>
      <c r="F1073" s="115"/>
      <c r="G1073" s="116"/>
      <c r="I1073" s="118"/>
      <c r="J1073" s="118"/>
      <c r="L1073" s="125"/>
    </row>
    <row r="1074" spans="1:12" x14ac:dyDescent="0.25">
      <c r="A1074" s="115"/>
      <c r="B1074" s="115"/>
      <c r="C1074" s="115"/>
      <c r="D1074" s="115"/>
      <c r="E1074" s="115"/>
      <c r="F1074" s="115"/>
      <c r="G1074" s="116"/>
      <c r="I1074" s="118"/>
      <c r="J1074" s="118"/>
      <c r="L1074" s="125"/>
    </row>
    <row r="1075" spans="1:12" x14ac:dyDescent="0.25">
      <c r="A1075" s="115"/>
      <c r="B1075" s="115"/>
      <c r="C1075" s="115"/>
      <c r="D1075" s="115"/>
      <c r="E1075" s="115"/>
      <c r="F1075" s="115"/>
      <c r="G1075" s="116"/>
      <c r="I1075" s="118"/>
      <c r="J1075" s="118"/>
      <c r="L1075" s="125"/>
    </row>
    <row r="1076" spans="1:12" x14ac:dyDescent="0.25">
      <c r="A1076" s="115"/>
      <c r="B1076" s="115"/>
      <c r="C1076" s="115"/>
      <c r="D1076" s="115"/>
      <c r="E1076" s="115"/>
      <c r="F1076" s="115"/>
      <c r="G1076" s="116"/>
      <c r="I1076" s="118"/>
      <c r="J1076" s="118"/>
      <c r="L1076" s="125"/>
    </row>
    <row r="1077" spans="1:12" x14ac:dyDescent="0.25">
      <c r="A1077" s="115"/>
      <c r="B1077" s="115"/>
      <c r="C1077" s="115"/>
      <c r="D1077" s="115"/>
      <c r="E1077" s="115"/>
      <c r="F1077" s="115"/>
      <c r="G1077" s="116"/>
      <c r="I1077" s="118"/>
      <c r="J1077" s="118"/>
      <c r="L1077" s="125"/>
    </row>
    <row r="1078" spans="1:12" x14ac:dyDescent="0.25">
      <c r="A1078" s="115"/>
      <c r="B1078" s="115"/>
      <c r="C1078" s="115"/>
      <c r="D1078" s="115"/>
      <c r="E1078" s="115"/>
      <c r="F1078" s="115"/>
      <c r="G1078" s="116"/>
      <c r="I1078" s="118"/>
      <c r="J1078" s="118"/>
      <c r="L1078" s="125"/>
    </row>
    <row r="1079" spans="1:12" x14ac:dyDescent="0.25">
      <c r="A1079" s="115"/>
      <c r="B1079" s="115"/>
      <c r="C1079" s="115"/>
      <c r="D1079" s="115"/>
      <c r="E1079" s="115"/>
      <c r="F1079" s="115"/>
      <c r="G1079" s="116"/>
      <c r="I1079" s="118"/>
      <c r="J1079" s="118"/>
      <c r="L1079" s="125"/>
    </row>
    <row r="1080" spans="1:12" x14ac:dyDescent="0.25">
      <c r="A1080" s="115"/>
      <c r="B1080" s="115"/>
      <c r="C1080" s="115"/>
      <c r="D1080" s="115"/>
      <c r="E1080" s="115"/>
      <c r="F1080" s="115"/>
      <c r="G1080" s="116"/>
      <c r="I1080" s="118"/>
      <c r="J1080" s="118"/>
      <c r="L1080" s="125"/>
    </row>
    <row r="1081" spans="1:12" x14ac:dyDescent="0.25">
      <c r="A1081" s="115"/>
      <c r="B1081" s="115"/>
      <c r="C1081" s="115"/>
      <c r="D1081" s="115"/>
      <c r="E1081" s="115"/>
      <c r="F1081" s="115"/>
      <c r="G1081" s="116"/>
      <c r="I1081" s="118"/>
      <c r="J1081" s="118"/>
      <c r="L1081" s="125"/>
    </row>
    <row r="1082" spans="1:12" x14ac:dyDescent="0.25">
      <c r="A1082" s="115"/>
      <c r="B1082" s="115"/>
      <c r="C1082" s="115"/>
      <c r="D1082" s="115"/>
      <c r="E1082" s="115"/>
      <c r="F1082" s="115"/>
      <c r="G1082" s="116"/>
      <c r="I1082" s="118"/>
      <c r="J1082" s="118"/>
      <c r="L1082" s="125"/>
    </row>
    <row r="1083" spans="1:12" x14ac:dyDescent="0.25">
      <c r="A1083" s="115"/>
      <c r="B1083" s="115"/>
      <c r="C1083" s="115"/>
      <c r="D1083" s="115"/>
      <c r="E1083" s="115"/>
      <c r="F1083" s="115"/>
      <c r="G1083" s="116"/>
      <c r="I1083" s="118"/>
      <c r="J1083" s="118"/>
      <c r="L1083" s="125"/>
    </row>
    <row r="1084" spans="1:12" x14ac:dyDescent="0.25">
      <c r="A1084" s="115"/>
      <c r="B1084" s="115"/>
      <c r="C1084" s="115"/>
      <c r="D1084" s="115"/>
      <c r="E1084" s="115"/>
      <c r="F1084" s="115"/>
      <c r="G1084" s="116"/>
      <c r="I1084" s="118"/>
      <c r="J1084" s="118"/>
      <c r="L1084" s="125"/>
    </row>
    <row r="1085" spans="1:12" x14ac:dyDescent="0.25">
      <c r="A1085" s="115"/>
      <c r="B1085" s="115"/>
      <c r="C1085" s="115"/>
      <c r="D1085" s="115"/>
      <c r="E1085" s="115"/>
      <c r="F1085" s="115"/>
      <c r="G1085" s="116"/>
      <c r="I1085" s="118"/>
      <c r="J1085" s="118"/>
      <c r="L1085" s="125"/>
    </row>
    <row r="1086" spans="1:12" x14ac:dyDescent="0.25">
      <c r="A1086" s="115"/>
      <c r="B1086" s="115"/>
      <c r="C1086" s="115"/>
      <c r="D1086" s="115"/>
      <c r="E1086" s="115"/>
      <c r="F1086" s="115"/>
      <c r="G1086" s="116"/>
      <c r="I1086" s="118"/>
      <c r="J1086" s="118"/>
      <c r="L1086" s="125"/>
    </row>
    <row r="1087" spans="1:12" x14ac:dyDescent="0.25">
      <c r="A1087" s="115"/>
      <c r="B1087" s="115"/>
      <c r="C1087" s="115"/>
      <c r="D1087" s="115"/>
      <c r="E1087" s="115"/>
      <c r="F1087" s="115"/>
      <c r="G1087" s="116"/>
      <c r="I1087" s="118"/>
      <c r="J1087" s="118"/>
      <c r="L1087" s="125"/>
    </row>
    <row r="1088" spans="1:12" x14ac:dyDescent="0.25">
      <c r="A1088" s="115"/>
      <c r="B1088" s="115"/>
      <c r="C1088" s="115"/>
      <c r="D1088" s="115"/>
      <c r="E1088" s="115"/>
      <c r="F1088" s="115"/>
      <c r="G1088" s="116"/>
      <c r="I1088" s="118"/>
      <c r="J1088" s="118"/>
      <c r="L1088" s="125"/>
    </row>
    <row r="1089" spans="1:12" x14ac:dyDescent="0.25">
      <c r="A1089" s="115"/>
      <c r="B1089" s="115"/>
      <c r="C1089" s="115"/>
      <c r="D1089" s="115"/>
      <c r="E1089" s="115"/>
      <c r="F1089" s="115"/>
      <c r="G1089" s="116"/>
      <c r="I1089" s="118"/>
      <c r="J1089" s="118"/>
      <c r="L1089" s="125"/>
    </row>
    <row r="1090" spans="1:12" x14ac:dyDescent="0.25">
      <c r="A1090" s="115"/>
      <c r="B1090" s="115"/>
      <c r="C1090" s="115"/>
      <c r="D1090" s="115"/>
      <c r="E1090" s="115"/>
      <c r="F1090" s="115"/>
      <c r="G1090" s="116"/>
      <c r="I1090" s="118"/>
      <c r="J1090" s="118"/>
      <c r="L1090" s="125"/>
    </row>
    <row r="1091" spans="1:12" x14ac:dyDescent="0.25">
      <c r="A1091" s="115"/>
      <c r="B1091" s="115"/>
      <c r="C1091" s="115"/>
      <c r="D1091" s="115"/>
      <c r="E1091" s="115"/>
      <c r="F1091" s="115"/>
      <c r="G1091" s="116"/>
      <c r="I1091" s="118"/>
      <c r="J1091" s="118"/>
      <c r="L1091" s="125"/>
    </row>
    <row r="1092" spans="1:12" x14ac:dyDescent="0.25">
      <c r="A1092" s="115"/>
      <c r="B1092" s="115"/>
      <c r="C1092" s="115"/>
      <c r="D1092" s="115"/>
      <c r="E1092" s="115"/>
      <c r="F1092" s="115"/>
      <c r="G1092" s="116"/>
      <c r="I1092" s="118"/>
      <c r="J1092" s="118"/>
      <c r="L1092" s="125"/>
    </row>
    <row r="1093" spans="1:12" x14ac:dyDescent="0.25">
      <c r="A1093" s="115"/>
      <c r="B1093" s="115"/>
      <c r="C1093" s="115"/>
      <c r="D1093" s="115"/>
      <c r="E1093" s="115"/>
      <c r="F1093" s="115"/>
      <c r="G1093" s="116"/>
      <c r="I1093" s="118"/>
      <c r="J1093" s="118"/>
      <c r="L1093" s="125"/>
    </row>
    <row r="1094" spans="1:12" x14ac:dyDescent="0.25">
      <c r="A1094" s="115"/>
      <c r="B1094" s="115"/>
      <c r="C1094" s="115"/>
      <c r="D1094" s="115"/>
      <c r="E1094" s="115"/>
      <c r="F1094" s="115"/>
      <c r="G1094" s="116"/>
      <c r="I1094" s="118"/>
      <c r="J1094" s="118"/>
      <c r="L1094" s="125"/>
    </row>
    <row r="1095" spans="1:12" x14ac:dyDescent="0.25">
      <c r="A1095" s="115"/>
      <c r="B1095" s="115"/>
      <c r="C1095" s="115"/>
      <c r="D1095" s="115"/>
      <c r="E1095" s="115"/>
      <c r="F1095" s="115"/>
      <c r="G1095" s="116"/>
      <c r="I1095" s="118"/>
      <c r="J1095" s="118"/>
      <c r="L1095" s="125"/>
    </row>
    <row r="1096" spans="1:12" x14ac:dyDescent="0.25">
      <c r="A1096" s="115"/>
      <c r="B1096" s="115"/>
      <c r="C1096" s="115"/>
      <c r="D1096" s="115"/>
      <c r="E1096" s="115"/>
      <c r="F1096" s="115"/>
      <c r="G1096" s="116"/>
      <c r="I1096" s="118"/>
      <c r="J1096" s="118"/>
      <c r="L1096" s="125"/>
    </row>
    <row r="1097" spans="1:12" x14ac:dyDescent="0.25">
      <c r="A1097" s="115"/>
      <c r="B1097" s="115"/>
      <c r="C1097" s="115"/>
      <c r="D1097" s="115"/>
      <c r="E1097" s="115"/>
      <c r="F1097" s="115"/>
      <c r="G1097" s="116"/>
      <c r="I1097" s="118"/>
      <c r="J1097" s="118"/>
      <c r="L1097" s="125"/>
    </row>
    <row r="1098" spans="1:12" x14ac:dyDescent="0.25">
      <c r="A1098" s="115"/>
      <c r="B1098" s="115"/>
      <c r="C1098" s="115"/>
      <c r="D1098" s="115"/>
      <c r="E1098" s="115"/>
      <c r="F1098" s="115"/>
      <c r="G1098" s="116"/>
      <c r="I1098" s="118"/>
      <c r="J1098" s="118"/>
      <c r="L1098" s="125"/>
    </row>
    <row r="1099" spans="1:12" x14ac:dyDescent="0.25">
      <c r="A1099" s="115"/>
      <c r="B1099" s="115"/>
      <c r="C1099" s="115"/>
      <c r="D1099" s="115"/>
      <c r="E1099" s="115"/>
      <c r="F1099" s="115"/>
      <c r="G1099" s="116"/>
      <c r="I1099" s="118"/>
      <c r="J1099" s="118"/>
      <c r="L1099" s="125"/>
    </row>
    <row r="1100" spans="1:12" x14ac:dyDescent="0.25">
      <c r="A1100" s="115"/>
      <c r="B1100" s="115"/>
      <c r="C1100" s="115"/>
      <c r="D1100" s="115"/>
      <c r="E1100" s="115"/>
      <c r="F1100" s="115"/>
      <c r="G1100" s="116"/>
      <c r="I1100" s="118"/>
      <c r="J1100" s="118"/>
      <c r="L1100" s="125"/>
    </row>
    <row r="1101" spans="1:12" x14ac:dyDescent="0.25">
      <c r="A1101" s="115"/>
      <c r="B1101" s="115"/>
      <c r="C1101" s="115"/>
      <c r="D1101" s="115"/>
      <c r="E1101" s="115"/>
      <c r="F1101" s="115"/>
      <c r="G1101" s="116"/>
      <c r="I1101" s="118"/>
      <c r="J1101" s="118"/>
      <c r="L1101" s="125"/>
    </row>
    <row r="1102" spans="1:12" x14ac:dyDescent="0.25">
      <c r="A1102" s="115"/>
      <c r="B1102" s="115"/>
      <c r="C1102" s="115"/>
      <c r="D1102" s="115"/>
      <c r="E1102" s="115"/>
      <c r="F1102" s="115"/>
      <c r="G1102" s="116"/>
      <c r="I1102" s="118"/>
      <c r="J1102" s="118"/>
      <c r="L1102" s="125"/>
    </row>
    <row r="1103" spans="1:12" x14ac:dyDescent="0.25">
      <c r="A1103" s="115"/>
      <c r="B1103" s="115"/>
      <c r="C1103" s="115"/>
      <c r="D1103" s="115"/>
      <c r="E1103" s="115"/>
      <c r="F1103" s="115"/>
      <c r="G1103" s="116"/>
      <c r="I1103" s="118"/>
      <c r="J1103" s="118"/>
      <c r="L1103" s="125"/>
    </row>
    <row r="1104" spans="1:12" x14ac:dyDescent="0.25">
      <c r="A1104" s="115"/>
      <c r="B1104" s="115"/>
      <c r="C1104" s="115"/>
      <c r="D1104" s="115"/>
      <c r="E1104" s="115"/>
      <c r="F1104" s="115"/>
      <c r="G1104" s="116"/>
      <c r="I1104" s="118"/>
      <c r="J1104" s="118"/>
      <c r="L1104" s="125"/>
    </row>
    <row r="1105" spans="1:12" x14ac:dyDescent="0.25">
      <c r="A1105" s="115"/>
      <c r="B1105" s="115"/>
      <c r="C1105" s="115"/>
      <c r="D1105" s="115"/>
      <c r="E1105" s="115"/>
      <c r="F1105" s="115"/>
      <c r="G1105" s="116"/>
      <c r="I1105" s="118"/>
      <c r="J1105" s="118"/>
      <c r="L1105" s="125"/>
    </row>
    <row r="1106" spans="1:12" x14ac:dyDescent="0.25">
      <c r="A1106" s="115"/>
      <c r="B1106" s="115"/>
      <c r="C1106" s="115"/>
      <c r="D1106" s="115"/>
      <c r="E1106" s="115"/>
      <c r="F1106" s="115"/>
      <c r="G1106" s="116"/>
      <c r="I1106" s="118"/>
      <c r="J1106" s="118"/>
      <c r="L1106" s="125"/>
    </row>
    <row r="1107" spans="1:12" x14ac:dyDescent="0.25">
      <c r="A1107" s="115"/>
      <c r="B1107" s="115"/>
      <c r="C1107" s="115"/>
      <c r="D1107" s="115"/>
      <c r="E1107" s="115"/>
      <c r="F1107" s="115"/>
      <c r="G1107" s="116"/>
      <c r="I1107" s="118"/>
      <c r="J1107" s="118"/>
      <c r="L1107" s="125"/>
    </row>
    <row r="1108" spans="1:12" x14ac:dyDescent="0.25">
      <c r="A1108" s="115"/>
      <c r="B1108" s="115"/>
      <c r="C1108" s="115"/>
      <c r="D1108" s="115"/>
      <c r="E1108" s="115"/>
      <c r="F1108" s="115"/>
      <c r="G1108" s="116"/>
      <c r="I1108" s="118"/>
      <c r="J1108" s="118"/>
      <c r="L1108" s="125"/>
    </row>
    <row r="1109" spans="1:12" x14ac:dyDescent="0.25">
      <c r="A1109" s="115"/>
      <c r="B1109" s="115"/>
      <c r="C1109" s="115"/>
      <c r="D1109" s="115"/>
      <c r="E1109" s="115"/>
      <c r="F1109" s="115"/>
      <c r="G1109" s="116"/>
      <c r="I1109" s="118"/>
      <c r="J1109" s="118"/>
      <c r="L1109" s="125"/>
    </row>
    <row r="1110" spans="1:12" x14ac:dyDescent="0.25">
      <c r="A1110" s="115"/>
      <c r="B1110" s="115"/>
      <c r="C1110" s="115"/>
      <c r="D1110" s="115"/>
      <c r="E1110" s="115"/>
      <c r="F1110" s="115"/>
      <c r="G1110" s="116"/>
      <c r="I1110" s="118"/>
      <c r="J1110" s="118"/>
      <c r="L1110" s="125"/>
    </row>
    <row r="1111" spans="1:12" x14ac:dyDescent="0.25">
      <c r="A1111" s="115"/>
      <c r="B1111" s="115"/>
      <c r="C1111" s="115"/>
      <c r="D1111" s="115"/>
      <c r="E1111" s="115"/>
      <c r="F1111" s="115"/>
      <c r="G1111" s="116"/>
      <c r="I1111" s="118"/>
      <c r="J1111" s="118"/>
      <c r="L1111" s="125"/>
    </row>
    <row r="1112" spans="1:12" x14ac:dyDescent="0.25">
      <c r="A1112" s="115"/>
      <c r="B1112" s="115"/>
      <c r="C1112" s="115"/>
      <c r="D1112" s="115"/>
      <c r="E1112" s="115"/>
      <c r="F1112" s="115"/>
      <c r="G1112" s="116"/>
      <c r="I1112" s="118"/>
      <c r="J1112" s="118"/>
      <c r="L1112" s="125"/>
    </row>
    <row r="1113" spans="1:12" x14ac:dyDescent="0.25">
      <c r="A1113" s="115"/>
      <c r="B1113" s="115"/>
      <c r="C1113" s="115"/>
      <c r="D1113" s="115"/>
      <c r="E1113" s="115"/>
      <c r="F1113" s="115"/>
      <c r="G1113" s="116"/>
      <c r="I1113" s="118"/>
      <c r="J1113" s="118"/>
      <c r="L1113" s="125"/>
    </row>
    <row r="1114" spans="1:12" x14ac:dyDescent="0.25">
      <c r="A1114" s="115"/>
      <c r="B1114" s="115"/>
      <c r="C1114" s="115"/>
      <c r="D1114" s="115"/>
      <c r="E1114" s="115"/>
      <c r="F1114" s="115"/>
      <c r="G1114" s="116"/>
      <c r="I1114" s="118"/>
      <c r="J1114" s="118"/>
      <c r="L1114" s="125"/>
    </row>
    <row r="1115" spans="1:12" x14ac:dyDescent="0.25">
      <c r="A1115" s="115"/>
      <c r="B1115" s="115"/>
      <c r="C1115" s="115"/>
      <c r="D1115" s="115"/>
      <c r="E1115" s="115"/>
      <c r="F1115" s="115"/>
      <c r="G1115" s="116"/>
      <c r="I1115" s="118"/>
      <c r="J1115" s="118"/>
      <c r="L1115" s="125"/>
    </row>
    <row r="1116" spans="1:12" x14ac:dyDescent="0.25">
      <c r="A1116" s="115"/>
      <c r="B1116" s="115"/>
      <c r="C1116" s="115"/>
      <c r="D1116" s="115"/>
      <c r="E1116" s="115"/>
      <c r="F1116" s="115"/>
      <c r="G1116" s="116"/>
      <c r="I1116" s="118"/>
      <c r="J1116" s="118"/>
      <c r="L1116" s="125"/>
    </row>
    <row r="1117" spans="1:12" x14ac:dyDescent="0.25">
      <c r="A1117" s="115"/>
      <c r="B1117" s="115"/>
      <c r="C1117" s="115"/>
      <c r="D1117" s="115"/>
      <c r="E1117" s="115"/>
      <c r="F1117" s="115"/>
      <c r="G1117" s="116"/>
      <c r="I1117" s="118"/>
      <c r="J1117" s="118"/>
      <c r="L1117" s="125"/>
    </row>
    <row r="1118" spans="1:12" x14ac:dyDescent="0.25">
      <c r="A1118" s="115"/>
      <c r="B1118" s="115"/>
      <c r="C1118" s="115"/>
      <c r="D1118" s="115"/>
      <c r="E1118" s="115"/>
      <c r="F1118" s="115"/>
      <c r="G1118" s="116"/>
      <c r="I1118" s="118"/>
      <c r="J1118" s="118"/>
      <c r="L1118" s="125"/>
    </row>
    <row r="1119" spans="1:12" x14ac:dyDescent="0.25">
      <c r="A1119" s="115"/>
      <c r="B1119" s="115"/>
      <c r="C1119" s="115"/>
      <c r="D1119" s="115"/>
      <c r="E1119" s="115"/>
      <c r="F1119" s="115"/>
      <c r="G1119" s="116"/>
      <c r="I1119" s="118"/>
      <c r="J1119" s="118"/>
      <c r="L1119" s="125"/>
    </row>
    <row r="1120" spans="1:12" x14ac:dyDescent="0.25">
      <c r="A1120" s="115"/>
      <c r="B1120" s="115"/>
      <c r="C1120" s="115"/>
      <c r="D1120" s="115"/>
      <c r="E1120" s="115"/>
      <c r="F1120" s="115"/>
      <c r="G1120" s="116"/>
      <c r="I1120" s="118"/>
      <c r="J1120" s="118"/>
      <c r="L1120" s="125"/>
    </row>
    <row r="1121" spans="1:12" x14ac:dyDescent="0.25">
      <c r="A1121" s="115"/>
      <c r="B1121" s="115"/>
      <c r="C1121" s="115"/>
      <c r="D1121" s="115"/>
      <c r="E1121" s="115"/>
      <c r="F1121" s="115"/>
      <c r="G1121" s="116"/>
      <c r="I1121" s="118"/>
      <c r="J1121" s="118"/>
      <c r="L1121" s="125"/>
    </row>
    <row r="1122" spans="1:12" x14ac:dyDescent="0.25">
      <c r="A1122" s="115"/>
      <c r="B1122" s="115"/>
      <c r="C1122" s="115"/>
      <c r="D1122" s="115"/>
      <c r="E1122" s="115"/>
      <c r="F1122" s="115"/>
      <c r="G1122" s="116"/>
      <c r="I1122" s="118"/>
      <c r="J1122" s="118"/>
      <c r="L1122" s="125"/>
    </row>
    <row r="1123" spans="1:12" x14ac:dyDescent="0.25">
      <c r="A1123" s="115"/>
      <c r="B1123" s="115"/>
      <c r="C1123" s="115"/>
      <c r="D1123" s="115"/>
      <c r="E1123" s="115"/>
      <c r="F1123" s="115"/>
      <c r="G1123" s="116"/>
      <c r="I1123" s="118"/>
      <c r="J1123" s="118"/>
      <c r="L1123" s="125"/>
    </row>
    <row r="1124" spans="1:12" x14ac:dyDescent="0.25">
      <c r="A1124" s="115"/>
      <c r="B1124" s="115"/>
      <c r="C1124" s="115"/>
      <c r="D1124" s="115"/>
      <c r="E1124" s="115"/>
      <c r="F1124" s="115"/>
      <c r="G1124" s="116"/>
      <c r="I1124" s="118"/>
      <c r="J1124" s="118"/>
      <c r="L1124" s="125"/>
    </row>
    <row r="1125" spans="1:12" x14ac:dyDescent="0.25">
      <c r="A1125" s="115"/>
      <c r="B1125" s="115"/>
      <c r="C1125" s="115"/>
      <c r="D1125" s="115"/>
      <c r="E1125" s="115"/>
      <c r="F1125" s="115"/>
      <c r="G1125" s="116"/>
      <c r="I1125" s="118"/>
      <c r="J1125" s="118"/>
      <c r="L1125" s="125"/>
    </row>
    <row r="1126" spans="1:12" x14ac:dyDescent="0.25">
      <c r="A1126" s="115"/>
      <c r="B1126" s="115"/>
      <c r="C1126" s="115"/>
      <c r="D1126" s="115"/>
      <c r="E1126" s="115"/>
      <c r="F1126" s="115"/>
      <c r="G1126" s="116"/>
      <c r="I1126" s="118"/>
      <c r="J1126" s="118"/>
      <c r="L1126" s="125"/>
    </row>
    <row r="1127" spans="1:12" x14ac:dyDescent="0.25">
      <c r="A1127" s="115"/>
      <c r="B1127" s="115"/>
      <c r="C1127" s="115"/>
      <c r="D1127" s="115"/>
      <c r="E1127" s="115"/>
      <c r="F1127" s="115"/>
      <c r="G1127" s="116"/>
      <c r="I1127" s="118"/>
      <c r="J1127" s="118"/>
      <c r="L1127" s="125"/>
    </row>
    <row r="1128" spans="1:12" x14ac:dyDescent="0.25">
      <c r="A1128" s="115"/>
      <c r="B1128" s="115"/>
      <c r="C1128" s="115"/>
      <c r="D1128" s="115"/>
      <c r="E1128" s="115"/>
      <c r="F1128" s="115"/>
      <c r="G1128" s="116"/>
      <c r="I1128" s="118"/>
      <c r="J1128" s="118"/>
      <c r="L1128" s="125"/>
    </row>
    <row r="1129" spans="1:12" x14ac:dyDescent="0.25">
      <c r="A1129" s="115"/>
      <c r="B1129" s="115"/>
      <c r="C1129" s="115"/>
      <c r="D1129" s="115"/>
      <c r="E1129" s="115"/>
      <c r="F1129" s="115"/>
      <c r="G1129" s="116"/>
      <c r="I1129" s="118"/>
      <c r="J1129" s="118"/>
      <c r="L1129" s="125"/>
    </row>
    <row r="1130" spans="1:12" x14ac:dyDescent="0.25">
      <c r="A1130" s="115"/>
      <c r="B1130" s="115"/>
      <c r="C1130" s="115"/>
      <c r="D1130" s="115"/>
      <c r="E1130" s="115"/>
      <c r="F1130" s="115"/>
      <c r="G1130" s="116"/>
      <c r="I1130" s="118"/>
      <c r="J1130" s="118"/>
      <c r="L1130" s="125"/>
    </row>
    <row r="1131" spans="1:12" x14ac:dyDescent="0.25">
      <c r="A1131" s="115"/>
      <c r="B1131" s="115"/>
      <c r="C1131" s="115"/>
      <c r="D1131" s="115"/>
      <c r="E1131" s="115"/>
      <c r="F1131" s="115"/>
      <c r="G1131" s="116"/>
      <c r="I1131" s="118"/>
      <c r="J1131" s="118"/>
      <c r="L1131" s="125"/>
    </row>
    <row r="1132" spans="1:12" x14ac:dyDescent="0.25">
      <c r="A1132" s="115"/>
      <c r="B1132" s="115"/>
      <c r="C1132" s="115"/>
      <c r="D1132" s="115"/>
      <c r="E1132" s="115"/>
      <c r="F1132" s="115"/>
      <c r="G1132" s="116"/>
      <c r="I1132" s="118"/>
      <c r="J1132" s="118"/>
      <c r="L1132" s="125"/>
    </row>
    <row r="1133" spans="1:12" x14ac:dyDescent="0.25">
      <c r="A1133" s="115"/>
      <c r="B1133" s="115"/>
      <c r="C1133" s="115"/>
      <c r="D1133" s="115"/>
      <c r="E1133" s="115"/>
      <c r="F1133" s="115"/>
      <c r="G1133" s="116"/>
      <c r="I1133" s="118"/>
      <c r="J1133" s="118"/>
      <c r="L1133" s="125"/>
    </row>
    <row r="1134" spans="1:12" x14ac:dyDescent="0.25">
      <c r="A1134" s="115"/>
      <c r="B1134" s="115"/>
      <c r="C1134" s="115"/>
      <c r="D1134" s="115"/>
      <c r="E1134" s="115"/>
      <c r="F1134" s="115"/>
      <c r="G1134" s="116"/>
      <c r="I1134" s="118"/>
      <c r="J1134" s="118"/>
      <c r="L1134" s="125"/>
    </row>
    <row r="1135" spans="1:12" x14ac:dyDescent="0.25">
      <c r="A1135" s="115"/>
      <c r="B1135" s="115"/>
      <c r="C1135" s="115"/>
      <c r="D1135" s="115"/>
      <c r="E1135" s="115"/>
      <c r="F1135" s="115"/>
      <c r="G1135" s="116"/>
      <c r="I1135" s="118"/>
      <c r="J1135" s="118"/>
      <c r="L1135" s="125"/>
    </row>
    <row r="1136" spans="1:12" x14ac:dyDescent="0.25">
      <c r="A1136" s="115"/>
      <c r="B1136" s="115"/>
      <c r="C1136" s="115"/>
      <c r="D1136" s="115"/>
      <c r="E1136" s="115"/>
      <c r="F1136" s="115"/>
      <c r="G1136" s="116"/>
      <c r="I1136" s="118"/>
      <c r="J1136" s="118"/>
      <c r="L1136" s="125"/>
    </row>
    <row r="1137" spans="1:12" x14ac:dyDescent="0.25">
      <c r="A1137" s="115"/>
      <c r="B1137" s="115"/>
      <c r="C1137" s="115"/>
      <c r="D1137" s="115"/>
      <c r="E1137" s="115"/>
      <c r="F1137" s="115"/>
      <c r="G1137" s="116"/>
      <c r="I1137" s="118"/>
      <c r="J1137" s="118"/>
      <c r="L1137" s="125"/>
    </row>
    <row r="1138" spans="1:12" x14ac:dyDescent="0.25">
      <c r="A1138" s="115"/>
      <c r="B1138" s="115"/>
      <c r="C1138" s="115"/>
      <c r="D1138" s="115"/>
      <c r="E1138" s="115"/>
      <c r="F1138" s="115"/>
      <c r="G1138" s="116"/>
      <c r="I1138" s="118"/>
      <c r="J1138" s="118"/>
      <c r="L1138" s="125"/>
    </row>
    <row r="1139" spans="1:12" x14ac:dyDescent="0.25">
      <c r="A1139" s="115"/>
      <c r="B1139" s="115"/>
      <c r="C1139" s="115"/>
      <c r="D1139" s="115"/>
      <c r="E1139" s="115"/>
      <c r="F1139" s="115"/>
      <c r="G1139" s="116"/>
      <c r="I1139" s="118"/>
      <c r="J1139" s="118"/>
      <c r="L1139" s="125"/>
    </row>
    <row r="1140" spans="1:12" x14ac:dyDescent="0.25">
      <c r="A1140" s="115"/>
      <c r="B1140" s="115"/>
      <c r="C1140" s="115"/>
      <c r="D1140" s="115"/>
      <c r="E1140" s="115"/>
      <c r="F1140" s="115"/>
      <c r="G1140" s="116"/>
      <c r="I1140" s="118"/>
      <c r="J1140" s="118"/>
      <c r="L1140" s="125"/>
    </row>
    <row r="1141" spans="1:12" x14ac:dyDescent="0.25">
      <c r="A1141" s="115"/>
      <c r="B1141" s="115"/>
      <c r="C1141" s="115"/>
      <c r="D1141" s="115"/>
      <c r="E1141" s="115"/>
      <c r="F1141" s="115"/>
      <c r="G1141" s="116"/>
      <c r="I1141" s="118"/>
      <c r="J1141" s="118"/>
      <c r="L1141" s="125"/>
    </row>
    <row r="1142" spans="1:12" x14ac:dyDescent="0.25">
      <c r="A1142" s="115"/>
      <c r="B1142" s="115"/>
      <c r="C1142" s="115"/>
      <c r="D1142" s="115"/>
      <c r="E1142" s="115"/>
      <c r="F1142" s="115"/>
      <c r="G1142" s="116"/>
      <c r="I1142" s="118"/>
      <c r="J1142" s="118"/>
      <c r="L1142" s="125"/>
    </row>
    <row r="1143" spans="1:12" x14ac:dyDescent="0.25">
      <c r="A1143" s="115"/>
      <c r="B1143" s="115"/>
      <c r="C1143" s="115"/>
      <c r="D1143" s="115"/>
      <c r="E1143" s="115"/>
      <c r="F1143" s="115"/>
      <c r="G1143" s="116"/>
      <c r="I1143" s="118"/>
      <c r="J1143" s="118"/>
      <c r="L1143" s="125"/>
    </row>
    <row r="1144" spans="1:12" x14ac:dyDescent="0.25">
      <c r="A1144" s="115"/>
      <c r="B1144" s="115"/>
      <c r="C1144" s="115"/>
      <c r="D1144" s="115"/>
      <c r="E1144" s="115"/>
      <c r="F1144" s="115"/>
      <c r="G1144" s="116"/>
      <c r="I1144" s="118"/>
      <c r="J1144" s="118"/>
      <c r="L1144" s="125"/>
    </row>
    <row r="1145" spans="1:12" x14ac:dyDescent="0.25">
      <c r="A1145" s="115"/>
      <c r="B1145" s="115"/>
      <c r="C1145" s="115"/>
      <c r="D1145" s="115"/>
      <c r="E1145" s="115"/>
      <c r="F1145" s="115"/>
      <c r="G1145" s="116"/>
      <c r="I1145" s="118"/>
      <c r="J1145" s="118"/>
      <c r="L1145" s="125"/>
    </row>
    <row r="1146" spans="1:12" x14ac:dyDescent="0.25">
      <c r="A1146" s="115"/>
      <c r="B1146" s="115"/>
      <c r="C1146" s="115"/>
      <c r="D1146" s="115"/>
      <c r="E1146" s="115"/>
      <c r="F1146" s="115"/>
      <c r="G1146" s="116"/>
      <c r="I1146" s="118"/>
      <c r="J1146" s="118"/>
      <c r="L1146" s="125"/>
    </row>
    <row r="1147" spans="1:12" x14ac:dyDescent="0.25">
      <c r="A1147" s="115"/>
      <c r="B1147" s="115"/>
      <c r="C1147" s="115"/>
      <c r="D1147" s="115"/>
      <c r="E1147" s="115"/>
      <c r="F1147" s="115"/>
      <c r="G1147" s="116"/>
      <c r="I1147" s="118"/>
      <c r="J1147" s="118"/>
      <c r="L1147" s="125"/>
    </row>
    <row r="1148" spans="1:12" x14ac:dyDescent="0.25">
      <c r="A1148" s="115"/>
      <c r="B1148" s="115"/>
      <c r="C1148" s="115"/>
      <c r="D1148" s="115"/>
      <c r="E1148" s="115"/>
      <c r="F1148" s="115"/>
      <c r="G1148" s="116"/>
      <c r="I1148" s="118"/>
      <c r="J1148" s="118"/>
      <c r="L1148" s="125"/>
    </row>
    <row r="1149" spans="1:12" x14ac:dyDescent="0.25">
      <c r="A1149" s="115"/>
      <c r="B1149" s="115"/>
      <c r="C1149" s="115"/>
      <c r="D1149" s="115"/>
      <c r="E1149" s="115"/>
      <c r="F1149" s="115"/>
      <c r="G1149" s="116"/>
      <c r="I1149" s="118"/>
      <c r="J1149" s="118"/>
      <c r="L1149" s="125"/>
    </row>
    <row r="1150" spans="1:12" x14ac:dyDescent="0.25">
      <c r="A1150" s="115"/>
      <c r="B1150" s="115"/>
      <c r="C1150" s="115"/>
      <c r="D1150" s="115"/>
      <c r="E1150" s="115"/>
      <c r="F1150" s="115"/>
      <c r="G1150" s="116"/>
      <c r="I1150" s="118"/>
      <c r="J1150" s="118"/>
      <c r="L1150" s="125"/>
    </row>
    <row r="1151" spans="1:12" x14ac:dyDescent="0.25">
      <c r="A1151" s="115"/>
      <c r="B1151" s="115"/>
      <c r="C1151" s="115"/>
      <c r="D1151" s="115"/>
      <c r="E1151" s="115"/>
      <c r="F1151" s="115"/>
      <c r="G1151" s="116"/>
      <c r="I1151" s="118"/>
      <c r="J1151" s="118"/>
      <c r="L1151" s="125"/>
    </row>
    <row r="1152" spans="1:12" x14ac:dyDescent="0.25">
      <c r="A1152" s="115"/>
      <c r="B1152" s="115"/>
      <c r="C1152" s="115"/>
      <c r="D1152" s="115"/>
      <c r="E1152" s="115"/>
      <c r="F1152" s="115"/>
      <c r="G1152" s="116"/>
      <c r="I1152" s="118"/>
      <c r="J1152" s="118"/>
      <c r="L1152" s="125"/>
    </row>
    <row r="1153" spans="1:12" x14ac:dyDescent="0.25">
      <c r="A1153" s="115"/>
      <c r="B1153" s="115"/>
      <c r="C1153" s="115"/>
      <c r="D1153" s="115"/>
      <c r="E1153" s="115"/>
      <c r="F1153" s="115"/>
      <c r="G1153" s="116"/>
      <c r="I1153" s="118"/>
      <c r="J1153" s="118"/>
      <c r="L1153" s="125"/>
    </row>
    <row r="1154" spans="1:12" x14ac:dyDescent="0.25">
      <c r="A1154" s="115"/>
      <c r="B1154" s="115"/>
      <c r="C1154" s="115"/>
      <c r="D1154" s="115"/>
      <c r="E1154" s="115"/>
      <c r="F1154" s="115"/>
      <c r="G1154" s="116"/>
      <c r="I1154" s="118"/>
      <c r="J1154" s="118"/>
      <c r="L1154" s="125"/>
    </row>
    <row r="1155" spans="1:12" x14ac:dyDescent="0.25">
      <c r="A1155" s="115"/>
      <c r="B1155" s="115"/>
      <c r="C1155" s="115"/>
      <c r="D1155" s="115"/>
      <c r="E1155" s="115"/>
      <c r="F1155" s="115"/>
      <c r="G1155" s="116"/>
      <c r="I1155" s="118"/>
      <c r="J1155" s="118"/>
      <c r="L1155" s="125"/>
    </row>
    <row r="1156" spans="1:12" x14ac:dyDescent="0.25">
      <c r="A1156" s="115"/>
      <c r="B1156" s="115"/>
      <c r="C1156" s="115"/>
      <c r="D1156" s="115"/>
      <c r="E1156" s="115"/>
      <c r="F1156" s="115"/>
      <c r="G1156" s="116"/>
      <c r="I1156" s="118"/>
      <c r="J1156" s="118"/>
      <c r="L1156" s="125"/>
    </row>
    <row r="1157" spans="1:12" x14ac:dyDescent="0.25">
      <c r="A1157" s="115"/>
      <c r="B1157" s="115"/>
      <c r="C1157" s="115"/>
      <c r="D1157" s="115"/>
      <c r="E1157" s="115"/>
      <c r="F1157" s="115"/>
      <c r="G1157" s="116"/>
      <c r="I1157" s="118"/>
      <c r="J1157" s="118"/>
      <c r="L1157" s="125"/>
    </row>
    <row r="1158" spans="1:12" x14ac:dyDescent="0.25">
      <c r="A1158" s="115"/>
      <c r="B1158" s="115"/>
      <c r="C1158" s="115"/>
      <c r="D1158" s="115"/>
      <c r="E1158" s="115"/>
      <c r="F1158" s="115"/>
      <c r="G1158" s="116"/>
      <c r="I1158" s="118"/>
      <c r="J1158" s="118"/>
      <c r="L1158" s="125"/>
    </row>
    <row r="1159" spans="1:12" x14ac:dyDescent="0.25">
      <c r="A1159" s="115"/>
      <c r="B1159" s="115"/>
      <c r="C1159" s="115"/>
      <c r="D1159" s="115"/>
      <c r="E1159" s="115"/>
      <c r="F1159" s="115"/>
      <c r="G1159" s="116"/>
      <c r="I1159" s="118"/>
      <c r="J1159" s="118"/>
      <c r="L1159" s="125"/>
    </row>
    <row r="1160" spans="1:12" x14ac:dyDescent="0.25">
      <c r="A1160" s="115"/>
      <c r="B1160" s="115"/>
      <c r="C1160" s="115"/>
      <c r="D1160" s="115"/>
      <c r="E1160" s="115"/>
      <c r="F1160" s="115"/>
      <c r="G1160" s="116"/>
      <c r="I1160" s="118"/>
      <c r="J1160" s="118"/>
      <c r="L1160" s="125"/>
    </row>
    <row r="1161" spans="1:12" x14ac:dyDescent="0.25">
      <c r="A1161" s="115"/>
      <c r="B1161" s="115"/>
      <c r="C1161" s="115"/>
      <c r="D1161" s="115"/>
      <c r="E1161" s="115"/>
      <c r="F1161" s="115"/>
      <c r="G1161" s="116"/>
      <c r="I1161" s="118"/>
      <c r="J1161" s="118"/>
      <c r="L1161" s="125"/>
    </row>
    <row r="1162" spans="1:12" x14ac:dyDescent="0.25">
      <c r="A1162" s="115"/>
      <c r="B1162" s="115"/>
      <c r="C1162" s="115"/>
      <c r="D1162" s="115"/>
      <c r="E1162" s="115"/>
      <c r="F1162" s="115"/>
      <c r="G1162" s="116"/>
      <c r="I1162" s="118"/>
      <c r="J1162" s="118"/>
      <c r="L1162" s="125"/>
    </row>
    <row r="1163" spans="1:12" x14ac:dyDescent="0.25">
      <c r="A1163" s="115"/>
      <c r="B1163" s="115"/>
      <c r="C1163" s="115"/>
      <c r="D1163" s="115"/>
      <c r="E1163" s="115"/>
      <c r="F1163" s="115"/>
      <c r="G1163" s="116"/>
      <c r="I1163" s="118"/>
      <c r="J1163" s="118"/>
      <c r="L1163" s="125"/>
    </row>
    <row r="1164" spans="1:12" x14ac:dyDescent="0.25">
      <c r="A1164" s="115"/>
      <c r="B1164" s="115"/>
      <c r="C1164" s="115"/>
      <c r="D1164" s="115"/>
      <c r="E1164" s="115"/>
      <c r="F1164" s="115"/>
      <c r="G1164" s="116"/>
      <c r="I1164" s="118"/>
      <c r="J1164" s="118"/>
      <c r="L1164" s="125"/>
    </row>
    <row r="1165" spans="1:12" x14ac:dyDescent="0.25">
      <c r="A1165" s="115"/>
      <c r="B1165" s="115"/>
      <c r="C1165" s="115"/>
      <c r="D1165" s="115"/>
      <c r="E1165" s="115"/>
      <c r="F1165" s="115"/>
      <c r="G1165" s="116"/>
      <c r="I1165" s="118"/>
      <c r="J1165" s="118"/>
      <c r="L1165" s="125"/>
    </row>
    <row r="1166" spans="1:12" x14ac:dyDescent="0.25">
      <c r="A1166" s="115"/>
      <c r="B1166" s="115"/>
      <c r="C1166" s="115"/>
      <c r="D1166" s="115"/>
      <c r="E1166" s="115"/>
      <c r="F1166" s="115"/>
      <c r="G1166" s="116"/>
      <c r="I1166" s="118"/>
      <c r="J1166" s="118"/>
      <c r="L1166" s="125"/>
    </row>
    <row r="1167" spans="1:12" x14ac:dyDescent="0.25">
      <c r="A1167" s="115"/>
      <c r="B1167" s="115"/>
      <c r="C1167" s="115"/>
      <c r="D1167" s="115"/>
      <c r="E1167" s="115"/>
      <c r="F1167" s="115"/>
      <c r="G1167" s="116"/>
      <c r="I1167" s="118"/>
      <c r="J1167" s="118"/>
      <c r="L1167" s="125"/>
    </row>
    <row r="1168" spans="1:12" x14ac:dyDescent="0.25">
      <c r="A1168" s="115"/>
      <c r="B1168" s="115"/>
      <c r="C1168" s="115"/>
      <c r="D1168" s="115"/>
      <c r="E1168" s="115"/>
      <c r="F1168" s="115"/>
      <c r="G1168" s="116"/>
      <c r="I1168" s="118"/>
      <c r="J1168" s="118"/>
      <c r="L1168" s="125"/>
    </row>
    <row r="1169" spans="1:12" x14ac:dyDescent="0.25">
      <c r="A1169" s="115"/>
      <c r="B1169" s="115"/>
      <c r="C1169" s="115"/>
      <c r="D1169" s="115"/>
      <c r="E1169" s="115"/>
      <c r="F1169" s="115"/>
      <c r="G1169" s="116"/>
      <c r="I1169" s="118"/>
      <c r="J1169" s="118"/>
      <c r="L1169" s="125"/>
    </row>
    <row r="1170" spans="1:12" x14ac:dyDescent="0.25">
      <c r="A1170" s="115"/>
      <c r="B1170" s="115"/>
      <c r="C1170" s="115"/>
      <c r="D1170" s="115"/>
      <c r="E1170" s="115"/>
      <c r="F1170" s="115"/>
      <c r="G1170" s="116"/>
      <c r="I1170" s="118"/>
      <c r="J1170" s="118"/>
      <c r="L1170" s="125"/>
    </row>
    <row r="1171" spans="1:12" x14ac:dyDescent="0.25">
      <c r="A1171" s="115"/>
      <c r="B1171" s="115"/>
      <c r="C1171" s="115"/>
      <c r="D1171" s="115"/>
      <c r="E1171" s="115"/>
      <c r="F1171" s="115"/>
      <c r="G1171" s="116"/>
      <c r="I1171" s="118"/>
      <c r="J1171" s="118"/>
      <c r="L1171" s="125"/>
    </row>
    <row r="1172" spans="1:12" x14ac:dyDescent="0.25">
      <c r="A1172" s="115"/>
      <c r="B1172" s="115"/>
      <c r="C1172" s="115"/>
      <c r="D1172" s="115"/>
      <c r="E1172" s="115"/>
      <c r="F1172" s="115"/>
      <c r="G1172" s="116"/>
      <c r="I1172" s="118"/>
      <c r="J1172" s="118"/>
      <c r="L1172" s="125"/>
    </row>
    <row r="1173" spans="1:12" x14ac:dyDescent="0.25">
      <c r="A1173" s="115"/>
      <c r="B1173" s="115"/>
      <c r="C1173" s="115"/>
      <c r="D1173" s="115"/>
      <c r="E1173" s="115"/>
      <c r="F1173" s="115"/>
      <c r="G1173" s="116"/>
      <c r="I1173" s="118"/>
      <c r="J1173" s="118"/>
      <c r="L1173" s="125"/>
    </row>
    <row r="1174" spans="1:12" x14ac:dyDescent="0.25">
      <c r="A1174" s="115"/>
      <c r="B1174" s="115"/>
      <c r="C1174" s="115"/>
      <c r="D1174" s="115"/>
      <c r="E1174" s="115"/>
      <c r="F1174" s="115"/>
      <c r="G1174" s="116"/>
      <c r="I1174" s="118"/>
      <c r="J1174" s="118"/>
      <c r="L1174" s="125"/>
    </row>
    <row r="1175" spans="1:12" x14ac:dyDescent="0.25">
      <c r="A1175" s="115"/>
      <c r="B1175" s="115"/>
      <c r="C1175" s="115"/>
      <c r="D1175" s="115"/>
      <c r="E1175" s="115"/>
      <c r="F1175" s="115"/>
      <c r="G1175" s="116"/>
      <c r="I1175" s="118"/>
      <c r="J1175" s="118"/>
      <c r="L1175" s="125"/>
    </row>
    <row r="1176" spans="1:12" x14ac:dyDescent="0.25">
      <c r="A1176" s="115"/>
      <c r="B1176" s="115"/>
      <c r="C1176" s="115"/>
      <c r="D1176" s="115"/>
      <c r="E1176" s="115"/>
      <c r="F1176" s="115"/>
      <c r="G1176" s="116"/>
      <c r="I1176" s="118"/>
      <c r="J1176" s="118"/>
      <c r="L1176" s="125"/>
    </row>
    <row r="1177" spans="1:12" x14ac:dyDescent="0.25">
      <c r="A1177" s="115"/>
      <c r="B1177" s="115"/>
      <c r="C1177" s="115"/>
      <c r="D1177" s="115"/>
      <c r="E1177" s="115"/>
      <c r="F1177" s="115"/>
      <c r="G1177" s="116"/>
      <c r="I1177" s="118"/>
      <c r="J1177" s="118"/>
      <c r="L1177" s="125"/>
    </row>
    <row r="1178" spans="1:12" x14ac:dyDescent="0.25">
      <c r="A1178" s="115"/>
      <c r="B1178" s="115"/>
      <c r="C1178" s="115"/>
      <c r="D1178" s="115"/>
      <c r="E1178" s="115"/>
      <c r="F1178" s="115"/>
      <c r="G1178" s="116"/>
      <c r="I1178" s="118"/>
      <c r="J1178" s="118"/>
      <c r="L1178" s="125"/>
    </row>
    <row r="1179" spans="1:12" x14ac:dyDescent="0.25">
      <c r="A1179" s="115"/>
      <c r="B1179" s="115"/>
      <c r="C1179" s="115"/>
      <c r="D1179" s="115"/>
      <c r="E1179" s="115"/>
      <c r="F1179" s="115"/>
      <c r="G1179" s="116"/>
      <c r="I1179" s="118"/>
      <c r="J1179" s="118"/>
      <c r="L1179" s="125"/>
    </row>
    <row r="1180" spans="1:12" x14ac:dyDescent="0.25">
      <c r="A1180" s="115"/>
      <c r="B1180" s="115"/>
      <c r="C1180" s="115"/>
      <c r="D1180" s="115"/>
      <c r="E1180" s="115"/>
      <c r="F1180" s="115"/>
      <c r="G1180" s="116"/>
      <c r="I1180" s="118"/>
      <c r="J1180" s="118"/>
      <c r="L1180" s="125"/>
    </row>
    <row r="1181" spans="1:12" x14ac:dyDescent="0.25">
      <c r="A1181" s="115"/>
      <c r="B1181" s="115"/>
      <c r="C1181" s="115"/>
      <c r="D1181" s="115"/>
      <c r="E1181" s="115"/>
      <c r="F1181" s="115"/>
      <c r="G1181" s="116"/>
      <c r="I1181" s="118"/>
      <c r="J1181" s="118"/>
      <c r="L1181" s="125"/>
    </row>
    <row r="1182" spans="1:12" x14ac:dyDescent="0.25">
      <c r="A1182" s="115"/>
      <c r="B1182" s="115"/>
      <c r="C1182" s="115"/>
      <c r="D1182" s="115"/>
      <c r="E1182" s="115"/>
      <c r="F1182" s="115"/>
      <c r="G1182" s="116"/>
      <c r="I1182" s="118"/>
      <c r="J1182" s="118"/>
      <c r="L1182" s="125"/>
    </row>
    <row r="1183" spans="1:12" x14ac:dyDescent="0.25">
      <c r="A1183" s="115"/>
      <c r="B1183" s="115"/>
      <c r="C1183" s="115"/>
      <c r="D1183" s="115"/>
      <c r="E1183" s="115"/>
      <c r="F1183" s="115"/>
      <c r="G1183" s="116"/>
      <c r="I1183" s="118"/>
      <c r="J1183" s="118"/>
      <c r="L1183" s="125"/>
    </row>
    <row r="1184" spans="1:12" x14ac:dyDescent="0.25">
      <c r="A1184" s="115"/>
      <c r="B1184" s="115"/>
      <c r="C1184" s="115"/>
      <c r="D1184" s="115"/>
      <c r="E1184" s="115"/>
      <c r="F1184" s="115"/>
      <c r="G1184" s="116"/>
      <c r="I1184" s="118"/>
      <c r="J1184" s="118"/>
      <c r="L1184" s="125"/>
    </row>
    <row r="1185" spans="1:12" x14ac:dyDescent="0.25">
      <c r="A1185" s="115"/>
      <c r="B1185" s="115"/>
      <c r="C1185" s="115"/>
      <c r="D1185" s="115"/>
      <c r="E1185" s="115"/>
      <c r="F1185" s="115"/>
      <c r="G1185" s="116"/>
      <c r="I1185" s="118"/>
      <c r="J1185" s="118"/>
      <c r="L1185" s="125"/>
    </row>
    <row r="1186" spans="1:12" x14ac:dyDescent="0.25">
      <c r="A1186" s="115"/>
      <c r="B1186" s="115"/>
      <c r="C1186" s="115"/>
      <c r="D1186" s="115"/>
      <c r="E1186" s="115"/>
      <c r="F1186" s="115"/>
      <c r="G1186" s="116"/>
      <c r="I1186" s="118"/>
      <c r="J1186" s="118"/>
      <c r="L1186" s="125"/>
    </row>
    <row r="1187" spans="1:12" x14ac:dyDescent="0.25">
      <c r="A1187" s="115"/>
      <c r="B1187" s="115"/>
      <c r="C1187" s="115"/>
      <c r="D1187" s="115"/>
      <c r="E1187" s="115"/>
      <c r="F1187" s="115"/>
      <c r="G1187" s="116"/>
      <c r="I1187" s="118"/>
      <c r="J1187" s="118"/>
      <c r="L1187" s="125"/>
    </row>
    <row r="1188" spans="1:12" x14ac:dyDescent="0.25">
      <c r="A1188" s="115"/>
      <c r="B1188" s="115"/>
      <c r="C1188" s="115"/>
      <c r="D1188" s="115"/>
      <c r="E1188" s="115"/>
      <c r="F1188" s="115"/>
      <c r="G1188" s="116"/>
      <c r="I1188" s="118"/>
      <c r="J1188" s="118"/>
      <c r="L1188" s="125"/>
    </row>
    <row r="1189" spans="1:12" x14ac:dyDescent="0.25">
      <c r="A1189" s="115"/>
      <c r="B1189" s="115"/>
      <c r="C1189" s="115"/>
      <c r="D1189" s="115"/>
      <c r="E1189" s="115"/>
      <c r="F1189" s="115"/>
      <c r="G1189" s="116"/>
      <c r="I1189" s="118"/>
      <c r="J1189" s="118"/>
      <c r="L1189" s="125"/>
    </row>
    <row r="1190" spans="1:12" x14ac:dyDescent="0.25">
      <c r="A1190" s="115"/>
      <c r="B1190" s="115"/>
      <c r="C1190" s="115"/>
      <c r="D1190" s="115"/>
      <c r="E1190" s="115"/>
      <c r="F1190" s="115"/>
      <c r="G1190" s="116"/>
      <c r="I1190" s="118"/>
      <c r="J1190" s="118"/>
      <c r="L1190" s="125"/>
    </row>
    <row r="1191" spans="1:12" x14ac:dyDescent="0.25">
      <c r="A1191" s="115"/>
      <c r="B1191" s="115"/>
      <c r="C1191" s="115"/>
      <c r="D1191" s="115"/>
      <c r="E1191" s="115"/>
      <c r="F1191" s="115"/>
      <c r="G1191" s="116"/>
      <c r="I1191" s="118"/>
      <c r="J1191" s="118"/>
      <c r="L1191" s="125"/>
    </row>
    <row r="1192" spans="1:12" x14ac:dyDescent="0.25">
      <c r="A1192" s="115"/>
      <c r="B1192" s="115"/>
      <c r="C1192" s="115"/>
      <c r="D1192" s="115"/>
      <c r="E1192" s="115"/>
      <c r="F1192" s="115"/>
      <c r="G1192" s="116"/>
      <c r="I1192" s="118"/>
      <c r="J1192" s="118"/>
      <c r="L1192" s="125"/>
    </row>
    <row r="1193" spans="1:12" x14ac:dyDescent="0.25">
      <c r="A1193" s="115"/>
      <c r="B1193" s="115"/>
      <c r="C1193" s="115"/>
      <c r="D1193" s="115"/>
      <c r="E1193" s="115"/>
      <c r="F1193" s="115"/>
      <c r="G1193" s="116"/>
      <c r="I1193" s="118"/>
      <c r="J1193" s="118"/>
      <c r="L1193" s="125"/>
    </row>
    <row r="1194" spans="1:12" x14ac:dyDescent="0.25">
      <c r="A1194" s="115"/>
      <c r="B1194" s="115"/>
      <c r="C1194" s="115"/>
      <c r="D1194" s="115"/>
      <c r="E1194" s="115"/>
      <c r="F1194" s="115"/>
      <c r="G1194" s="116"/>
      <c r="I1194" s="118"/>
      <c r="J1194" s="118"/>
      <c r="L1194" s="125"/>
    </row>
    <row r="1195" spans="1:12" x14ac:dyDescent="0.25">
      <c r="A1195" s="115"/>
      <c r="B1195" s="115"/>
      <c r="C1195" s="115"/>
      <c r="D1195" s="115"/>
      <c r="E1195" s="115"/>
      <c r="F1195" s="115"/>
      <c r="G1195" s="116"/>
      <c r="I1195" s="118"/>
      <c r="J1195" s="118"/>
      <c r="L1195" s="125"/>
    </row>
    <row r="1196" spans="1:12" x14ac:dyDescent="0.25">
      <c r="A1196" s="115"/>
      <c r="B1196" s="115"/>
      <c r="C1196" s="115"/>
      <c r="D1196" s="115"/>
      <c r="E1196" s="115"/>
      <c r="F1196" s="115"/>
      <c r="G1196" s="116"/>
      <c r="I1196" s="118"/>
      <c r="J1196" s="118"/>
      <c r="L1196" s="125"/>
    </row>
    <row r="1197" spans="1:12" x14ac:dyDescent="0.25">
      <c r="A1197" s="115"/>
      <c r="B1197" s="115"/>
      <c r="C1197" s="115"/>
      <c r="D1197" s="115"/>
      <c r="E1197" s="115"/>
      <c r="F1197" s="115"/>
      <c r="G1197" s="116"/>
      <c r="I1197" s="118"/>
      <c r="J1197" s="118"/>
      <c r="L1197" s="125"/>
    </row>
    <row r="1198" spans="1:12" x14ac:dyDescent="0.25">
      <c r="A1198" s="115"/>
      <c r="B1198" s="115"/>
      <c r="C1198" s="115"/>
      <c r="D1198" s="115"/>
      <c r="E1198" s="115"/>
      <c r="F1198" s="115"/>
      <c r="G1198" s="116"/>
      <c r="I1198" s="118"/>
      <c r="J1198" s="118"/>
      <c r="L1198" s="125"/>
    </row>
    <row r="1199" spans="1:12" x14ac:dyDescent="0.25">
      <c r="A1199" s="115"/>
      <c r="B1199" s="115"/>
      <c r="C1199" s="115"/>
      <c r="D1199" s="115"/>
      <c r="E1199" s="115"/>
      <c r="F1199" s="115"/>
      <c r="G1199" s="116"/>
      <c r="I1199" s="118"/>
      <c r="J1199" s="118"/>
      <c r="L1199" s="125"/>
    </row>
    <row r="1200" spans="1:12" x14ac:dyDescent="0.25">
      <c r="A1200" s="115"/>
      <c r="B1200" s="115"/>
      <c r="C1200" s="115"/>
      <c r="D1200" s="115"/>
      <c r="E1200" s="115"/>
      <c r="F1200" s="115"/>
      <c r="G1200" s="116"/>
      <c r="I1200" s="118"/>
      <c r="J1200" s="118"/>
      <c r="L1200" s="125"/>
    </row>
    <row r="1201" spans="1:12" x14ac:dyDescent="0.25">
      <c r="A1201" s="115"/>
      <c r="B1201" s="115"/>
      <c r="C1201" s="115"/>
      <c r="D1201" s="115"/>
      <c r="E1201" s="115"/>
      <c r="F1201" s="115"/>
      <c r="G1201" s="116"/>
      <c r="I1201" s="118"/>
      <c r="J1201" s="118"/>
      <c r="L1201" s="125"/>
    </row>
    <row r="1202" spans="1:12" x14ac:dyDescent="0.25">
      <c r="A1202" s="115"/>
      <c r="B1202" s="115"/>
      <c r="C1202" s="115"/>
      <c r="D1202" s="115"/>
      <c r="E1202" s="115"/>
      <c r="F1202" s="115"/>
      <c r="G1202" s="116"/>
      <c r="I1202" s="118"/>
      <c r="J1202" s="118"/>
      <c r="L1202" s="125"/>
    </row>
    <row r="1203" spans="1:12" x14ac:dyDescent="0.25">
      <c r="A1203" s="115"/>
      <c r="B1203" s="115"/>
      <c r="C1203" s="115"/>
      <c r="D1203" s="115"/>
      <c r="E1203" s="115"/>
      <c r="F1203" s="115"/>
      <c r="G1203" s="116"/>
      <c r="I1203" s="118"/>
      <c r="J1203" s="118"/>
      <c r="L1203" s="125"/>
    </row>
    <row r="1204" spans="1:12" x14ac:dyDescent="0.25">
      <c r="A1204" s="115"/>
      <c r="B1204" s="115"/>
      <c r="C1204" s="115"/>
      <c r="D1204" s="115"/>
      <c r="E1204" s="115"/>
      <c r="F1204" s="115"/>
      <c r="G1204" s="116"/>
      <c r="I1204" s="118"/>
      <c r="J1204" s="118"/>
      <c r="L1204" s="125"/>
    </row>
    <row r="1205" spans="1:12" x14ac:dyDescent="0.25">
      <c r="A1205" s="115"/>
      <c r="B1205" s="115"/>
      <c r="C1205" s="115"/>
      <c r="D1205" s="115"/>
      <c r="E1205" s="115"/>
      <c r="F1205" s="115"/>
      <c r="G1205" s="116"/>
      <c r="I1205" s="118"/>
      <c r="J1205" s="118"/>
      <c r="L1205" s="125"/>
    </row>
    <row r="1206" spans="1:12" x14ac:dyDescent="0.25">
      <c r="A1206" s="115"/>
      <c r="B1206" s="115"/>
      <c r="C1206" s="115"/>
      <c r="D1206" s="115"/>
      <c r="E1206" s="115"/>
      <c r="F1206" s="115"/>
      <c r="G1206" s="116"/>
      <c r="I1206" s="118"/>
      <c r="J1206" s="118"/>
      <c r="L1206" s="125"/>
    </row>
    <row r="1207" spans="1:12" x14ac:dyDescent="0.25">
      <c r="A1207" s="115"/>
      <c r="B1207" s="115"/>
      <c r="C1207" s="115"/>
      <c r="D1207" s="115"/>
      <c r="E1207" s="115"/>
      <c r="F1207" s="115"/>
      <c r="G1207" s="116"/>
      <c r="I1207" s="118"/>
      <c r="J1207" s="118"/>
      <c r="L1207" s="125"/>
    </row>
    <row r="1208" spans="1:12" x14ac:dyDescent="0.25">
      <c r="A1208" s="115"/>
      <c r="B1208" s="115"/>
      <c r="C1208" s="115"/>
      <c r="D1208" s="115"/>
      <c r="E1208" s="115"/>
      <c r="F1208" s="115"/>
      <c r="G1208" s="116"/>
      <c r="I1208" s="118"/>
      <c r="J1208" s="118"/>
      <c r="L1208" s="125"/>
    </row>
    <row r="1209" spans="1:12" x14ac:dyDescent="0.25">
      <c r="A1209" s="115"/>
      <c r="B1209" s="115"/>
      <c r="C1209" s="115"/>
      <c r="D1209" s="115"/>
      <c r="E1209" s="115"/>
      <c r="F1209" s="115"/>
      <c r="G1209" s="116"/>
      <c r="I1209" s="118"/>
      <c r="J1209" s="118"/>
      <c r="L1209" s="125"/>
    </row>
    <row r="1210" spans="1:12" x14ac:dyDescent="0.25">
      <c r="A1210" s="115"/>
      <c r="B1210" s="115"/>
      <c r="C1210" s="115"/>
      <c r="D1210" s="115"/>
      <c r="E1210" s="115"/>
      <c r="F1210" s="115"/>
      <c r="G1210" s="116"/>
      <c r="I1210" s="118"/>
      <c r="J1210" s="118"/>
      <c r="L1210" s="125"/>
    </row>
    <row r="1211" spans="1:12" x14ac:dyDescent="0.25">
      <c r="A1211" s="115"/>
      <c r="B1211" s="115"/>
      <c r="C1211" s="115"/>
      <c r="D1211" s="115"/>
      <c r="E1211" s="115"/>
      <c r="F1211" s="115"/>
      <c r="G1211" s="116"/>
      <c r="I1211" s="118"/>
      <c r="J1211" s="118"/>
      <c r="L1211" s="125"/>
    </row>
    <row r="1212" spans="1:12" x14ac:dyDescent="0.25">
      <c r="A1212" s="115"/>
      <c r="B1212" s="115"/>
      <c r="C1212" s="115"/>
      <c r="D1212" s="115"/>
      <c r="E1212" s="115"/>
      <c r="F1212" s="115"/>
      <c r="G1212" s="116"/>
      <c r="I1212" s="118"/>
      <c r="J1212" s="118"/>
      <c r="L1212" s="125"/>
    </row>
    <row r="1213" spans="1:12" x14ac:dyDescent="0.25">
      <c r="A1213" s="115"/>
      <c r="B1213" s="115"/>
      <c r="C1213" s="115"/>
      <c r="D1213" s="115"/>
      <c r="E1213" s="115"/>
      <c r="F1213" s="115"/>
      <c r="G1213" s="116"/>
      <c r="I1213" s="118"/>
      <c r="J1213" s="118"/>
      <c r="L1213" s="125"/>
    </row>
    <row r="1214" spans="1:12" x14ac:dyDescent="0.25">
      <c r="A1214" s="115"/>
      <c r="B1214" s="115"/>
      <c r="C1214" s="115"/>
      <c r="D1214" s="115"/>
      <c r="E1214" s="115"/>
      <c r="F1214" s="115"/>
      <c r="G1214" s="116"/>
      <c r="I1214" s="118"/>
      <c r="J1214" s="118"/>
      <c r="L1214" s="125"/>
    </row>
    <row r="1215" spans="1:12" x14ac:dyDescent="0.25">
      <c r="A1215" s="115"/>
      <c r="B1215" s="115"/>
      <c r="C1215" s="115"/>
      <c r="D1215" s="115"/>
      <c r="E1215" s="115"/>
      <c r="F1215" s="115"/>
      <c r="G1215" s="116"/>
      <c r="I1215" s="118"/>
      <c r="J1215" s="118"/>
      <c r="L1215" s="125"/>
    </row>
    <row r="1216" spans="1:12" x14ac:dyDescent="0.25">
      <c r="A1216" s="115"/>
      <c r="B1216" s="115"/>
      <c r="C1216" s="115"/>
      <c r="D1216" s="115"/>
      <c r="E1216" s="115"/>
      <c r="F1216" s="115"/>
      <c r="G1216" s="116"/>
      <c r="I1216" s="118"/>
      <c r="J1216" s="118"/>
      <c r="L1216" s="125"/>
    </row>
    <row r="1217" spans="1:12" x14ac:dyDescent="0.25">
      <c r="A1217" s="115"/>
      <c r="B1217" s="115"/>
      <c r="C1217" s="115"/>
      <c r="D1217" s="115"/>
      <c r="E1217" s="115"/>
      <c r="F1217" s="115"/>
      <c r="G1217" s="116"/>
      <c r="I1217" s="118"/>
      <c r="J1217" s="118"/>
      <c r="L1217" s="125"/>
    </row>
    <row r="1218" spans="1:12" x14ac:dyDescent="0.25">
      <c r="A1218" s="115"/>
      <c r="B1218" s="115"/>
      <c r="C1218" s="115"/>
      <c r="D1218" s="115"/>
      <c r="E1218" s="115"/>
      <c r="F1218" s="115"/>
      <c r="G1218" s="116"/>
      <c r="I1218" s="118"/>
      <c r="J1218" s="118"/>
      <c r="L1218" s="125"/>
    </row>
    <row r="1219" spans="1:12" x14ac:dyDescent="0.25">
      <c r="A1219" s="115"/>
      <c r="B1219" s="115"/>
      <c r="C1219" s="115"/>
      <c r="D1219" s="115"/>
      <c r="E1219" s="115"/>
      <c r="F1219" s="115"/>
      <c r="G1219" s="116"/>
      <c r="I1219" s="118"/>
      <c r="J1219" s="118"/>
      <c r="L1219" s="125"/>
    </row>
    <row r="1220" spans="1:12" x14ac:dyDescent="0.25">
      <c r="A1220" s="115"/>
      <c r="B1220" s="115"/>
      <c r="C1220" s="115"/>
      <c r="D1220" s="115"/>
      <c r="E1220" s="115"/>
      <c r="F1220" s="115"/>
      <c r="G1220" s="116"/>
      <c r="I1220" s="118"/>
      <c r="J1220" s="118"/>
      <c r="L1220" s="125"/>
    </row>
    <row r="1221" spans="1:12" x14ac:dyDescent="0.25">
      <c r="A1221" s="115"/>
      <c r="B1221" s="115"/>
      <c r="C1221" s="115"/>
      <c r="D1221" s="115"/>
      <c r="E1221" s="115"/>
      <c r="F1221" s="115"/>
      <c r="G1221" s="116"/>
      <c r="I1221" s="118"/>
      <c r="J1221" s="118"/>
      <c r="L1221" s="125"/>
    </row>
    <row r="1222" spans="1:12" x14ac:dyDescent="0.25">
      <c r="A1222" s="115"/>
      <c r="B1222" s="115"/>
      <c r="C1222" s="115"/>
      <c r="D1222" s="115"/>
      <c r="E1222" s="115"/>
      <c r="F1222" s="115"/>
      <c r="G1222" s="116"/>
      <c r="I1222" s="118"/>
      <c r="J1222" s="118"/>
      <c r="L1222" s="125"/>
    </row>
    <row r="1223" spans="1:12" x14ac:dyDescent="0.25">
      <c r="A1223" s="115"/>
      <c r="B1223" s="115"/>
      <c r="C1223" s="115"/>
      <c r="D1223" s="115"/>
      <c r="E1223" s="115"/>
      <c r="F1223" s="115"/>
      <c r="G1223" s="116"/>
      <c r="I1223" s="118"/>
      <c r="J1223" s="118"/>
      <c r="L1223" s="125"/>
    </row>
    <row r="1224" spans="1:12" x14ac:dyDescent="0.25">
      <c r="A1224" s="115"/>
      <c r="B1224" s="115"/>
      <c r="C1224" s="115"/>
      <c r="D1224" s="115"/>
      <c r="E1224" s="115"/>
      <c r="F1224" s="115"/>
      <c r="G1224" s="116"/>
      <c r="I1224" s="118"/>
      <c r="J1224" s="118"/>
      <c r="L1224" s="125"/>
    </row>
    <row r="1225" spans="1:12" x14ac:dyDescent="0.25">
      <c r="A1225" s="115"/>
      <c r="B1225" s="115"/>
      <c r="C1225" s="115"/>
      <c r="D1225" s="115"/>
      <c r="E1225" s="115"/>
      <c r="F1225" s="115"/>
      <c r="G1225" s="116"/>
      <c r="I1225" s="118"/>
      <c r="J1225" s="118"/>
      <c r="L1225" s="125"/>
    </row>
    <row r="1226" spans="1:12" x14ac:dyDescent="0.25">
      <c r="A1226" s="115"/>
      <c r="B1226" s="115"/>
      <c r="C1226" s="115"/>
      <c r="D1226" s="115"/>
      <c r="E1226" s="115"/>
      <c r="F1226" s="115"/>
      <c r="G1226" s="116"/>
      <c r="I1226" s="118"/>
      <c r="J1226" s="118"/>
      <c r="L1226" s="125"/>
    </row>
    <row r="1227" spans="1:12" x14ac:dyDescent="0.25">
      <c r="A1227" s="115"/>
      <c r="B1227" s="115"/>
      <c r="C1227" s="115"/>
      <c r="D1227" s="115"/>
      <c r="E1227" s="115"/>
      <c r="F1227" s="115"/>
      <c r="G1227" s="116"/>
      <c r="I1227" s="118"/>
      <c r="J1227" s="118"/>
      <c r="L1227" s="125"/>
    </row>
    <row r="1228" spans="1:12" x14ac:dyDescent="0.25">
      <c r="A1228" s="115"/>
      <c r="B1228" s="115"/>
      <c r="C1228" s="115"/>
      <c r="D1228" s="115"/>
      <c r="E1228" s="115"/>
      <c r="F1228" s="115"/>
      <c r="G1228" s="116"/>
      <c r="I1228" s="118"/>
      <c r="J1228" s="118"/>
      <c r="L1228" s="125"/>
    </row>
    <row r="1229" spans="1:12" x14ac:dyDescent="0.25">
      <c r="A1229" s="115"/>
      <c r="B1229" s="115"/>
      <c r="C1229" s="115"/>
      <c r="D1229" s="115"/>
      <c r="E1229" s="115"/>
      <c r="F1229" s="115"/>
      <c r="G1229" s="116"/>
      <c r="I1229" s="118"/>
      <c r="J1229" s="118"/>
      <c r="L1229" s="125"/>
    </row>
    <row r="1230" spans="1:12" x14ac:dyDescent="0.25">
      <c r="A1230" s="115"/>
      <c r="B1230" s="115"/>
      <c r="C1230" s="115"/>
      <c r="D1230" s="115"/>
      <c r="E1230" s="115"/>
      <c r="F1230" s="115"/>
      <c r="G1230" s="116"/>
      <c r="I1230" s="118"/>
      <c r="J1230" s="118"/>
      <c r="L1230" s="125"/>
    </row>
    <row r="1231" spans="1:12" x14ac:dyDescent="0.25">
      <c r="A1231" s="115"/>
      <c r="B1231" s="115"/>
      <c r="C1231" s="115"/>
      <c r="D1231" s="115"/>
      <c r="E1231" s="115"/>
      <c r="F1231" s="115"/>
      <c r="G1231" s="116"/>
      <c r="I1231" s="118"/>
      <c r="J1231" s="118"/>
      <c r="L1231" s="125"/>
    </row>
    <row r="1232" spans="1:12" x14ac:dyDescent="0.25">
      <c r="A1232" s="115"/>
      <c r="B1232" s="115"/>
      <c r="C1232" s="115"/>
      <c r="D1232" s="115"/>
      <c r="E1232" s="115"/>
      <c r="F1232" s="115"/>
      <c r="G1232" s="116"/>
      <c r="I1232" s="118"/>
      <c r="J1232" s="118"/>
      <c r="L1232" s="125"/>
    </row>
    <row r="1233" spans="1:12" x14ac:dyDescent="0.25">
      <c r="A1233" s="115"/>
      <c r="B1233" s="115"/>
      <c r="C1233" s="115"/>
      <c r="D1233" s="115"/>
      <c r="E1233" s="115"/>
      <c r="F1233" s="115"/>
      <c r="G1233" s="116"/>
      <c r="I1233" s="118"/>
      <c r="J1233" s="118"/>
      <c r="L1233" s="125"/>
    </row>
    <row r="1234" spans="1:12" x14ac:dyDescent="0.25">
      <c r="A1234" s="115"/>
      <c r="B1234" s="115"/>
      <c r="C1234" s="115"/>
      <c r="D1234" s="115"/>
      <c r="E1234" s="115"/>
      <c r="F1234" s="115"/>
      <c r="G1234" s="116"/>
      <c r="I1234" s="118"/>
      <c r="J1234" s="118"/>
      <c r="L1234" s="125"/>
    </row>
    <row r="1235" spans="1:12" x14ac:dyDescent="0.25">
      <c r="A1235" s="115"/>
      <c r="B1235" s="115"/>
      <c r="C1235" s="115"/>
      <c r="D1235" s="115"/>
      <c r="E1235" s="115"/>
      <c r="F1235" s="115"/>
      <c r="G1235" s="116"/>
      <c r="I1235" s="118"/>
      <c r="J1235" s="118"/>
      <c r="L1235" s="125"/>
    </row>
    <row r="1236" spans="1:12" x14ac:dyDescent="0.25">
      <c r="A1236" s="115"/>
      <c r="B1236" s="115"/>
      <c r="C1236" s="115"/>
      <c r="D1236" s="115"/>
      <c r="E1236" s="115"/>
      <c r="F1236" s="115"/>
      <c r="G1236" s="116"/>
      <c r="I1236" s="118"/>
      <c r="J1236" s="118"/>
      <c r="L1236" s="125"/>
    </row>
    <row r="1237" spans="1:12" x14ac:dyDescent="0.25">
      <c r="A1237" s="115"/>
      <c r="B1237" s="115"/>
      <c r="C1237" s="115"/>
      <c r="D1237" s="115"/>
      <c r="E1237" s="115"/>
      <c r="F1237" s="115"/>
      <c r="G1237" s="116"/>
      <c r="I1237" s="118"/>
      <c r="J1237" s="118"/>
      <c r="L1237" s="125"/>
    </row>
    <row r="1238" spans="1:12" x14ac:dyDescent="0.25">
      <c r="A1238" s="115"/>
      <c r="B1238" s="115"/>
      <c r="C1238" s="115"/>
      <c r="D1238" s="115"/>
      <c r="E1238" s="115"/>
      <c r="F1238" s="115"/>
      <c r="G1238" s="116"/>
      <c r="I1238" s="118"/>
      <c r="J1238" s="118"/>
      <c r="L1238" s="125"/>
    </row>
    <row r="1239" spans="1:12" x14ac:dyDescent="0.25">
      <c r="A1239" s="115"/>
      <c r="B1239" s="115"/>
      <c r="C1239" s="115"/>
      <c r="D1239" s="115"/>
      <c r="E1239" s="115"/>
      <c r="F1239" s="115"/>
      <c r="G1239" s="116"/>
      <c r="I1239" s="118"/>
      <c r="J1239" s="118"/>
      <c r="L1239" s="125"/>
    </row>
    <row r="1240" spans="1:12" x14ac:dyDescent="0.25">
      <c r="A1240" s="115"/>
      <c r="B1240" s="115"/>
      <c r="C1240" s="115"/>
      <c r="D1240" s="115"/>
      <c r="E1240" s="115"/>
      <c r="F1240" s="115"/>
      <c r="G1240" s="116"/>
      <c r="I1240" s="118"/>
      <c r="J1240" s="118"/>
      <c r="L1240" s="125"/>
    </row>
    <row r="1241" spans="1:12" x14ac:dyDescent="0.25">
      <c r="A1241" s="115"/>
      <c r="B1241" s="115"/>
      <c r="C1241" s="115"/>
      <c r="D1241" s="115"/>
      <c r="E1241" s="115"/>
      <c r="F1241" s="115"/>
      <c r="G1241" s="116"/>
      <c r="I1241" s="118"/>
      <c r="J1241" s="118"/>
      <c r="L1241" s="125"/>
    </row>
    <row r="1242" spans="1:12" x14ac:dyDescent="0.25">
      <c r="A1242" s="115"/>
      <c r="B1242" s="115"/>
      <c r="C1242" s="115"/>
      <c r="D1242" s="115"/>
      <c r="E1242" s="115"/>
      <c r="F1242" s="115"/>
      <c r="G1242" s="116"/>
      <c r="I1242" s="118"/>
      <c r="J1242" s="118"/>
      <c r="L1242" s="125"/>
    </row>
    <row r="1243" spans="1:12" x14ac:dyDescent="0.25">
      <c r="A1243" s="115"/>
      <c r="B1243" s="115"/>
      <c r="C1243" s="115"/>
      <c r="D1243" s="115"/>
      <c r="E1243" s="115"/>
      <c r="F1243" s="115"/>
      <c r="G1243" s="116"/>
      <c r="I1243" s="118"/>
      <c r="J1243" s="118"/>
      <c r="L1243" s="125"/>
    </row>
    <row r="1244" spans="1:12" x14ac:dyDescent="0.25">
      <c r="A1244" s="115"/>
      <c r="B1244" s="115"/>
      <c r="C1244" s="115"/>
      <c r="D1244" s="115"/>
      <c r="E1244" s="115"/>
      <c r="F1244" s="115"/>
      <c r="G1244" s="116"/>
      <c r="I1244" s="118"/>
      <c r="J1244" s="118"/>
      <c r="L1244" s="125"/>
    </row>
    <row r="1245" spans="1:12" x14ac:dyDescent="0.25">
      <c r="A1245" s="115"/>
      <c r="B1245" s="115"/>
      <c r="C1245" s="115"/>
      <c r="D1245" s="115"/>
      <c r="E1245" s="115"/>
      <c r="F1245" s="115"/>
      <c r="G1245" s="116"/>
      <c r="I1245" s="118"/>
      <c r="J1245" s="118"/>
      <c r="L1245" s="125"/>
    </row>
    <row r="1246" spans="1:12" x14ac:dyDescent="0.25">
      <c r="A1246" s="115"/>
      <c r="B1246" s="115"/>
      <c r="C1246" s="115"/>
      <c r="D1246" s="115"/>
      <c r="E1246" s="115"/>
      <c r="F1246" s="115"/>
      <c r="G1246" s="116"/>
      <c r="I1246" s="118"/>
      <c r="J1246" s="118"/>
      <c r="L1246" s="125"/>
    </row>
    <row r="1247" spans="1:12" x14ac:dyDescent="0.25">
      <c r="A1247" s="115"/>
      <c r="B1247" s="115"/>
      <c r="C1247" s="115"/>
      <c r="D1247" s="115"/>
      <c r="E1247" s="115"/>
      <c r="F1247" s="115"/>
      <c r="G1247" s="116"/>
      <c r="I1247" s="118"/>
      <c r="J1247" s="118"/>
      <c r="L1247" s="125"/>
    </row>
    <row r="1248" spans="1:12" x14ac:dyDescent="0.25">
      <c r="A1248" s="115"/>
      <c r="B1248" s="115"/>
      <c r="C1248" s="115"/>
      <c r="D1248" s="115"/>
      <c r="E1248" s="115"/>
      <c r="F1248" s="115"/>
      <c r="G1248" s="116"/>
      <c r="I1248" s="118"/>
      <c r="J1248" s="118"/>
      <c r="L1248" s="125"/>
    </row>
    <row r="1249" spans="1:12" x14ac:dyDescent="0.25">
      <c r="A1249" s="115"/>
      <c r="B1249" s="115"/>
      <c r="C1249" s="115"/>
      <c r="D1249" s="115"/>
      <c r="E1249" s="115"/>
      <c r="F1249" s="115"/>
      <c r="G1249" s="116"/>
      <c r="I1249" s="118"/>
      <c r="J1249" s="118"/>
      <c r="L1249" s="125"/>
    </row>
    <row r="1250" spans="1:12" x14ac:dyDescent="0.25">
      <c r="A1250" s="115"/>
      <c r="B1250" s="115"/>
      <c r="C1250" s="115"/>
      <c r="D1250" s="115"/>
      <c r="E1250" s="115"/>
      <c r="F1250" s="115"/>
      <c r="G1250" s="116"/>
      <c r="I1250" s="118"/>
      <c r="J1250" s="118"/>
      <c r="L1250" s="125"/>
    </row>
    <row r="1251" spans="1:12" x14ac:dyDescent="0.25">
      <c r="A1251" s="115"/>
      <c r="B1251" s="115"/>
      <c r="C1251" s="115"/>
      <c r="D1251" s="115"/>
      <c r="E1251" s="115"/>
      <c r="F1251" s="115"/>
      <c r="G1251" s="116"/>
      <c r="I1251" s="118"/>
      <c r="J1251" s="118"/>
      <c r="L1251" s="125"/>
    </row>
    <row r="1252" spans="1:12" x14ac:dyDescent="0.25">
      <c r="A1252" s="115"/>
      <c r="B1252" s="115"/>
      <c r="C1252" s="115"/>
      <c r="D1252" s="115"/>
      <c r="E1252" s="115"/>
      <c r="F1252" s="115"/>
      <c r="G1252" s="116"/>
      <c r="I1252" s="118"/>
      <c r="J1252" s="118"/>
      <c r="L1252" s="125"/>
    </row>
    <row r="1253" spans="1:12" x14ac:dyDescent="0.25">
      <c r="A1253" s="115"/>
      <c r="B1253" s="115"/>
      <c r="C1253" s="115"/>
      <c r="D1253" s="115"/>
      <c r="E1253" s="115"/>
      <c r="F1253" s="115"/>
      <c r="G1253" s="116"/>
      <c r="I1253" s="118"/>
      <c r="J1253" s="118"/>
      <c r="L1253" s="125"/>
    </row>
    <row r="1254" spans="1:12" x14ac:dyDescent="0.25">
      <c r="A1254" s="115"/>
      <c r="B1254" s="115"/>
      <c r="C1254" s="115"/>
      <c r="D1254" s="115"/>
      <c r="E1254" s="115"/>
      <c r="F1254" s="115"/>
      <c r="G1254" s="116"/>
      <c r="I1254" s="118"/>
      <c r="J1254" s="118"/>
      <c r="L1254" s="125"/>
    </row>
    <row r="1255" spans="1:12" x14ac:dyDescent="0.25">
      <c r="A1255" s="115"/>
      <c r="B1255" s="115"/>
      <c r="C1255" s="115"/>
      <c r="D1255" s="115"/>
      <c r="E1255" s="115"/>
      <c r="F1255" s="115"/>
      <c r="G1255" s="116"/>
      <c r="I1255" s="118"/>
      <c r="J1255" s="118"/>
      <c r="L1255" s="125"/>
    </row>
    <row r="1256" spans="1:12" x14ac:dyDescent="0.25">
      <c r="A1256" s="115"/>
      <c r="B1256" s="115"/>
      <c r="C1256" s="115"/>
      <c r="D1256" s="115"/>
      <c r="E1256" s="115"/>
      <c r="F1256" s="115"/>
      <c r="G1256" s="116"/>
      <c r="I1256" s="118"/>
      <c r="J1256" s="118"/>
      <c r="L1256" s="125"/>
    </row>
    <row r="1257" spans="1:12" x14ac:dyDescent="0.25">
      <c r="A1257" s="115"/>
      <c r="B1257" s="115"/>
      <c r="C1257" s="115"/>
      <c r="D1257" s="115"/>
      <c r="E1257" s="115"/>
      <c r="F1257" s="115"/>
      <c r="G1257" s="116"/>
      <c r="I1257" s="118"/>
      <c r="J1257" s="118"/>
      <c r="L1257" s="125"/>
    </row>
    <row r="1258" spans="1:12" x14ac:dyDescent="0.25">
      <c r="A1258" s="115"/>
      <c r="B1258" s="115"/>
      <c r="C1258" s="115"/>
      <c r="D1258" s="115"/>
      <c r="E1258" s="115"/>
      <c r="F1258" s="115"/>
      <c r="G1258" s="116"/>
      <c r="I1258" s="118"/>
      <c r="J1258" s="118"/>
      <c r="L1258" s="125"/>
    </row>
    <row r="1259" spans="1:12" x14ac:dyDescent="0.25">
      <c r="A1259" s="115"/>
      <c r="B1259" s="115"/>
      <c r="C1259" s="115"/>
      <c r="D1259" s="115"/>
      <c r="E1259" s="115"/>
      <c r="F1259" s="115"/>
      <c r="G1259" s="116"/>
      <c r="I1259" s="118"/>
      <c r="J1259" s="118"/>
      <c r="L1259" s="125"/>
    </row>
    <row r="1260" spans="1:12" x14ac:dyDescent="0.25">
      <c r="A1260" s="115"/>
      <c r="B1260" s="115"/>
      <c r="C1260" s="115"/>
      <c r="D1260" s="115"/>
      <c r="E1260" s="115"/>
      <c r="F1260" s="115"/>
      <c r="G1260" s="116"/>
      <c r="I1260" s="118"/>
      <c r="J1260" s="118"/>
      <c r="L1260" s="125"/>
    </row>
    <row r="1261" spans="1:12" x14ac:dyDescent="0.25">
      <c r="A1261" s="115"/>
      <c r="B1261" s="115"/>
      <c r="C1261" s="115"/>
      <c r="D1261" s="115"/>
      <c r="E1261" s="115"/>
      <c r="F1261" s="115"/>
      <c r="G1261" s="116"/>
      <c r="I1261" s="118"/>
      <c r="J1261" s="118"/>
      <c r="L1261" s="125"/>
    </row>
    <row r="1262" spans="1:12" x14ac:dyDescent="0.25">
      <c r="A1262" s="115"/>
      <c r="B1262" s="115"/>
      <c r="C1262" s="115"/>
      <c r="D1262" s="115"/>
      <c r="E1262" s="115"/>
      <c r="F1262" s="115"/>
      <c r="G1262" s="116"/>
      <c r="I1262" s="118"/>
      <c r="J1262" s="118"/>
      <c r="L1262" s="125"/>
    </row>
    <row r="1263" spans="1:12" x14ac:dyDescent="0.25">
      <c r="A1263" s="115"/>
      <c r="B1263" s="115"/>
      <c r="C1263" s="115"/>
      <c r="D1263" s="115"/>
      <c r="E1263" s="115"/>
      <c r="F1263" s="115"/>
      <c r="G1263" s="116"/>
      <c r="I1263" s="118"/>
      <c r="J1263" s="118"/>
      <c r="L1263" s="125"/>
    </row>
    <row r="1264" spans="1:12" x14ac:dyDescent="0.25">
      <c r="A1264" s="115"/>
      <c r="B1264" s="115"/>
      <c r="C1264" s="115"/>
      <c r="D1264" s="115"/>
      <c r="E1264" s="115"/>
      <c r="F1264" s="115"/>
      <c r="G1264" s="116"/>
      <c r="I1264" s="118"/>
      <c r="J1264" s="118"/>
      <c r="L1264" s="125"/>
    </row>
    <row r="1265" spans="1:12" x14ac:dyDescent="0.25">
      <c r="A1265" s="115"/>
      <c r="B1265" s="115"/>
      <c r="C1265" s="115"/>
      <c r="D1265" s="115"/>
      <c r="E1265" s="115"/>
      <c r="F1265" s="115"/>
      <c r="G1265" s="116"/>
      <c r="I1265" s="118"/>
      <c r="J1265" s="118"/>
      <c r="L1265" s="125"/>
    </row>
    <row r="1266" spans="1:12" x14ac:dyDescent="0.25">
      <c r="A1266" s="115"/>
      <c r="B1266" s="115"/>
      <c r="C1266" s="115"/>
      <c r="D1266" s="115"/>
      <c r="E1266" s="115"/>
      <c r="F1266" s="115"/>
      <c r="G1266" s="116"/>
      <c r="I1266" s="118"/>
      <c r="J1266" s="118"/>
      <c r="L1266" s="125"/>
    </row>
    <row r="1267" spans="1:12" x14ac:dyDescent="0.25">
      <c r="A1267" s="115"/>
      <c r="B1267" s="115"/>
      <c r="C1267" s="115"/>
      <c r="D1267" s="115"/>
      <c r="E1267" s="115"/>
      <c r="F1267" s="115"/>
      <c r="G1267" s="116"/>
      <c r="I1267" s="118"/>
      <c r="J1267" s="118"/>
      <c r="L1267" s="125"/>
    </row>
    <row r="1268" spans="1:12" x14ac:dyDescent="0.25">
      <c r="A1268" s="115"/>
      <c r="B1268" s="115"/>
      <c r="C1268" s="115"/>
      <c r="D1268" s="115"/>
      <c r="E1268" s="115"/>
      <c r="F1268" s="115"/>
      <c r="G1268" s="116"/>
      <c r="I1268" s="118"/>
      <c r="J1268" s="118"/>
      <c r="L1268" s="125"/>
    </row>
    <row r="1269" spans="1:12" x14ac:dyDescent="0.25">
      <c r="A1269" s="115"/>
      <c r="B1269" s="115"/>
      <c r="C1269" s="115"/>
      <c r="D1269" s="115"/>
      <c r="E1269" s="115"/>
      <c r="F1269" s="115"/>
      <c r="G1269" s="116"/>
      <c r="I1269" s="118"/>
      <c r="J1269" s="118"/>
      <c r="L1269" s="125"/>
    </row>
    <row r="1270" spans="1:12" x14ac:dyDescent="0.25">
      <c r="A1270" s="115"/>
      <c r="B1270" s="115"/>
      <c r="C1270" s="115"/>
      <c r="D1270" s="115"/>
      <c r="E1270" s="115"/>
      <c r="F1270" s="115"/>
      <c r="G1270" s="116"/>
      <c r="I1270" s="118"/>
      <c r="J1270" s="118"/>
      <c r="L1270" s="125"/>
    </row>
    <row r="1271" spans="1:12" x14ac:dyDescent="0.25">
      <c r="A1271" s="115"/>
      <c r="B1271" s="115"/>
      <c r="C1271" s="115"/>
      <c r="D1271" s="115"/>
      <c r="E1271" s="115"/>
      <c r="F1271" s="115"/>
      <c r="G1271" s="116"/>
      <c r="I1271" s="118"/>
      <c r="J1271" s="118"/>
      <c r="L1271" s="125"/>
    </row>
    <row r="1272" spans="1:12" x14ac:dyDescent="0.25">
      <c r="A1272" s="115"/>
      <c r="B1272" s="115"/>
      <c r="C1272" s="115"/>
      <c r="D1272" s="115"/>
      <c r="E1272" s="115"/>
      <c r="F1272" s="115"/>
      <c r="G1272" s="116"/>
      <c r="I1272" s="118"/>
      <c r="J1272" s="118"/>
      <c r="L1272" s="125"/>
    </row>
    <row r="1273" spans="1:12" x14ac:dyDescent="0.25">
      <c r="A1273" s="115"/>
      <c r="B1273" s="115"/>
      <c r="C1273" s="115"/>
      <c r="D1273" s="115"/>
      <c r="E1273" s="115"/>
      <c r="F1273" s="115"/>
      <c r="G1273" s="116"/>
      <c r="I1273" s="118"/>
      <c r="J1273" s="118"/>
      <c r="L1273" s="125"/>
    </row>
    <row r="1274" spans="1:12" x14ac:dyDescent="0.25">
      <c r="A1274" s="115"/>
      <c r="B1274" s="115"/>
      <c r="C1274" s="115"/>
      <c r="D1274" s="115"/>
      <c r="E1274" s="115"/>
      <c r="F1274" s="115"/>
      <c r="G1274" s="116"/>
      <c r="I1274" s="118"/>
      <c r="J1274" s="118"/>
      <c r="L1274" s="125"/>
    </row>
    <row r="1275" spans="1:12" x14ac:dyDescent="0.25">
      <c r="A1275" s="115"/>
      <c r="B1275" s="115"/>
      <c r="C1275" s="115"/>
      <c r="D1275" s="115"/>
      <c r="E1275" s="115"/>
      <c r="F1275" s="115"/>
      <c r="G1275" s="116"/>
      <c r="I1275" s="118"/>
      <c r="J1275" s="118"/>
      <c r="L1275" s="125"/>
    </row>
    <row r="1276" spans="1:12" x14ac:dyDescent="0.25">
      <c r="A1276" s="115"/>
      <c r="B1276" s="115"/>
      <c r="C1276" s="115"/>
      <c r="D1276" s="115"/>
      <c r="E1276" s="115"/>
      <c r="F1276" s="115"/>
      <c r="G1276" s="116"/>
      <c r="I1276" s="118"/>
      <c r="J1276" s="118"/>
      <c r="L1276" s="125"/>
    </row>
    <row r="1277" spans="1:12" x14ac:dyDescent="0.25">
      <c r="A1277" s="115"/>
      <c r="B1277" s="115"/>
      <c r="C1277" s="115"/>
      <c r="D1277" s="115"/>
      <c r="E1277" s="115"/>
      <c r="F1277" s="115"/>
      <c r="G1277" s="116"/>
      <c r="I1277" s="118"/>
      <c r="J1277" s="118"/>
      <c r="L1277" s="125"/>
    </row>
    <row r="1278" spans="1:12" x14ac:dyDescent="0.25">
      <c r="A1278" s="115"/>
      <c r="B1278" s="115"/>
      <c r="C1278" s="115"/>
      <c r="D1278" s="115"/>
      <c r="E1278" s="115"/>
      <c r="F1278" s="115"/>
      <c r="G1278" s="116"/>
      <c r="I1278" s="118"/>
      <c r="J1278" s="118"/>
      <c r="L1278" s="125"/>
    </row>
    <row r="1279" spans="1:12" x14ac:dyDescent="0.25">
      <c r="A1279" s="115"/>
      <c r="B1279" s="115"/>
      <c r="C1279" s="115"/>
      <c r="D1279" s="115"/>
      <c r="E1279" s="115"/>
      <c r="F1279" s="115"/>
      <c r="G1279" s="116"/>
      <c r="I1279" s="118"/>
      <c r="J1279" s="118"/>
      <c r="L1279" s="125"/>
    </row>
    <row r="1280" spans="1:12" x14ac:dyDescent="0.25">
      <c r="A1280" s="115"/>
      <c r="B1280" s="115"/>
      <c r="C1280" s="115"/>
      <c r="D1280" s="115"/>
      <c r="E1280" s="115"/>
      <c r="F1280" s="115"/>
      <c r="G1280" s="116"/>
      <c r="I1280" s="118"/>
      <c r="J1280" s="118"/>
      <c r="L1280" s="125"/>
    </row>
    <row r="1281" spans="1:12" x14ac:dyDescent="0.25">
      <c r="A1281" s="115"/>
      <c r="B1281" s="115"/>
      <c r="C1281" s="115"/>
      <c r="D1281" s="115"/>
      <c r="E1281" s="115"/>
      <c r="F1281" s="115"/>
      <c r="G1281" s="116"/>
      <c r="I1281" s="118"/>
      <c r="J1281" s="118"/>
      <c r="L1281" s="125"/>
    </row>
    <row r="1282" spans="1:12" x14ac:dyDescent="0.25">
      <c r="A1282" s="115"/>
      <c r="B1282" s="115"/>
      <c r="C1282" s="115"/>
      <c r="D1282" s="115"/>
      <c r="E1282" s="115"/>
      <c r="F1282" s="115"/>
      <c r="G1282" s="116"/>
      <c r="I1282" s="118"/>
      <c r="J1282" s="118"/>
      <c r="L1282" s="125"/>
    </row>
    <row r="1283" spans="1:12" x14ac:dyDescent="0.25">
      <c r="A1283" s="115"/>
      <c r="B1283" s="115"/>
      <c r="C1283" s="115"/>
      <c r="D1283" s="115"/>
      <c r="E1283" s="115"/>
      <c r="F1283" s="115"/>
      <c r="G1283" s="116"/>
      <c r="I1283" s="118"/>
      <c r="J1283" s="118"/>
      <c r="L1283" s="125"/>
    </row>
    <row r="1284" spans="1:12" x14ac:dyDescent="0.25">
      <c r="A1284" s="115"/>
      <c r="B1284" s="115"/>
      <c r="C1284" s="115"/>
      <c r="D1284" s="115"/>
      <c r="E1284" s="115"/>
      <c r="F1284" s="115"/>
      <c r="G1284" s="116"/>
      <c r="I1284" s="118"/>
      <c r="J1284" s="118"/>
      <c r="L1284" s="125"/>
    </row>
    <row r="1285" spans="1:12" x14ac:dyDescent="0.25">
      <c r="A1285" s="115"/>
      <c r="B1285" s="115"/>
      <c r="C1285" s="115"/>
      <c r="D1285" s="115"/>
      <c r="E1285" s="115"/>
      <c r="F1285" s="115"/>
      <c r="G1285" s="116"/>
      <c r="I1285" s="118"/>
      <c r="J1285" s="118"/>
      <c r="L1285" s="125"/>
    </row>
    <row r="1286" spans="1:12" x14ac:dyDescent="0.25">
      <c r="A1286" s="115"/>
      <c r="B1286" s="115"/>
      <c r="C1286" s="115"/>
      <c r="D1286" s="115"/>
      <c r="E1286" s="115"/>
      <c r="F1286" s="115"/>
      <c r="G1286" s="116"/>
      <c r="I1286" s="118"/>
      <c r="J1286" s="118"/>
      <c r="L1286" s="125"/>
    </row>
    <row r="1287" spans="1:12" x14ac:dyDescent="0.25">
      <c r="A1287" s="115"/>
      <c r="B1287" s="115"/>
      <c r="C1287" s="115"/>
      <c r="D1287" s="115"/>
      <c r="E1287" s="115"/>
      <c r="F1287" s="115"/>
      <c r="G1287" s="116"/>
      <c r="I1287" s="118"/>
      <c r="J1287" s="118"/>
      <c r="L1287" s="125"/>
    </row>
    <row r="1288" spans="1:12" x14ac:dyDescent="0.25">
      <c r="A1288" s="115"/>
      <c r="B1288" s="115"/>
      <c r="C1288" s="115"/>
      <c r="D1288" s="115"/>
      <c r="E1288" s="115"/>
      <c r="F1288" s="115"/>
      <c r="G1288" s="116"/>
      <c r="I1288" s="118"/>
      <c r="J1288" s="118"/>
      <c r="L1288" s="125"/>
    </row>
    <row r="1289" spans="1:12" x14ac:dyDescent="0.25">
      <c r="A1289" s="115"/>
      <c r="B1289" s="115"/>
      <c r="C1289" s="115"/>
      <c r="D1289" s="115"/>
      <c r="E1289" s="115"/>
      <c r="F1289" s="115"/>
      <c r="G1289" s="116"/>
      <c r="I1289" s="118"/>
      <c r="J1289" s="118"/>
      <c r="L1289" s="125"/>
    </row>
    <row r="1290" spans="1:12" x14ac:dyDescent="0.25">
      <c r="A1290" s="115"/>
      <c r="B1290" s="115"/>
      <c r="C1290" s="115"/>
      <c r="D1290" s="115"/>
      <c r="E1290" s="115"/>
      <c r="F1290" s="115"/>
      <c r="G1290" s="116"/>
      <c r="I1290" s="118"/>
      <c r="J1290" s="118"/>
      <c r="L1290" s="125"/>
    </row>
    <row r="1291" spans="1:12" x14ac:dyDescent="0.25">
      <c r="A1291" s="115"/>
      <c r="B1291" s="115"/>
      <c r="C1291" s="115"/>
      <c r="D1291" s="115"/>
      <c r="E1291" s="115"/>
      <c r="F1291" s="115"/>
      <c r="G1291" s="116"/>
      <c r="I1291" s="118"/>
      <c r="J1291" s="118"/>
      <c r="L1291" s="125"/>
    </row>
    <row r="1292" spans="1:12" x14ac:dyDescent="0.25">
      <c r="A1292" s="115"/>
      <c r="B1292" s="115"/>
      <c r="C1292" s="115"/>
      <c r="D1292" s="115"/>
      <c r="E1292" s="115"/>
      <c r="F1292" s="115"/>
      <c r="G1292" s="116"/>
      <c r="I1292" s="118"/>
      <c r="J1292" s="118"/>
      <c r="L1292" s="125"/>
    </row>
    <row r="1293" spans="1:12" x14ac:dyDescent="0.25">
      <c r="A1293" s="115"/>
      <c r="B1293" s="115"/>
      <c r="C1293" s="115"/>
      <c r="D1293" s="115"/>
      <c r="E1293" s="115"/>
      <c r="F1293" s="115"/>
      <c r="G1293" s="116"/>
      <c r="I1293" s="118"/>
      <c r="J1293" s="118"/>
      <c r="L1293" s="125"/>
    </row>
    <row r="1294" spans="1:12" x14ac:dyDescent="0.25">
      <c r="A1294" s="115"/>
      <c r="B1294" s="115"/>
      <c r="C1294" s="115"/>
      <c r="D1294" s="115"/>
      <c r="E1294" s="115"/>
      <c r="F1294" s="115"/>
      <c r="G1294" s="116"/>
      <c r="I1294" s="118"/>
      <c r="J1294" s="118"/>
      <c r="L1294" s="125"/>
    </row>
    <row r="1295" spans="1:12" x14ac:dyDescent="0.25">
      <c r="A1295" s="115"/>
      <c r="B1295" s="115"/>
      <c r="C1295" s="115"/>
      <c r="D1295" s="115"/>
      <c r="E1295" s="115"/>
      <c r="F1295" s="115"/>
      <c r="G1295" s="116"/>
      <c r="I1295" s="118"/>
      <c r="J1295" s="118"/>
      <c r="L1295" s="125"/>
    </row>
    <row r="1296" spans="1:12" x14ac:dyDescent="0.25">
      <c r="A1296" s="115"/>
      <c r="B1296" s="115"/>
      <c r="C1296" s="115"/>
      <c r="D1296" s="115"/>
      <c r="E1296" s="115"/>
      <c r="F1296" s="115"/>
      <c r="G1296" s="116"/>
      <c r="I1296" s="118"/>
      <c r="J1296" s="118"/>
      <c r="L1296" s="125"/>
    </row>
    <row r="1297" spans="1:12" x14ac:dyDescent="0.25">
      <c r="A1297" s="115"/>
      <c r="B1297" s="115"/>
      <c r="C1297" s="115"/>
      <c r="D1297" s="115"/>
      <c r="E1297" s="115"/>
      <c r="F1297" s="115"/>
      <c r="G1297" s="116"/>
      <c r="I1297" s="118"/>
      <c r="J1297" s="118"/>
      <c r="L1297" s="125"/>
    </row>
    <row r="1298" spans="1:12" x14ac:dyDescent="0.25">
      <c r="A1298" s="115"/>
      <c r="B1298" s="115"/>
      <c r="C1298" s="115"/>
      <c r="D1298" s="115"/>
      <c r="E1298" s="115"/>
      <c r="F1298" s="115"/>
      <c r="G1298" s="116"/>
      <c r="I1298" s="118"/>
      <c r="J1298" s="118"/>
      <c r="L1298" s="125"/>
    </row>
    <row r="1299" spans="1:12" x14ac:dyDescent="0.25">
      <c r="A1299" s="115"/>
      <c r="B1299" s="115"/>
      <c r="C1299" s="115"/>
      <c r="D1299" s="115"/>
      <c r="E1299" s="115"/>
      <c r="F1299" s="115"/>
      <c r="G1299" s="116"/>
      <c r="I1299" s="118"/>
      <c r="J1299" s="118"/>
      <c r="L1299" s="125"/>
    </row>
    <row r="1300" spans="1:12" x14ac:dyDescent="0.25">
      <c r="A1300" s="115"/>
      <c r="B1300" s="115"/>
      <c r="C1300" s="115"/>
      <c r="D1300" s="115"/>
      <c r="E1300" s="115"/>
      <c r="F1300" s="115"/>
      <c r="G1300" s="116"/>
      <c r="I1300" s="118"/>
      <c r="J1300" s="118"/>
      <c r="L1300" s="125"/>
    </row>
    <row r="1301" spans="1:12" x14ac:dyDescent="0.25">
      <c r="A1301" s="115"/>
      <c r="B1301" s="115"/>
      <c r="C1301" s="115"/>
      <c r="D1301" s="115"/>
      <c r="E1301" s="115"/>
      <c r="F1301" s="115"/>
      <c r="G1301" s="116"/>
      <c r="I1301" s="118"/>
      <c r="J1301" s="118"/>
      <c r="L1301" s="125"/>
    </row>
    <row r="1302" spans="1:12" x14ac:dyDescent="0.25">
      <c r="A1302" s="115"/>
      <c r="B1302" s="115"/>
      <c r="C1302" s="115"/>
      <c r="D1302" s="115"/>
      <c r="E1302" s="115"/>
      <c r="F1302" s="115"/>
      <c r="G1302" s="116"/>
      <c r="I1302" s="118"/>
      <c r="J1302" s="118"/>
      <c r="L1302" s="125"/>
    </row>
    <row r="1303" spans="1:12" x14ac:dyDescent="0.25">
      <c r="A1303" s="115"/>
      <c r="B1303" s="115"/>
      <c r="C1303" s="115"/>
      <c r="D1303" s="115"/>
      <c r="E1303" s="115"/>
      <c r="F1303" s="115"/>
      <c r="G1303" s="116"/>
      <c r="I1303" s="118"/>
      <c r="J1303" s="118"/>
      <c r="L1303" s="125"/>
    </row>
    <row r="1304" spans="1:12" x14ac:dyDescent="0.25">
      <c r="A1304" s="115"/>
      <c r="B1304" s="115"/>
      <c r="C1304" s="115"/>
      <c r="D1304" s="115"/>
      <c r="E1304" s="115"/>
      <c r="F1304" s="115"/>
      <c r="G1304" s="116"/>
      <c r="I1304" s="118"/>
      <c r="J1304" s="118"/>
      <c r="L1304" s="125"/>
    </row>
    <row r="1305" spans="1:12" x14ac:dyDescent="0.25">
      <c r="A1305" s="115"/>
      <c r="B1305" s="115"/>
      <c r="C1305" s="115"/>
      <c r="D1305" s="115"/>
      <c r="E1305" s="115"/>
      <c r="F1305" s="115"/>
      <c r="G1305" s="116"/>
      <c r="I1305" s="118"/>
      <c r="J1305" s="118"/>
      <c r="L1305" s="125"/>
    </row>
    <row r="1306" spans="1:12" x14ac:dyDescent="0.25">
      <c r="A1306" s="115"/>
      <c r="B1306" s="115"/>
      <c r="C1306" s="115"/>
      <c r="D1306" s="115"/>
      <c r="E1306" s="115"/>
      <c r="F1306" s="115"/>
      <c r="G1306" s="116"/>
      <c r="I1306" s="118"/>
      <c r="J1306" s="118"/>
      <c r="L1306" s="125"/>
    </row>
    <row r="1307" spans="1:12" x14ac:dyDescent="0.25">
      <c r="A1307" s="115"/>
      <c r="B1307" s="115"/>
      <c r="C1307" s="115"/>
      <c r="D1307" s="115"/>
      <c r="E1307" s="115"/>
      <c r="F1307" s="115"/>
      <c r="G1307" s="116"/>
      <c r="I1307" s="118"/>
      <c r="J1307" s="118"/>
      <c r="L1307" s="125"/>
    </row>
    <row r="1308" spans="1:12" x14ac:dyDescent="0.25">
      <c r="A1308" s="115"/>
      <c r="B1308" s="115"/>
      <c r="C1308" s="115"/>
      <c r="D1308" s="115"/>
      <c r="E1308" s="115"/>
      <c r="F1308" s="115"/>
      <c r="G1308" s="116"/>
      <c r="I1308" s="118"/>
      <c r="J1308" s="118"/>
      <c r="L1308" s="125"/>
    </row>
    <row r="1309" spans="1:12" x14ac:dyDescent="0.25">
      <c r="A1309" s="115"/>
      <c r="B1309" s="115"/>
      <c r="C1309" s="115"/>
      <c r="D1309" s="115"/>
      <c r="E1309" s="115"/>
      <c r="F1309" s="115"/>
      <c r="G1309" s="116"/>
      <c r="I1309" s="118"/>
      <c r="J1309" s="118"/>
      <c r="L1309" s="125"/>
    </row>
    <row r="1310" spans="1:12" x14ac:dyDescent="0.25">
      <c r="A1310" s="115"/>
      <c r="B1310" s="115"/>
      <c r="C1310" s="115"/>
      <c r="D1310" s="115"/>
      <c r="E1310" s="115"/>
      <c r="F1310" s="115"/>
      <c r="G1310" s="116"/>
      <c r="I1310" s="118"/>
      <c r="J1310" s="118"/>
      <c r="L1310" s="125"/>
    </row>
    <row r="1311" spans="1:12" x14ac:dyDescent="0.25">
      <c r="A1311" s="115"/>
      <c r="B1311" s="115"/>
      <c r="C1311" s="115"/>
      <c r="D1311" s="115"/>
      <c r="E1311" s="115"/>
      <c r="F1311" s="115"/>
      <c r="G1311" s="116"/>
      <c r="I1311" s="118"/>
      <c r="J1311" s="118"/>
      <c r="L1311" s="125"/>
    </row>
    <row r="1312" spans="1:12" x14ac:dyDescent="0.25">
      <c r="A1312" s="115"/>
      <c r="B1312" s="115"/>
      <c r="C1312" s="115"/>
      <c r="D1312" s="115"/>
      <c r="E1312" s="115"/>
      <c r="F1312" s="115"/>
      <c r="G1312" s="116"/>
      <c r="I1312" s="118"/>
      <c r="J1312" s="118"/>
      <c r="L1312" s="125"/>
    </row>
    <row r="1313" spans="1:12" x14ac:dyDescent="0.25">
      <c r="A1313" s="115"/>
      <c r="B1313" s="115"/>
      <c r="C1313" s="115"/>
      <c r="D1313" s="115"/>
      <c r="E1313" s="115"/>
      <c r="F1313" s="115"/>
      <c r="G1313" s="116"/>
      <c r="I1313" s="118"/>
      <c r="J1313" s="118"/>
      <c r="L1313" s="125"/>
    </row>
    <row r="1314" spans="1:12" x14ac:dyDescent="0.25">
      <c r="A1314" s="115"/>
      <c r="B1314" s="115"/>
      <c r="C1314" s="115"/>
      <c r="D1314" s="115"/>
      <c r="E1314" s="115"/>
      <c r="F1314" s="115"/>
      <c r="G1314" s="116"/>
      <c r="I1314" s="118"/>
      <c r="J1314" s="118"/>
      <c r="L1314" s="125"/>
    </row>
    <row r="1315" spans="1:12" x14ac:dyDescent="0.25">
      <c r="A1315" s="115"/>
      <c r="B1315" s="115"/>
      <c r="C1315" s="115"/>
      <c r="D1315" s="115"/>
      <c r="E1315" s="115"/>
      <c r="F1315" s="115"/>
      <c r="G1315" s="116"/>
      <c r="I1315" s="118"/>
      <c r="J1315" s="118"/>
      <c r="L1315" s="125"/>
    </row>
    <row r="1316" spans="1:12" x14ac:dyDescent="0.25">
      <c r="A1316" s="115"/>
      <c r="B1316" s="115"/>
      <c r="C1316" s="115"/>
      <c r="D1316" s="115"/>
      <c r="E1316" s="115"/>
      <c r="F1316" s="115"/>
      <c r="G1316" s="116"/>
      <c r="I1316" s="118"/>
      <c r="J1316" s="118"/>
      <c r="L1316" s="125"/>
    </row>
    <row r="1317" spans="1:12" x14ac:dyDescent="0.25">
      <c r="A1317" s="115"/>
      <c r="B1317" s="115"/>
      <c r="C1317" s="115"/>
      <c r="D1317" s="115"/>
      <c r="E1317" s="115"/>
      <c r="F1317" s="115"/>
      <c r="G1317" s="116"/>
      <c r="I1317" s="118"/>
      <c r="J1317" s="118"/>
      <c r="L1317" s="125"/>
    </row>
    <row r="1318" spans="1:12" x14ac:dyDescent="0.25">
      <c r="A1318" s="115"/>
      <c r="B1318" s="115"/>
      <c r="C1318" s="115"/>
      <c r="D1318" s="115"/>
      <c r="E1318" s="115"/>
      <c r="F1318" s="115"/>
      <c r="G1318" s="116"/>
      <c r="I1318" s="118"/>
      <c r="J1318" s="118"/>
      <c r="L1318" s="125"/>
    </row>
    <row r="1319" spans="1:12" x14ac:dyDescent="0.25">
      <c r="A1319" s="115"/>
      <c r="B1319" s="115"/>
      <c r="C1319" s="115"/>
      <c r="D1319" s="115"/>
      <c r="E1319" s="115"/>
      <c r="F1319" s="115"/>
      <c r="G1319" s="116"/>
      <c r="I1319" s="118"/>
      <c r="J1319" s="118"/>
      <c r="L1319" s="125"/>
    </row>
    <row r="1320" spans="1:12" x14ac:dyDescent="0.25">
      <c r="A1320" s="115"/>
      <c r="B1320" s="115"/>
      <c r="C1320" s="115"/>
      <c r="D1320" s="115"/>
      <c r="E1320" s="115"/>
      <c r="F1320" s="115"/>
      <c r="G1320" s="116"/>
      <c r="I1320" s="118"/>
      <c r="J1320" s="118"/>
      <c r="L1320" s="125"/>
    </row>
    <row r="1321" spans="1:12" x14ac:dyDescent="0.25">
      <c r="A1321" s="115"/>
      <c r="B1321" s="115"/>
      <c r="C1321" s="115"/>
      <c r="D1321" s="115"/>
      <c r="E1321" s="115"/>
      <c r="F1321" s="115"/>
      <c r="G1321" s="116"/>
      <c r="I1321" s="118"/>
      <c r="J1321" s="118"/>
      <c r="L1321" s="125"/>
    </row>
    <row r="1322" spans="1:12" x14ac:dyDescent="0.25">
      <c r="A1322" s="115"/>
      <c r="B1322" s="115"/>
      <c r="C1322" s="115"/>
      <c r="D1322" s="115"/>
      <c r="E1322" s="115"/>
      <c r="F1322" s="115"/>
      <c r="G1322" s="116"/>
      <c r="I1322" s="118"/>
      <c r="J1322" s="118"/>
      <c r="L1322" s="125"/>
    </row>
    <row r="1323" spans="1:12" x14ac:dyDescent="0.25">
      <c r="A1323" s="115"/>
      <c r="B1323" s="115"/>
      <c r="C1323" s="115"/>
      <c r="D1323" s="115"/>
      <c r="E1323" s="115"/>
      <c r="F1323" s="115"/>
      <c r="G1323" s="116"/>
      <c r="I1323" s="118"/>
      <c r="J1323" s="118"/>
      <c r="L1323" s="125"/>
    </row>
    <row r="1324" spans="1:12" x14ac:dyDescent="0.25">
      <c r="A1324" s="115"/>
      <c r="B1324" s="115"/>
      <c r="C1324" s="115"/>
      <c r="D1324" s="115"/>
      <c r="E1324" s="115"/>
      <c r="F1324" s="115"/>
      <c r="G1324" s="116"/>
      <c r="I1324" s="118"/>
      <c r="J1324" s="118"/>
      <c r="L1324" s="125"/>
    </row>
    <row r="1325" spans="1:12" x14ac:dyDescent="0.25">
      <c r="A1325" s="115"/>
      <c r="B1325" s="115"/>
      <c r="C1325" s="115"/>
      <c r="D1325" s="115"/>
      <c r="E1325" s="115"/>
      <c r="F1325" s="115"/>
      <c r="G1325" s="116"/>
      <c r="I1325" s="118"/>
      <c r="J1325" s="118"/>
      <c r="L1325" s="125"/>
    </row>
    <row r="1326" spans="1:12" x14ac:dyDescent="0.25">
      <c r="A1326" s="115"/>
      <c r="B1326" s="115"/>
      <c r="C1326" s="115"/>
      <c r="D1326" s="115"/>
      <c r="E1326" s="115"/>
      <c r="F1326" s="115"/>
      <c r="G1326" s="116"/>
      <c r="I1326" s="118"/>
      <c r="J1326" s="118"/>
      <c r="L1326" s="125"/>
    </row>
    <row r="1327" spans="1:12" x14ac:dyDescent="0.25">
      <c r="A1327" s="115"/>
      <c r="B1327" s="115"/>
      <c r="C1327" s="115"/>
      <c r="D1327" s="115"/>
      <c r="E1327" s="115"/>
      <c r="F1327" s="115"/>
      <c r="G1327" s="116"/>
      <c r="I1327" s="118"/>
      <c r="J1327" s="118"/>
      <c r="L1327" s="125"/>
    </row>
    <row r="1328" spans="1:12" x14ac:dyDescent="0.25">
      <c r="A1328" s="115"/>
      <c r="B1328" s="115"/>
      <c r="C1328" s="115"/>
      <c r="D1328" s="115"/>
      <c r="E1328" s="115"/>
      <c r="F1328" s="115"/>
      <c r="G1328" s="116"/>
      <c r="I1328" s="118"/>
      <c r="J1328" s="118"/>
      <c r="L1328" s="125"/>
    </row>
    <row r="1329" spans="1:12" x14ac:dyDescent="0.25">
      <c r="A1329" s="115"/>
      <c r="B1329" s="115"/>
      <c r="C1329" s="115"/>
      <c r="D1329" s="115"/>
      <c r="E1329" s="115"/>
      <c r="F1329" s="115"/>
      <c r="G1329" s="116"/>
      <c r="I1329" s="118"/>
      <c r="J1329" s="118"/>
      <c r="L1329" s="125"/>
    </row>
    <row r="1330" spans="1:12" x14ac:dyDescent="0.25">
      <c r="A1330" s="115"/>
      <c r="B1330" s="115"/>
      <c r="C1330" s="115"/>
      <c r="D1330" s="115"/>
      <c r="E1330" s="115"/>
      <c r="F1330" s="115"/>
      <c r="G1330" s="116"/>
      <c r="I1330" s="118"/>
      <c r="J1330" s="118"/>
      <c r="L1330" s="125"/>
    </row>
    <row r="1331" spans="1:12" x14ac:dyDescent="0.25">
      <c r="A1331" s="115"/>
      <c r="B1331" s="115"/>
      <c r="C1331" s="115"/>
      <c r="D1331" s="115"/>
      <c r="E1331" s="115"/>
      <c r="F1331" s="115"/>
      <c r="G1331" s="116"/>
      <c r="I1331" s="118"/>
      <c r="J1331" s="118"/>
      <c r="L1331" s="125"/>
    </row>
    <row r="1332" spans="1:12" x14ac:dyDescent="0.25">
      <c r="A1332" s="115"/>
      <c r="B1332" s="115"/>
      <c r="C1332" s="115"/>
      <c r="D1332" s="115"/>
      <c r="E1332" s="115"/>
      <c r="F1332" s="115"/>
      <c r="G1332" s="116"/>
      <c r="I1332" s="118"/>
      <c r="J1332" s="118"/>
      <c r="L1332" s="125"/>
    </row>
    <row r="1333" spans="1:12" x14ac:dyDescent="0.25">
      <c r="A1333" s="115"/>
      <c r="B1333" s="115"/>
      <c r="C1333" s="115"/>
      <c r="D1333" s="115"/>
      <c r="E1333" s="115"/>
      <c r="F1333" s="115"/>
      <c r="G1333" s="116"/>
      <c r="I1333" s="118"/>
      <c r="J1333" s="118"/>
      <c r="L1333" s="125"/>
    </row>
    <row r="1334" spans="1:12" x14ac:dyDescent="0.25">
      <c r="A1334" s="115"/>
      <c r="B1334" s="115"/>
      <c r="C1334" s="115"/>
      <c r="D1334" s="115"/>
      <c r="E1334" s="115"/>
      <c r="F1334" s="115"/>
      <c r="G1334" s="116"/>
      <c r="I1334" s="118"/>
      <c r="J1334" s="118"/>
      <c r="L1334" s="125"/>
    </row>
    <row r="1335" spans="1:12" x14ac:dyDescent="0.25">
      <c r="A1335" s="115"/>
      <c r="B1335" s="115"/>
      <c r="C1335" s="115"/>
      <c r="D1335" s="115"/>
      <c r="E1335" s="115"/>
      <c r="F1335" s="115"/>
      <c r="G1335" s="116"/>
      <c r="I1335" s="118"/>
      <c r="J1335" s="118"/>
      <c r="L1335" s="125"/>
    </row>
    <row r="1336" spans="1:12" x14ac:dyDescent="0.25">
      <c r="A1336" s="115"/>
      <c r="B1336" s="115"/>
      <c r="C1336" s="115"/>
      <c r="D1336" s="115"/>
      <c r="E1336" s="115"/>
      <c r="F1336" s="115"/>
      <c r="G1336" s="116"/>
      <c r="I1336" s="118"/>
      <c r="J1336" s="118"/>
      <c r="L1336" s="125"/>
    </row>
    <row r="1337" spans="1:12" x14ac:dyDescent="0.25">
      <c r="A1337" s="115"/>
      <c r="B1337" s="115"/>
      <c r="C1337" s="115"/>
      <c r="D1337" s="115"/>
      <c r="E1337" s="115"/>
      <c r="F1337" s="115"/>
      <c r="G1337" s="116"/>
      <c r="I1337" s="118"/>
      <c r="J1337" s="118"/>
      <c r="L1337" s="125"/>
    </row>
    <row r="1338" spans="1:12" x14ac:dyDescent="0.25">
      <c r="A1338" s="115"/>
      <c r="B1338" s="115"/>
      <c r="C1338" s="115"/>
      <c r="D1338" s="115"/>
      <c r="E1338" s="115"/>
      <c r="F1338" s="115"/>
      <c r="G1338" s="116"/>
      <c r="I1338" s="118"/>
      <c r="J1338" s="118"/>
      <c r="L1338" s="125"/>
    </row>
    <row r="1339" spans="1:12" x14ac:dyDescent="0.25">
      <c r="A1339" s="115"/>
      <c r="B1339" s="115"/>
      <c r="C1339" s="115"/>
      <c r="D1339" s="115"/>
      <c r="E1339" s="115"/>
      <c r="F1339" s="115"/>
      <c r="G1339" s="116"/>
      <c r="I1339" s="118"/>
      <c r="J1339" s="118"/>
      <c r="L1339" s="125"/>
    </row>
    <row r="1340" spans="1:12" x14ac:dyDescent="0.25">
      <c r="A1340" s="115"/>
      <c r="B1340" s="115"/>
      <c r="C1340" s="115"/>
      <c r="D1340" s="115"/>
      <c r="E1340" s="115"/>
      <c r="F1340" s="115"/>
      <c r="G1340" s="116"/>
      <c r="I1340" s="118"/>
      <c r="J1340" s="118"/>
      <c r="L1340" s="125"/>
    </row>
    <row r="1341" spans="1:12" x14ac:dyDescent="0.25">
      <c r="A1341" s="115"/>
      <c r="B1341" s="115"/>
      <c r="C1341" s="115"/>
      <c r="D1341" s="115"/>
      <c r="E1341" s="115"/>
      <c r="F1341" s="115"/>
      <c r="G1341" s="116"/>
      <c r="I1341" s="118"/>
      <c r="J1341" s="118"/>
      <c r="L1341" s="125"/>
    </row>
    <row r="1342" spans="1:12" x14ac:dyDescent="0.25">
      <c r="A1342" s="115"/>
      <c r="B1342" s="115"/>
      <c r="C1342" s="115"/>
      <c r="D1342" s="115"/>
      <c r="E1342" s="115"/>
      <c r="F1342" s="115"/>
      <c r="G1342" s="116"/>
      <c r="I1342" s="118"/>
      <c r="J1342" s="118"/>
      <c r="L1342" s="125"/>
    </row>
    <row r="1343" spans="1:12" x14ac:dyDescent="0.25">
      <c r="A1343" s="115"/>
      <c r="B1343" s="115"/>
      <c r="C1343" s="115"/>
      <c r="D1343" s="115"/>
      <c r="E1343" s="115"/>
      <c r="F1343" s="115"/>
      <c r="G1343" s="116"/>
      <c r="I1343" s="118"/>
      <c r="J1343" s="118"/>
      <c r="L1343" s="125"/>
    </row>
    <row r="1344" spans="1:12" x14ac:dyDescent="0.25">
      <c r="A1344" s="115"/>
      <c r="B1344" s="115"/>
      <c r="C1344" s="115"/>
      <c r="D1344" s="115"/>
      <c r="E1344" s="115"/>
      <c r="F1344" s="115"/>
      <c r="G1344" s="116"/>
      <c r="I1344" s="118"/>
      <c r="J1344" s="118"/>
      <c r="L1344" s="125"/>
    </row>
    <row r="1345" spans="1:12" x14ac:dyDescent="0.25">
      <c r="A1345" s="115"/>
      <c r="B1345" s="115"/>
      <c r="C1345" s="115"/>
      <c r="D1345" s="115"/>
      <c r="E1345" s="115"/>
      <c r="F1345" s="115"/>
      <c r="G1345" s="116"/>
      <c r="I1345" s="118"/>
      <c r="J1345" s="118"/>
      <c r="L1345" s="125"/>
    </row>
    <row r="1346" spans="1:12" x14ac:dyDescent="0.25">
      <c r="A1346" s="115"/>
      <c r="B1346" s="115"/>
      <c r="C1346" s="115"/>
      <c r="D1346" s="115"/>
      <c r="E1346" s="115"/>
      <c r="F1346" s="115"/>
      <c r="G1346" s="116"/>
      <c r="I1346" s="118"/>
      <c r="J1346" s="118"/>
      <c r="L1346" s="125"/>
    </row>
    <row r="1347" spans="1:12" x14ac:dyDescent="0.25">
      <c r="A1347" s="115"/>
      <c r="B1347" s="115"/>
      <c r="C1347" s="115"/>
      <c r="D1347" s="115"/>
      <c r="E1347" s="115"/>
      <c r="F1347" s="115"/>
      <c r="G1347" s="116"/>
      <c r="I1347" s="118"/>
      <c r="J1347" s="118"/>
      <c r="L1347" s="125"/>
    </row>
    <row r="1348" spans="1:12" x14ac:dyDescent="0.25">
      <c r="A1348" s="115"/>
      <c r="B1348" s="115"/>
      <c r="C1348" s="115"/>
      <c r="D1348" s="115"/>
      <c r="E1348" s="115"/>
      <c r="F1348" s="115"/>
      <c r="G1348" s="116"/>
      <c r="I1348" s="118"/>
      <c r="J1348" s="118"/>
      <c r="L1348" s="125"/>
    </row>
    <row r="1349" spans="1:12" x14ac:dyDescent="0.25">
      <c r="A1349" s="115"/>
      <c r="B1349" s="115"/>
      <c r="C1349" s="115"/>
      <c r="D1349" s="115"/>
      <c r="E1349" s="115"/>
      <c r="F1349" s="115"/>
      <c r="G1349" s="116"/>
      <c r="I1349" s="118"/>
      <c r="J1349" s="118"/>
      <c r="L1349" s="125"/>
    </row>
    <row r="1350" spans="1:12" x14ac:dyDescent="0.25">
      <c r="A1350" s="115"/>
      <c r="B1350" s="115"/>
      <c r="C1350" s="115"/>
      <c r="D1350" s="115"/>
      <c r="E1350" s="115"/>
      <c r="F1350" s="115"/>
      <c r="G1350" s="116"/>
      <c r="I1350" s="118"/>
      <c r="J1350" s="118"/>
      <c r="L1350" s="125"/>
    </row>
    <row r="1351" spans="1:12" x14ac:dyDescent="0.25">
      <c r="A1351" s="115"/>
      <c r="B1351" s="115"/>
      <c r="C1351" s="115"/>
      <c r="D1351" s="115"/>
      <c r="E1351" s="115"/>
      <c r="F1351" s="115"/>
      <c r="G1351" s="116"/>
      <c r="I1351" s="118"/>
      <c r="J1351" s="118"/>
      <c r="L1351" s="125"/>
    </row>
    <row r="1352" spans="1:12" x14ac:dyDescent="0.25">
      <c r="A1352" s="115"/>
      <c r="B1352" s="115"/>
      <c r="C1352" s="115"/>
      <c r="D1352" s="115"/>
      <c r="E1352" s="115"/>
      <c r="F1352" s="115"/>
      <c r="G1352" s="116"/>
      <c r="I1352" s="118"/>
      <c r="J1352" s="118"/>
      <c r="L1352" s="125"/>
    </row>
    <row r="1353" spans="1:12" x14ac:dyDescent="0.25">
      <c r="A1353" s="115"/>
      <c r="B1353" s="115"/>
      <c r="C1353" s="115"/>
      <c r="D1353" s="115"/>
      <c r="E1353" s="115"/>
      <c r="F1353" s="115"/>
      <c r="G1353" s="116"/>
      <c r="I1353" s="118"/>
      <c r="J1353" s="118"/>
      <c r="L1353" s="125"/>
    </row>
    <row r="1354" spans="1:12" x14ac:dyDescent="0.25">
      <c r="A1354" s="115"/>
      <c r="B1354" s="115"/>
      <c r="C1354" s="115"/>
      <c r="D1354" s="115"/>
      <c r="E1354" s="115"/>
      <c r="F1354" s="115"/>
      <c r="G1354" s="116"/>
      <c r="I1354" s="118"/>
      <c r="J1354" s="118"/>
      <c r="L1354" s="125"/>
    </row>
    <row r="1355" spans="1:12" x14ac:dyDescent="0.25">
      <c r="A1355" s="115"/>
      <c r="B1355" s="115"/>
      <c r="C1355" s="115"/>
      <c r="D1355" s="115"/>
      <c r="E1355" s="115"/>
      <c r="F1355" s="115"/>
      <c r="G1355" s="116"/>
      <c r="I1355" s="118"/>
      <c r="J1355" s="118"/>
      <c r="L1355" s="125"/>
    </row>
    <row r="1356" spans="1:12" x14ac:dyDescent="0.25">
      <c r="A1356" s="115"/>
      <c r="B1356" s="115"/>
      <c r="C1356" s="115"/>
      <c r="D1356" s="115"/>
      <c r="E1356" s="115"/>
      <c r="F1356" s="115"/>
      <c r="G1356" s="116"/>
      <c r="I1356" s="118"/>
      <c r="J1356" s="118"/>
      <c r="L1356" s="125"/>
    </row>
    <row r="1357" spans="1:12" x14ac:dyDescent="0.25">
      <c r="A1357" s="115"/>
      <c r="B1357" s="115"/>
      <c r="C1357" s="115"/>
      <c r="D1357" s="115"/>
      <c r="E1357" s="115"/>
      <c r="F1357" s="115"/>
      <c r="G1357" s="116"/>
      <c r="I1357" s="118"/>
      <c r="J1357" s="118"/>
      <c r="L1357" s="125"/>
    </row>
    <row r="1358" spans="1:12" x14ac:dyDescent="0.25">
      <c r="A1358" s="115"/>
      <c r="B1358" s="115"/>
      <c r="C1358" s="115"/>
      <c r="D1358" s="115"/>
      <c r="E1358" s="115"/>
      <c r="F1358" s="115"/>
      <c r="G1358" s="116"/>
      <c r="I1358" s="118"/>
      <c r="J1358" s="118"/>
      <c r="L1358" s="125"/>
    </row>
    <row r="1359" spans="1:12" x14ac:dyDescent="0.25">
      <c r="A1359" s="115"/>
      <c r="B1359" s="115"/>
      <c r="C1359" s="115"/>
      <c r="D1359" s="115"/>
      <c r="E1359" s="115"/>
      <c r="F1359" s="115"/>
      <c r="G1359" s="116"/>
      <c r="I1359" s="118"/>
      <c r="J1359" s="118"/>
      <c r="L1359" s="125"/>
    </row>
    <row r="1360" spans="1:12" x14ac:dyDescent="0.25">
      <c r="A1360" s="115"/>
      <c r="B1360" s="115"/>
      <c r="C1360" s="115"/>
      <c r="D1360" s="115"/>
      <c r="E1360" s="115"/>
      <c r="F1360" s="115"/>
      <c r="G1360" s="116"/>
      <c r="I1360" s="118"/>
      <c r="J1360" s="118"/>
      <c r="L1360" s="125"/>
    </row>
    <row r="1361" spans="1:12" x14ac:dyDescent="0.25">
      <c r="A1361" s="115"/>
      <c r="B1361" s="115"/>
      <c r="C1361" s="115"/>
      <c r="D1361" s="115"/>
      <c r="E1361" s="115"/>
      <c r="F1361" s="115"/>
      <c r="G1361" s="116"/>
      <c r="I1361" s="118"/>
      <c r="J1361" s="118"/>
      <c r="L1361" s="125"/>
    </row>
    <row r="1362" spans="1:12" x14ac:dyDescent="0.25">
      <c r="A1362" s="115"/>
      <c r="B1362" s="115"/>
      <c r="C1362" s="115"/>
      <c r="D1362" s="115"/>
      <c r="E1362" s="115"/>
      <c r="F1362" s="115"/>
      <c r="G1362" s="116"/>
      <c r="I1362" s="118"/>
      <c r="J1362" s="118"/>
      <c r="L1362" s="125"/>
    </row>
    <row r="1363" spans="1:12" x14ac:dyDescent="0.25">
      <c r="A1363" s="115"/>
      <c r="B1363" s="115"/>
      <c r="C1363" s="115"/>
      <c r="D1363" s="115"/>
      <c r="E1363" s="115"/>
      <c r="F1363" s="115"/>
      <c r="G1363" s="116"/>
      <c r="I1363" s="118"/>
      <c r="J1363" s="118"/>
      <c r="L1363" s="125"/>
    </row>
    <row r="1364" spans="1:12" x14ac:dyDescent="0.25">
      <c r="A1364" s="115"/>
      <c r="B1364" s="115"/>
      <c r="C1364" s="115"/>
      <c r="D1364" s="115"/>
      <c r="E1364" s="115"/>
      <c r="F1364" s="115"/>
      <c r="G1364" s="116"/>
      <c r="I1364" s="118"/>
      <c r="J1364" s="118"/>
      <c r="L1364" s="125"/>
    </row>
    <row r="1365" spans="1:12" x14ac:dyDescent="0.25">
      <c r="A1365" s="115"/>
      <c r="B1365" s="115"/>
      <c r="C1365" s="115"/>
      <c r="D1365" s="115"/>
      <c r="E1365" s="115"/>
      <c r="F1365" s="115"/>
      <c r="G1365" s="116"/>
      <c r="I1365" s="118"/>
      <c r="J1365" s="118"/>
      <c r="L1365" s="125"/>
    </row>
    <row r="1366" spans="1:12" x14ac:dyDescent="0.25">
      <c r="A1366" s="115"/>
      <c r="B1366" s="115"/>
      <c r="C1366" s="115"/>
      <c r="D1366" s="115"/>
      <c r="E1366" s="115"/>
      <c r="F1366" s="115"/>
      <c r="G1366" s="116"/>
      <c r="I1366" s="118"/>
      <c r="J1366" s="118"/>
      <c r="L1366" s="125"/>
    </row>
    <row r="1367" spans="1:12" x14ac:dyDescent="0.25">
      <c r="A1367" s="115"/>
      <c r="B1367" s="115"/>
      <c r="C1367" s="115"/>
      <c r="D1367" s="115"/>
      <c r="E1367" s="115"/>
      <c r="F1367" s="115"/>
      <c r="G1367" s="116"/>
      <c r="I1367" s="118"/>
      <c r="J1367" s="118"/>
      <c r="L1367" s="125"/>
    </row>
    <row r="1368" spans="1:12" x14ac:dyDescent="0.25">
      <c r="A1368" s="115"/>
      <c r="B1368" s="115"/>
      <c r="C1368" s="115"/>
      <c r="D1368" s="115"/>
      <c r="E1368" s="115"/>
      <c r="F1368" s="115"/>
      <c r="G1368" s="116"/>
      <c r="I1368" s="118"/>
      <c r="J1368" s="118"/>
      <c r="L1368" s="125"/>
    </row>
    <row r="1369" spans="1:12" x14ac:dyDescent="0.25">
      <c r="A1369" s="115"/>
      <c r="B1369" s="115"/>
      <c r="C1369" s="115"/>
      <c r="D1369" s="115"/>
      <c r="E1369" s="115"/>
      <c r="F1369" s="115"/>
      <c r="G1369" s="116"/>
      <c r="I1369" s="118"/>
      <c r="J1369" s="118"/>
      <c r="L1369" s="125"/>
    </row>
    <row r="1370" spans="1:12" x14ac:dyDescent="0.25">
      <c r="A1370" s="115"/>
      <c r="B1370" s="115"/>
      <c r="C1370" s="115"/>
      <c r="D1370" s="115"/>
      <c r="E1370" s="115"/>
      <c r="F1370" s="115"/>
      <c r="G1370" s="116"/>
      <c r="I1370" s="118"/>
      <c r="J1370" s="118"/>
      <c r="L1370" s="125"/>
    </row>
    <row r="1371" spans="1:12" x14ac:dyDescent="0.25">
      <c r="A1371" s="115"/>
      <c r="B1371" s="115"/>
      <c r="C1371" s="115"/>
      <c r="D1371" s="115"/>
      <c r="E1371" s="115"/>
      <c r="F1371" s="115"/>
      <c r="G1371" s="116"/>
      <c r="I1371" s="118"/>
      <c r="J1371" s="118"/>
      <c r="L1371" s="125"/>
    </row>
    <row r="1372" spans="1:12" x14ac:dyDescent="0.25">
      <c r="A1372" s="115"/>
      <c r="B1372" s="115"/>
      <c r="C1372" s="115"/>
      <c r="D1372" s="115"/>
      <c r="E1372" s="115"/>
      <c r="F1372" s="115"/>
      <c r="G1372" s="116"/>
      <c r="I1372" s="118"/>
      <c r="J1372" s="118"/>
      <c r="L1372" s="125"/>
    </row>
    <row r="1373" spans="1:12" x14ac:dyDescent="0.25">
      <c r="A1373" s="115"/>
      <c r="B1373" s="115"/>
      <c r="C1373" s="115"/>
      <c r="D1373" s="115"/>
      <c r="E1373" s="115"/>
      <c r="F1373" s="115"/>
      <c r="G1373" s="116"/>
      <c r="I1373" s="118"/>
      <c r="J1373" s="118"/>
      <c r="L1373" s="125"/>
    </row>
    <row r="1374" spans="1:12" x14ac:dyDescent="0.25">
      <c r="A1374" s="115"/>
      <c r="B1374" s="115"/>
      <c r="C1374" s="115"/>
      <c r="D1374" s="115"/>
      <c r="E1374" s="115"/>
      <c r="F1374" s="115"/>
      <c r="G1374" s="116"/>
      <c r="I1374" s="118"/>
      <c r="J1374" s="118"/>
      <c r="L1374" s="125"/>
    </row>
    <row r="1375" spans="1:12" x14ac:dyDescent="0.25">
      <c r="A1375" s="115"/>
      <c r="B1375" s="115"/>
      <c r="C1375" s="115"/>
      <c r="D1375" s="115"/>
      <c r="E1375" s="115"/>
      <c r="F1375" s="115"/>
      <c r="G1375" s="116"/>
      <c r="I1375" s="118"/>
      <c r="J1375" s="118"/>
      <c r="L1375" s="125"/>
    </row>
    <row r="1376" spans="1:12" x14ac:dyDescent="0.25">
      <c r="A1376" s="115"/>
      <c r="B1376" s="115"/>
      <c r="C1376" s="115"/>
      <c r="D1376" s="115"/>
      <c r="E1376" s="115"/>
      <c r="F1376" s="115"/>
      <c r="G1376" s="116"/>
      <c r="I1376" s="118"/>
      <c r="J1376" s="118"/>
      <c r="L1376" s="125"/>
    </row>
    <row r="1377" spans="1:12" x14ac:dyDescent="0.25">
      <c r="A1377" s="115"/>
      <c r="B1377" s="115"/>
      <c r="C1377" s="115"/>
      <c r="D1377" s="115"/>
      <c r="E1377" s="115"/>
      <c r="F1377" s="115"/>
      <c r="G1377" s="116"/>
      <c r="I1377" s="118"/>
      <c r="J1377" s="118"/>
      <c r="L1377" s="125"/>
    </row>
    <row r="1378" spans="1:12" x14ac:dyDescent="0.25">
      <c r="A1378" s="115"/>
      <c r="B1378" s="115"/>
      <c r="C1378" s="115"/>
      <c r="D1378" s="115"/>
      <c r="E1378" s="115"/>
      <c r="F1378" s="115"/>
      <c r="G1378" s="116"/>
      <c r="I1378" s="118"/>
      <c r="J1378" s="118"/>
      <c r="L1378" s="125"/>
    </row>
    <row r="1379" spans="1:12" x14ac:dyDescent="0.25">
      <c r="A1379" s="115"/>
      <c r="B1379" s="115"/>
      <c r="C1379" s="115"/>
      <c r="D1379" s="115"/>
      <c r="E1379" s="115"/>
      <c r="F1379" s="115"/>
      <c r="G1379" s="116"/>
      <c r="I1379" s="118"/>
      <c r="J1379" s="118"/>
      <c r="L1379" s="125"/>
    </row>
    <row r="1380" spans="1:12" x14ac:dyDescent="0.25">
      <c r="A1380" s="115"/>
      <c r="B1380" s="115"/>
      <c r="C1380" s="115"/>
      <c r="D1380" s="115"/>
      <c r="E1380" s="115"/>
      <c r="F1380" s="115"/>
      <c r="G1380" s="116"/>
      <c r="I1380" s="118"/>
      <c r="J1380" s="118"/>
      <c r="L1380" s="125"/>
    </row>
    <row r="1381" spans="1:12" x14ac:dyDescent="0.25">
      <c r="A1381" s="115"/>
      <c r="B1381" s="115"/>
      <c r="C1381" s="115"/>
      <c r="D1381" s="115"/>
      <c r="E1381" s="115"/>
      <c r="F1381" s="115"/>
      <c r="G1381" s="116"/>
      <c r="I1381" s="118"/>
      <c r="J1381" s="118"/>
      <c r="L1381" s="125"/>
    </row>
    <row r="1382" spans="1:12" x14ac:dyDescent="0.25">
      <c r="A1382" s="115"/>
      <c r="B1382" s="115"/>
      <c r="C1382" s="115"/>
      <c r="D1382" s="115"/>
      <c r="E1382" s="115"/>
      <c r="F1382" s="115"/>
      <c r="G1382" s="116"/>
      <c r="I1382" s="118"/>
      <c r="J1382" s="118"/>
      <c r="L1382" s="125"/>
    </row>
    <row r="1383" spans="1:12" x14ac:dyDescent="0.25">
      <c r="A1383" s="115"/>
      <c r="B1383" s="115"/>
      <c r="C1383" s="115"/>
      <c r="D1383" s="115"/>
      <c r="E1383" s="115"/>
      <c r="F1383" s="115"/>
      <c r="G1383" s="116"/>
      <c r="I1383" s="118"/>
      <c r="J1383" s="118"/>
      <c r="L1383" s="125"/>
    </row>
    <row r="1384" spans="1:12" x14ac:dyDescent="0.25">
      <c r="A1384" s="115"/>
      <c r="B1384" s="115"/>
      <c r="C1384" s="115"/>
      <c r="D1384" s="115"/>
      <c r="E1384" s="115"/>
      <c r="F1384" s="115"/>
      <c r="G1384" s="116"/>
      <c r="I1384" s="118"/>
      <c r="J1384" s="118"/>
      <c r="L1384" s="125"/>
    </row>
    <row r="1385" spans="1:12" x14ac:dyDescent="0.25">
      <c r="A1385" s="115"/>
      <c r="B1385" s="115"/>
      <c r="C1385" s="115"/>
      <c r="D1385" s="115"/>
      <c r="E1385" s="115"/>
      <c r="F1385" s="115"/>
      <c r="G1385" s="116"/>
      <c r="I1385" s="118"/>
      <c r="J1385" s="118"/>
      <c r="L1385" s="125"/>
    </row>
    <row r="1386" spans="1:12" x14ac:dyDescent="0.25">
      <c r="A1386" s="115"/>
      <c r="B1386" s="115"/>
      <c r="C1386" s="115"/>
      <c r="D1386" s="115"/>
      <c r="E1386" s="115"/>
      <c r="F1386" s="115"/>
      <c r="G1386" s="116"/>
      <c r="I1386" s="118"/>
      <c r="J1386" s="118"/>
      <c r="L1386" s="125"/>
    </row>
    <row r="1387" spans="1:12" x14ac:dyDescent="0.25">
      <c r="A1387" s="115"/>
      <c r="B1387" s="115"/>
      <c r="C1387" s="115"/>
      <c r="D1387" s="115"/>
      <c r="E1387" s="115"/>
      <c r="F1387" s="115"/>
      <c r="G1387" s="116"/>
      <c r="I1387" s="118"/>
      <c r="J1387" s="118"/>
      <c r="L1387" s="125"/>
    </row>
    <row r="1388" spans="1:12" x14ac:dyDescent="0.25">
      <c r="A1388" s="115"/>
      <c r="B1388" s="115"/>
      <c r="C1388" s="115"/>
      <c r="D1388" s="115"/>
      <c r="E1388" s="115"/>
      <c r="F1388" s="115"/>
      <c r="G1388" s="116"/>
      <c r="I1388" s="118"/>
      <c r="J1388" s="118"/>
      <c r="L1388" s="125"/>
    </row>
    <row r="1389" spans="1:12" x14ac:dyDescent="0.25">
      <c r="A1389" s="115"/>
      <c r="B1389" s="115"/>
      <c r="C1389" s="115"/>
      <c r="D1389" s="115"/>
      <c r="E1389" s="115"/>
      <c r="F1389" s="115"/>
      <c r="G1389" s="116"/>
      <c r="I1389" s="118"/>
      <c r="J1389" s="118"/>
      <c r="L1389" s="125"/>
    </row>
    <row r="1390" spans="1:12" x14ac:dyDescent="0.25">
      <c r="A1390" s="115"/>
      <c r="B1390" s="115"/>
      <c r="C1390" s="115"/>
      <c r="D1390" s="115"/>
      <c r="E1390" s="115"/>
      <c r="F1390" s="115"/>
      <c r="G1390" s="116"/>
      <c r="I1390" s="118"/>
      <c r="J1390" s="118"/>
      <c r="L1390" s="125"/>
    </row>
    <row r="1391" spans="1:12" x14ac:dyDescent="0.25">
      <c r="A1391" s="115"/>
      <c r="B1391" s="115"/>
      <c r="C1391" s="115"/>
      <c r="D1391" s="115"/>
      <c r="E1391" s="115"/>
      <c r="F1391" s="115"/>
      <c r="G1391" s="116"/>
      <c r="I1391" s="118"/>
      <c r="J1391" s="118"/>
      <c r="L1391" s="125"/>
    </row>
    <row r="1392" spans="1:12" x14ac:dyDescent="0.25">
      <c r="A1392" s="115"/>
      <c r="B1392" s="115"/>
      <c r="C1392" s="115"/>
      <c r="D1392" s="115"/>
      <c r="E1392" s="115"/>
      <c r="F1392" s="115"/>
      <c r="G1392" s="116"/>
      <c r="I1392" s="118"/>
      <c r="J1392" s="118"/>
      <c r="L1392" s="125"/>
    </row>
    <row r="1393" spans="1:12" x14ac:dyDescent="0.25">
      <c r="A1393" s="115"/>
      <c r="B1393" s="115"/>
      <c r="C1393" s="115"/>
      <c r="D1393" s="115"/>
      <c r="E1393" s="115"/>
      <c r="F1393" s="115"/>
      <c r="G1393" s="116"/>
      <c r="I1393" s="118"/>
      <c r="J1393" s="118"/>
      <c r="L1393" s="125"/>
    </row>
    <row r="1394" spans="1:12" x14ac:dyDescent="0.25">
      <c r="A1394" s="115"/>
      <c r="B1394" s="115"/>
      <c r="C1394" s="115"/>
      <c r="D1394" s="115"/>
      <c r="E1394" s="115"/>
      <c r="F1394" s="115"/>
      <c r="G1394" s="116"/>
      <c r="I1394" s="118"/>
      <c r="J1394" s="118"/>
      <c r="L1394" s="125"/>
    </row>
    <row r="1395" spans="1:12" x14ac:dyDescent="0.25">
      <c r="A1395" s="115"/>
      <c r="B1395" s="115"/>
      <c r="C1395" s="115"/>
      <c r="D1395" s="115"/>
      <c r="E1395" s="115"/>
      <c r="F1395" s="115"/>
      <c r="G1395" s="116"/>
      <c r="I1395" s="118"/>
      <c r="J1395" s="118"/>
      <c r="L1395" s="125"/>
    </row>
    <row r="1396" spans="1:12" x14ac:dyDescent="0.25">
      <c r="A1396" s="115"/>
      <c r="B1396" s="115"/>
      <c r="C1396" s="115"/>
      <c r="D1396" s="115"/>
      <c r="E1396" s="115"/>
      <c r="F1396" s="115"/>
      <c r="G1396" s="116"/>
      <c r="I1396" s="118"/>
      <c r="J1396" s="118"/>
      <c r="L1396" s="125"/>
    </row>
    <row r="1397" spans="1:12" x14ac:dyDescent="0.25">
      <c r="A1397" s="115"/>
      <c r="B1397" s="115"/>
      <c r="C1397" s="115"/>
      <c r="D1397" s="115"/>
      <c r="E1397" s="115"/>
      <c r="F1397" s="115"/>
      <c r="G1397" s="116"/>
      <c r="I1397" s="118"/>
      <c r="J1397" s="118"/>
      <c r="L1397" s="125"/>
    </row>
    <row r="1398" spans="1:12" x14ac:dyDescent="0.25">
      <c r="A1398" s="115"/>
      <c r="B1398" s="115"/>
      <c r="C1398" s="115"/>
      <c r="D1398" s="115"/>
      <c r="E1398" s="115"/>
      <c r="F1398" s="115"/>
      <c r="G1398" s="116"/>
      <c r="I1398" s="118"/>
      <c r="J1398" s="118"/>
      <c r="L1398" s="125"/>
    </row>
    <row r="1399" spans="1:12" x14ac:dyDescent="0.25">
      <c r="A1399" s="115"/>
      <c r="B1399" s="115"/>
      <c r="C1399" s="115"/>
      <c r="D1399" s="115"/>
      <c r="E1399" s="115"/>
      <c r="F1399" s="115"/>
      <c r="G1399" s="116"/>
      <c r="I1399" s="118"/>
      <c r="J1399" s="118"/>
      <c r="L1399" s="125"/>
    </row>
    <row r="1400" spans="1:12" x14ac:dyDescent="0.25">
      <c r="A1400" s="115"/>
      <c r="B1400" s="115"/>
      <c r="C1400" s="115"/>
      <c r="D1400" s="115"/>
      <c r="E1400" s="115"/>
      <c r="F1400" s="115"/>
      <c r="G1400" s="116"/>
      <c r="I1400" s="118"/>
      <c r="J1400" s="118"/>
      <c r="L1400" s="125"/>
    </row>
    <row r="1401" spans="1:12" x14ac:dyDescent="0.25">
      <c r="A1401" s="115"/>
      <c r="B1401" s="115"/>
      <c r="C1401" s="115"/>
      <c r="D1401" s="115"/>
      <c r="E1401" s="115"/>
      <c r="F1401" s="115"/>
      <c r="G1401" s="116"/>
      <c r="I1401" s="118"/>
      <c r="J1401" s="118"/>
      <c r="L1401" s="125"/>
    </row>
    <row r="1402" spans="1:12" x14ac:dyDescent="0.25">
      <c r="A1402" s="115"/>
      <c r="B1402" s="115"/>
      <c r="C1402" s="115"/>
      <c r="D1402" s="115"/>
      <c r="E1402" s="115"/>
      <c r="F1402" s="115"/>
      <c r="G1402" s="116"/>
      <c r="I1402" s="118"/>
      <c r="J1402" s="118"/>
      <c r="L1402" s="125"/>
    </row>
    <row r="1403" spans="1:12" x14ac:dyDescent="0.25">
      <c r="A1403" s="115"/>
      <c r="B1403" s="115"/>
      <c r="C1403" s="115"/>
      <c r="D1403" s="115"/>
      <c r="E1403" s="115"/>
      <c r="F1403" s="115"/>
      <c r="G1403" s="116"/>
      <c r="I1403" s="118"/>
      <c r="J1403" s="118"/>
      <c r="L1403" s="125"/>
    </row>
    <row r="1404" spans="1:12" x14ac:dyDescent="0.25">
      <c r="A1404" s="115"/>
      <c r="B1404" s="115"/>
      <c r="C1404" s="115"/>
      <c r="D1404" s="115"/>
      <c r="E1404" s="115"/>
      <c r="F1404" s="115"/>
      <c r="G1404" s="116"/>
      <c r="I1404" s="118"/>
      <c r="J1404" s="118"/>
      <c r="L1404" s="125"/>
    </row>
    <row r="1405" spans="1:12" x14ac:dyDescent="0.25">
      <c r="A1405" s="115"/>
      <c r="B1405" s="115"/>
      <c r="C1405" s="115"/>
      <c r="D1405" s="115"/>
      <c r="E1405" s="115"/>
      <c r="F1405" s="115"/>
      <c r="G1405" s="116"/>
      <c r="I1405" s="118"/>
      <c r="J1405" s="118"/>
      <c r="L1405" s="125"/>
    </row>
    <row r="1406" spans="1:12" x14ac:dyDescent="0.25">
      <c r="A1406" s="115"/>
      <c r="B1406" s="115"/>
      <c r="C1406" s="115"/>
      <c r="D1406" s="115"/>
      <c r="E1406" s="115"/>
      <c r="F1406" s="115"/>
      <c r="G1406" s="116"/>
      <c r="I1406" s="118"/>
      <c r="J1406" s="118"/>
      <c r="L1406" s="125"/>
    </row>
    <row r="1407" spans="1:12" x14ac:dyDescent="0.25">
      <c r="A1407" s="115"/>
      <c r="B1407" s="115"/>
      <c r="C1407" s="115"/>
      <c r="D1407" s="115"/>
      <c r="E1407" s="115"/>
      <c r="F1407" s="115"/>
      <c r="G1407" s="116"/>
      <c r="I1407" s="118"/>
      <c r="J1407" s="118"/>
      <c r="L1407" s="125"/>
    </row>
    <row r="1408" spans="1:12" x14ac:dyDescent="0.25">
      <c r="A1408" s="115"/>
      <c r="B1408" s="115"/>
      <c r="C1408" s="115"/>
      <c r="D1408" s="115"/>
      <c r="E1408" s="115"/>
      <c r="F1408" s="115"/>
      <c r="G1408" s="116"/>
      <c r="I1408" s="118"/>
      <c r="J1408" s="118"/>
      <c r="L1408" s="125"/>
    </row>
    <row r="1409" spans="1:12" x14ac:dyDescent="0.25">
      <c r="A1409" s="115"/>
      <c r="B1409" s="115"/>
      <c r="C1409" s="115"/>
      <c r="D1409" s="115"/>
      <c r="E1409" s="115"/>
      <c r="F1409" s="115"/>
      <c r="G1409" s="116"/>
      <c r="I1409" s="118"/>
      <c r="J1409" s="118"/>
      <c r="L1409" s="125"/>
    </row>
    <row r="1410" spans="1:12" x14ac:dyDescent="0.25">
      <c r="A1410" s="115"/>
      <c r="B1410" s="115"/>
      <c r="C1410" s="115"/>
      <c r="D1410" s="115"/>
      <c r="E1410" s="115"/>
      <c r="F1410" s="115"/>
      <c r="G1410" s="116"/>
      <c r="I1410" s="118"/>
      <c r="J1410" s="118"/>
      <c r="L1410" s="125"/>
    </row>
    <row r="1411" spans="1:12" x14ac:dyDescent="0.25">
      <c r="A1411" s="115"/>
      <c r="B1411" s="115"/>
      <c r="C1411" s="115"/>
      <c r="D1411" s="115"/>
      <c r="E1411" s="115"/>
      <c r="F1411" s="115"/>
      <c r="G1411" s="116"/>
      <c r="I1411" s="118"/>
      <c r="J1411" s="118"/>
      <c r="L1411" s="125"/>
    </row>
    <row r="1412" spans="1:12" x14ac:dyDescent="0.25">
      <c r="A1412" s="115"/>
      <c r="B1412" s="115"/>
      <c r="C1412" s="115"/>
      <c r="D1412" s="115"/>
      <c r="E1412" s="115"/>
      <c r="F1412" s="115"/>
      <c r="G1412" s="116"/>
      <c r="I1412" s="118"/>
      <c r="J1412" s="118"/>
      <c r="L1412" s="125"/>
    </row>
    <row r="1413" spans="1:12" x14ac:dyDescent="0.25">
      <c r="A1413" s="115"/>
      <c r="B1413" s="115"/>
      <c r="C1413" s="115"/>
      <c r="D1413" s="115"/>
      <c r="E1413" s="115"/>
      <c r="F1413" s="115"/>
      <c r="G1413" s="116"/>
      <c r="I1413" s="118"/>
      <c r="J1413" s="118"/>
      <c r="L1413" s="125"/>
    </row>
    <row r="1414" spans="1:12" x14ac:dyDescent="0.25">
      <c r="A1414" s="115"/>
      <c r="B1414" s="115"/>
      <c r="C1414" s="115"/>
      <c r="D1414" s="115"/>
      <c r="E1414" s="115"/>
      <c r="F1414" s="115"/>
      <c r="G1414" s="116"/>
      <c r="I1414" s="118"/>
      <c r="J1414" s="118"/>
      <c r="L1414" s="125"/>
    </row>
    <row r="1415" spans="1:12" x14ac:dyDescent="0.25">
      <c r="A1415" s="115"/>
      <c r="B1415" s="115"/>
      <c r="C1415" s="115"/>
      <c r="D1415" s="115"/>
      <c r="E1415" s="115"/>
      <c r="F1415" s="115"/>
      <c r="G1415" s="116"/>
      <c r="I1415" s="118"/>
      <c r="J1415" s="118"/>
      <c r="L1415" s="125"/>
    </row>
    <row r="1416" spans="1:12" x14ac:dyDescent="0.25">
      <c r="A1416" s="115"/>
      <c r="B1416" s="115"/>
      <c r="C1416" s="115"/>
      <c r="D1416" s="115"/>
      <c r="E1416" s="115"/>
      <c r="F1416" s="115"/>
      <c r="G1416" s="116"/>
      <c r="I1416" s="118"/>
      <c r="J1416" s="118"/>
      <c r="L1416" s="125"/>
    </row>
    <row r="1417" spans="1:12" x14ac:dyDescent="0.25">
      <c r="A1417" s="115"/>
      <c r="B1417" s="115"/>
      <c r="C1417" s="115"/>
      <c r="D1417" s="115"/>
      <c r="E1417" s="115"/>
      <c r="F1417" s="115"/>
      <c r="G1417" s="116"/>
      <c r="I1417" s="118"/>
      <c r="J1417" s="118"/>
      <c r="L1417" s="125"/>
    </row>
    <row r="1418" spans="1:12" x14ac:dyDescent="0.25">
      <c r="A1418" s="115"/>
      <c r="B1418" s="115"/>
      <c r="C1418" s="115"/>
      <c r="D1418" s="115"/>
      <c r="E1418" s="115"/>
      <c r="F1418" s="115"/>
      <c r="G1418" s="116"/>
      <c r="I1418" s="118"/>
      <c r="J1418" s="118"/>
      <c r="L1418" s="125"/>
    </row>
    <row r="1419" spans="1:12" x14ac:dyDescent="0.25">
      <c r="A1419" s="115"/>
      <c r="B1419" s="115"/>
      <c r="C1419" s="115"/>
      <c r="D1419" s="115"/>
      <c r="E1419" s="115"/>
      <c r="F1419" s="115"/>
      <c r="G1419" s="116"/>
      <c r="I1419" s="118"/>
      <c r="J1419" s="118"/>
      <c r="L1419" s="125"/>
    </row>
    <row r="1420" spans="1:12" x14ac:dyDescent="0.25">
      <c r="A1420" s="115"/>
      <c r="B1420" s="115"/>
      <c r="C1420" s="115"/>
      <c r="D1420" s="115"/>
      <c r="E1420" s="115"/>
      <c r="F1420" s="115"/>
      <c r="G1420" s="116"/>
      <c r="I1420" s="118"/>
      <c r="J1420" s="118"/>
      <c r="L1420" s="125"/>
    </row>
    <row r="1421" spans="1:12" x14ac:dyDescent="0.25">
      <c r="A1421" s="115"/>
      <c r="B1421" s="115"/>
      <c r="C1421" s="115"/>
      <c r="D1421" s="115"/>
      <c r="E1421" s="115"/>
      <c r="F1421" s="115"/>
      <c r="G1421" s="116"/>
      <c r="I1421" s="118"/>
      <c r="J1421" s="118"/>
      <c r="L1421" s="125"/>
    </row>
    <row r="1422" spans="1:12" x14ac:dyDescent="0.25">
      <c r="A1422" s="115"/>
      <c r="B1422" s="115"/>
      <c r="C1422" s="115"/>
      <c r="D1422" s="115"/>
      <c r="E1422" s="115"/>
      <c r="F1422" s="115"/>
      <c r="G1422" s="116"/>
      <c r="I1422" s="118"/>
      <c r="J1422" s="118"/>
      <c r="L1422" s="125"/>
    </row>
    <row r="1423" spans="1:12" x14ac:dyDescent="0.25">
      <c r="A1423" s="115"/>
      <c r="B1423" s="115"/>
      <c r="C1423" s="115"/>
      <c r="D1423" s="115"/>
      <c r="E1423" s="115"/>
      <c r="F1423" s="115"/>
      <c r="G1423" s="116"/>
      <c r="I1423" s="118"/>
      <c r="J1423" s="118"/>
      <c r="L1423" s="125"/>
    </row>
    <row r="1424" spans="1:12" x14ac:dyDescent="0.25">
      <c r="A1424" s="115"/>
      <c r="B1424" s="115"/>
      <c r="C1424" s="115"/>
      <c r="D1424" s="115"/>
      <c r="E1424" s="115"/>
      <c r="F1424" s="115"/>
      <c r="G1424" s="116"/>
      <c r="I1424" s="118"/>
      <c r="J1424" s="118"/>
      <c r="L1424" s="125"/>
    </row>
    <row r="1425" spans="1:12" x14ac:dyDescent="0.25">
      <c r="A1425" s="115"/>
      <c r="B1425" s="115"/>
      <c r="C1425" s="115"/>
      <c r="D1425" s="115"/>
      <c r="E1425" s="115"/>
      <c r="F1425" s="115"/>
      <c r="G1425" s="116"/>
      <c r="I1425" s="118"/>
      <c r="J1425" s="118"/>
      <c r="L1425" s="125"/>
    </row>
    <row r="1426" spans="1:12" x14ac:dyDescent="0.25">
      <c r="A1426" s="115"/>
      <c r="B1426" s="115"/>
      <c r="C1426" s="115"/>
      <c r="D1426" s="115"/>
      <c r="E1426" s="115"/>
      <c r="F1426" s="115"/>
      <c r="G1426" s="116"/>
      <c r="I1426" s="118"/>
      <c r="J1426" s="118"/>
      <c r="L1426" s="125"/>
    </row>
    <row r="1427" spans="1:12" x14ac:dyDescent="0.25">
      <c r="A1427" s="115"/>
      <c r="B1427" s="115"/>
      <c r="C1427" s="115"/>
      <c r="D1427" s="115"/>
      <c r="E1427" s="115"/>
      <c r="F1427" s="115"/>
      <c r="G1427" s="116"/>
      <c r="I1427" s="118"/>
      <c r="J1427" s="118"/>
      <c r="L1427" s="125"/>
    </row>
    <row r="1428" spans="1:12" x14ac:dyDescent="0.25">
      <c r="A1428" s="115"/>
      <c r="B1428" s="115"/>
      <c r="C1428" s="115"/>
      <c r="D1428" s="115"/>
      <c r="E1428" s="115"/>
      <c r="F1428" s="115"/>
      <c r="G1428" s="116"/>
      <c r="I1428" s="118"/>
      <c r="J1428" s="118"/>
      <c r="L1428" s="125"/>
    </row>
    <row r="1429" spans="1:12" x14ac:dyDescent="0.25">
      <c r="A1429" s="115"/>
      <c r="B1429" s="115"/>
      <c r="C1429" s="115"/>
      <c r="D1429" s="115"/>
      <c r="E1429" s="115"/>
      <c r="F1429" s="115"/>
      <c r="G1429" s="116"/>
      <c r="I1429" s="118"/>
      <c r="J1429" s="118"/>
      <c r="L1429" s="125"/>
    </row>
    <row r="1430" spans="1:12" x14ac:dyDescent="0.25">
      <c r="A1430" s="115"/>
      <c r="B1430" s="115"/>
      <c r="C1430" s="115"/>
      <c r="D1430" s="115"/>
      <c r="E1430" s="115"/>
      <c r="F1430" s="115"/>
      <c r="G1430" s="116"/>
      <c r="I1430" s="118"/>
      <c r="J1430" s="118"/>
      <c r="L1430" s="125"/>
    </row>
    <row r="1431" spans="1:12" x14ac:dyDescent="0.25">
      <c r="A1431" s="115"/>
      <c r="B1431" s="115"/>
      <c r="C1431" s="115"/>
      <c r="D1431" s="115"/>
      <c r="E1431" s="115"/>
      <c r="F1431" s="115"/>
      <c r="G1431" s="116"/>
      <c r="I1431" s="118"/>
      <c r="J1431" s="118"/>
      <c r="L1431" s="125"/>
    </row>
    <row r="1432" spans="1:12" x14ac:dyDescent="0.25">
      <c r="A1432" s="115"/>
      <c r="B1432" s="115"/>
      <c r="C1432" s="115"/>
      <c r="D1432" s="115"/>
      <c r="E1432" s="115"/>
      <c r="F1432" s="115"/>
      <c r="G1432" s="116"/>
      <c r="I1432" s="118"/>
      <c r="J1432" s="118"/>
      <c r="L1432" s="125"/>
    </row>
    <row r="1433" spans="1:12" x14ac:dyDescent="0.25">
      <c r="A1433" s="115"/>
      <c r="B1433" s="115"/>
      <c r="C1433" s="115"/>
      <c r="D1433" s="115"/>
      <c r="E1433" s="115"/>
      <c r="F1433" s="115"/>
      <c r="G1433" s="116"/>
      <c r="I1433" s="118"/>
      <c r="J1433" s="118"/>
      <c r="L1433" s="125"/>
    </row>
    <row r="1434" spans="1:12" x14ac:dyDescent="0.25">
      <c r="A1434" s="115"/>
      <c r="B1434" s="115"/>
      <c r="C1434" s="115"/>
      <c r="D1434" s="115"/>
      <c r="E1434" s="115"/>
      <c r="F1434" s="115"/>
      <c r="G1434" s="116"/>
      <c r="I1434" s="118"/>
      <c r="J1434" s="118"/>
      <c r="L1434" s="125"/>
    </row>
    <row r="1435" spans="1:12" x14ac:dyDescent="0.25">
      <c r="A1435" s="115"/>
      <c r="B1435" s="115"/>
      <c r="C1435" s="115"/>
      <c r="D1435" s="115"/>
      <c r="E1435" s="115"/>
      <c r="F1435" s="115"/>
      <c r="G1435" s="116"/>
      <c r="I1435" s="118"/>
      <c r="J1435" s="118"/>
      <c r="L1435" s="125"/>
    </row>
    <row r="1436" spans="1:12" x14ac:dyDescent="0.25">
      <c r="A1436" s="115"/>
      <c r="B1436" s="115"/>
      <c r="C1436" s="115"/>
      <c r="D1436" s="115"/>
      <c r="E1436" s="115"/>
      <c r="F1436" s="115"/>
      <c r="G1436" s="116"/>
      <c r="I1436" s="118"/>
      <c r="J1436" s="118"/>
      <c r="L1436" s="125"/>
    </row>
    <row r="1437" spans="1:12" x14ac:dyDescent="0.25">
      <c r="A1437" s="115"/>
      <c r="B1437" s="115"/>
      <c r="C1437" s="115"/>
      <c r="D1437" s="115"/>
      <c r="E1437" s="115"/>
      <c r="F1437" s="115"/>
      <c r="G1437" s="116"/>
      <c r="I1437" s="118"/>
      <c r="J1437" s="118"/>
      <c r="L1437" s="125"/>
    </row>
    <row r="1438" spans="1:12" x14ac:dyDescent="0.25">
      <c r="A1438" s="115"/>
      <c r="B1438" s="115"/>
      <c r="C1438" s="115"/>
      <c r="D1438" s="115"/>
      <c r="E1438" s="115"/>
      <c r="F1438" s="115"/>
      <c r="G1438" s="116"/>
      <c r="I1438" s="118"/>
      <c r="J1438" s="118"/>
      <c r="L1438" s="125"/>
    </row>
    <row r="1439" spans="1:12" x14ac:dyDescent="0.25">
      <c r="A1439" s="115"/>
      <c r="B1439" s="115"/>
      <c r="C1439" s="115"/>
      <c r="D1439" s="115"/>
      <c r="E1439" s="115"/>
      <c r="F1439" s="115"/>
      <c r="G1439" s="116"/>
      <c r="I1439" s="118"/>
      <c r="J1439" s="118"/>
      <c r="L1439" s="125"/>
    </row>
    <row r="1440" spans="1:12" x14ac:dyDescent="0.25">
      <c r="A1440" s="115"/>
      <c r="B1440" s="115"/>
      <c r="C1440" s="115"/>
      <c r="D1440" s="115"/>
      <c r="E1440" s="115"/>
      <c r="F1440" s="115"/>
      <c r="G1440" s="116"/>
      <c r="I1440" s="118"/>
      <c r="J1440" s="118"/>
      <c r="L1440" s="125"/>
    </row>
    <row r="1441" spans="1:12" x14ac:dyDescent="0.25">
      <c r="A1441" s="115"/>
      <c r="B1441" s="115"/>
      <c r="C1441" s="115"/>
      <c r="D1441" s="115"/>
      <c r="E1441" s="115"/>
      <c r="F1441" s="115"/>
      <c r="G1441" s="116"/>
      <c r="I1441" s="118"/>
      <c r="J1441" s="118"/>
      <c r="L1441" s="125"/>
    </row>
    <row r="1442" spans="1:12" x14ac:dyDescent="0.25">
      <c r="A1442" s="115"/>
      <c r="B1442" s="115"/>
      <c r="C1442" s="115"/>
      <c r="D1442" s="115"/>
      <c r="E1442" s="115"/>
      <c r="F1442" s="115"/>
      <c r="G1442" s="116"/>
      <c r="I1442" s="118"/>
      <c r="J1442" s="118"/>
      <c r="L1442" s="125"/>
    </row>
    <row r="1443" spans="1:12" x14ac:dyDescent="0.25">
      <c r="A1443" s="115"/>
      <c r="B1443" s="115"/>
      <c r="C1443" s="115"/>
      <c r="D1443" s="115"/>
      <c r="E1443" s="115"/>
      <c r="F1443" s="115"/>
      <c r="G1443" s="116"/>
      <c r="I1443" s="118"/>
      <c r="J1443" s="118"/>
      <c r="L1443" s="125"/>
    </row>
    <row r="1444" spans="1:12" x14ac:dyDescent="0.25">
      <c r="A1444" s="115"/>
      <c r="B1444" s="115"/>
      <c r="C1444" s="115"/>
      <c r="D1444" s="115"/>
      <c r="E1444" s="115"/>
      <c r="F1444" s="115"/>
      <c r="G1444" s="116"/>
      <c r="I1444" s="118"/>
      <c r="J1444" s="118"/>
      <c r="L1444" s="125"/>
    </row>
    <row r="1445" spans="1:12" x14ac:dyDescent="0.25">
      <c r="A1445" s="115"/>
      <c r="B1445" s="115"/>
      <c r="C1445" s="115"/>
      <c r="D1445" s="115"/>
      <c r="E1445" s="115"/>
      <c r="F1445" s="115"/>
      <c r="G1445" s="116"/>
      <c r="I1445" s="118"/>
      <c r="J1445" s="118"/>
      <c r="L1445" s="125"/>
    </row>
    <row r="1446" spans="1:12" x14ac:dyDescent="0.25">
      <c r="A1446" s="115"/>
      <c r="B1446" s="115"/>
      <c r="C1446" s="115"/>
      <c r="D1446" s="115"/>
      <c r="E1446" s="115"/>
      <c r="F1446" s="115"/>
      <c r="G1446" s="116"/>
      <c r="I1446" s="118"/>
      <c r="J1446" s="118"/>
      <c r="L1446" s="125"/>
    </row>
    <row r="1447" spans="1:12" x14ac:dyDescent="0.25">
      <c r="A1447" s="115"/>
      <c r="B1447" s="115"/>
      <c r="C1447" s="115"/>
      <c r="D1447" s="115"/>
      <c r="E1447" s="115"/>
      <c r="F1447" s="115"/>
      <c r="G1447" s="116"/>
      <c r="I1447" s="118"/>
      <c r="J1447" s="118"/>
      <c r="L1447" s="125"/>
    </row>
    <row r="1448" spans="1:12" x14ac:dyDescent="0.25">
      <c r="A1448" s="115"/>
      <c r="B1448" s="115"/>
      <c r="C1448" s="115"/>
      <c r="D1448" s="115"/>
      <c r="E1448" s="115"/>
      <c r="F1448" s="115"/>
      <c r="G1448" s="116"/>
      <c r="I1448" s="118"/>
      <c r="J1448" s="118"/>
      <c r="L1448" s="125"/>
    </row>
    <row r="1449" spans="1:12" x14ac:dyDescent="0.25">
      <c r="A1449" s="115"/>
      <c r="B1449" s="115"/>
      <c r="C1449" s="115"/>
      <c r="D1449" s="115"/>
      <c r="E1449" s="115"/>
      <c r="F1449" s="115"/>
      <c r="G1449" s="116"/>
      <c r="I1449" s="118"/>
      <c r="J1449" s="118"/>
      <c r="L1449" s="125"/>
    </row>
    <row r="1450" spans="1:12" x14ac:dyDescent="0.25">
      <c r="A1450" s="115"/>
      <c r="B1450" s="115"/>
      <c r="C1450" s="115"/>
      <c r="D1450" s="115"/>
      <c r="E1450" s="115"/>
      <c r="F1450" s="115"/>
      <c r="G1450" s="116"/>
      <c r="I1450" s="118"/>
      <c r="J1450" s="118"/>
      <c r="L1450" s="125"/>
    </row>
    <row r="1451" spans="1:12" x14ac:dyDescent="0.25">
      <c r="A1451" s="115"/>
      <c r="B1451" s="115"/>
      <c r="C1451" s="115"/>
      <c r="D1451" s="115"/>
      <c r="E1451" s="115"/>
      <c r="F1451" s="115"/>
      <c r="G1451" s="116"/>
      <c r="I1451" s="118"/>
      <c r="J1451" s="118"/>
      <c r="L1451" s="125"/>
    </row>
    <row r="1452" spans="1:12" x14ac:dyDescent="0.25">
      <c r="A1452" s="115"/>
      <c r="B1452" s="115"/>
      <c r="C1452" s="115"/>
      <c r="D1452" s="115"/>
      <c r="E1452" s="115"/>
      <c r="F1452" s="115"/>
      <c r="G1452" s="116"/>
      <c r="I1452" s="118"/>
      <c r="J1452" s="118"/>
      <c r="L1452" s="125"/>
    </row>
    <row r="1453" spans="1:12" x14ac:dyDescent="0.25">
      <c r="A1453" s="115"/>
      <c r="B1453" s="115"/>
      <c r="C1453" s="115"/>
      <c r="D1453" s="115"/>
      <c r="E1453" s="115"/>
      <c r="F1453" s="115"/>
      <c r="G1453" s="116"/>
      <c r="I1453" s="118"/>
      <c r="J1453" s="118"/>
      <c r="L1453" s="125"/>
    </row>
    <row r="1454" spans="1:12" x14ac:dyDescent="0.25">
      <c r="A1454" s="115"/>
      <c r="B1454" s="115"/>
      <c r="C1454" s="115"/>
      <c r="D1454" s="115"/>
      <c r="E1454" s="115"/>
      <c r="F1454" s="115"/>
      <c r="G1454" s="116"/>
      <c r="I1454" s="118"/>
      <c r="J1454" s="118"/>
      <c r="L1454" s="125"/>
    </row>
    <row r="1455" spans="1:12" x14ac:dyDescent="0.25">
      <c r="A1455" s="115"/>
      <c r="B1455" s="115"/>
      <c r="C1455" s="115"/>
      <c r="D1455" s="115"/>
      <c r="E1455" s="115"/>
      <c r="F1455" s="115"/>
      <c r="G1455" s="116"/>
      <c r="I1455" s="118"/>
      <c r="J1455" s="118"/>
      <c r="L1455" s="125"/>
    </row>
    <row r="1456" spans="1:12" x14ac:dyDescent="0.25">
      <c r="A1456" s="115"/>
      <c r="B1456" s="115"/>
      <c r="C1456" s="115"/>
      <c r="D1456" s="115"/>
      <c r="E1456" s="115"/>
      <c r="F1456" s="115"/>
      <c r="G1456" s="116"/>
      <c r="I1456" s="118"/>
      <c r="J1456" s="118"/>
      <c r="L1456" s="125"/>
    </row>
    <row r="1457" spans="1:12" x14ac:dyDescent="0.25">
      <c r="A1457" s="115"/>
      <c r="B1457" s="115"/>
      <c r="C1457" s="115"/>
      <c r="D1457" s="115"/>
      <c r="E1457" s="115"/>
      <c r="F1457" s="115"/>
      <c r="G1457" s="116"/>
      <c r="I1457" s="118"/>
      <c r="J1457" s="118"/>
      <c r="L1457" s="125"/>
    </row>
    <row r="1458" spans="1:12" x14ac:dyDescent="0.25">
      <c r="A1458" s="115"/>
      <c r="B1458" s="115"/>
      <c r="C1458" s="115"/>
      <c r="D1458" s="115"/>
      <c r="E1458" s="115"/>
      <c r="F1458" s="115"/>
      <c r="G1458" s="116"/>
      <c r="I1458" s="118"/>
      <c r="J1458" s="118"/>
      <c r="L1458" s="125"/>
    </row>
    <row r="1459" spans="1:12" x14ac:dyDescent="0.25">
      <c r="A1459" s="115"/>
      <c r="B1459" s="115"/>
      <c r="C1459" s="115"/>
      <c r="D1459" s="115"/>
      <c r="E1459" s="115"/>
      <c r="F1459" s="115"/>
      <c r="G1459" s="116"/>
      <c r="I1459" s="118"/>
      <c r="J1459" s="118"/>
      <c r="L1459" s="125"/>
    </row>
    <row r="1460" spans="1:12" x14ac:dyDescent="0.25">
      <c r="A1460" s="115"/>
      <c r="B1460" s="115"/>
      <c r="C1460" s="115"/>
      <c r="D1460" s="115"/>
      <c r="E1460" s="115"/>
      <c r="F1460" s="115"/>
      <c r="G1460" s="116"/>
      <c r="I1460" s="118"/>
      <c r="J1460" s="118"/>
      <c r="L1460" s="125"/>
    </row>
    <row r="1461" spans="1:12" x14ac:dyDescent="0.25">
      <c r="A1461" s="115"/>
      <c r="B1461" s="115"/>
      <c r="C1461" s="115"/>
      <c r="D1461" s="115"/>
      <c r="E1461" s="115"/>
      <c r="F1461" s="115"/>
      <c r="G1461" s="116"/>
      <c r="I1461" s="118"/>
      <c r="J1461" s="118"/>
      <c r="L1461" s="125"/>
    </row>
    <row r="1462" spans="1:12" x14ac:dyDescent="0.25">
      <c r="A1462" s="115"/>
      <c r="B1462" s="115"/>
      <c r="C1462" s="115"/>
      <c r="D1462" s="115"/>
      <c r="E1462" s="115"/>
      <c r="F1462" s="115"/>
      <c r="G1462" s="116"/>
      <c r="I1462" s="118"/>
      <c r="J1462" s="118"/>
      <c r="L1462" s="125"/>
    </row>
    <row r="1463" spans="1:12" x14ac:dyDescent="0.25">
      <c r="A1463" s="115"/>
      <c r="B1463" s="115"/>
      <c r="C1463" s="115"/>
      <c r="D1463" s="115"/>
      <c r="E1463" s="115"/>
      <c r="F1463" s="115"/>
      <c r="G1463" s="116"/>
      <c r="I1463" s="118"/>
      <c r="J1463" s="118"/>
      <c r="L1463" s="125"/>
    </row>
    <row r="1464" spans="1:12" x14ac:dyDescent="0.25">
      <c r="A1464" s="115"/>
      <c r="B1464" s="115"/>
      <c r="C1464" s="115"/>
      <c r="D1464" s="115"/>
      <c r="E1464" s="115"/>
      <c r="F1464" s="115"/>
      <c r="G1464" s="116"/>
      <c r="I1464" s="118"/>
      <c r="J1464" s="118"/>
      <c r="L1464" s="125"/>
    </row>
    <row r="1465" spans="1:12" x14ac:dyDescent="0.25">
      <c r="A1465" s="115"/>
      <c r="B1465" s="115"/>
      <c r="C1465" s="115"/>
      <c r="D1465" s="115"/>
      <c r="E1465" s="115"/>
      <c r="F1465" s="115"/>
      <c r="G1465" s="116"/>
      <c r="I1465" s="118"/>
      <c r="J1465" s="118"/>
      <c r="L1465" s="125"/>
    </row>
    <row r="1466" spans="1:12" x14ac:dyDescent="0.25">
      <c r="A1466" s="115"/>
      <c r="B1466" s="115"/>
      <c r="C1466" s="115"/>
      <c r="D1466" s="115"/>
      <c r="E1466" s="115"/>
      <c r="F1466" s="115"/>
      <c r="G1466" s="116"/>
      <c r="I1466" s="118"/>
      <c r="J1466" s="118"/>
      <c r="L1466" s="125"/>
    </row>
    <row r="1467" spans="1:12" x14ac:dyDescent="0.25">
      <c r="A1467" s="115"/>
      <c r="B1467" s="115"/>
      <c r="C1467" s="115"/>
      <c r="D1467" s="115"/>
      <c r="E1467" s="115"/>
      <c r="F1467" s="115"/>
      <c r="G1467" s="116"/>
      <c r="I1467" s="118"/>
      <c r="J1467" s="118"/>
      <c r="L1467" s="125"/>
    </row>
    <row r="1468" spans="1:12" x14ac:dyDescent="0.25">
      <c r="A1468" s="115"/>
      <c r="B1468" s="115"/>
      <c r="C1468" s="115"/>
      <c r="D1468" s="115"/>
      <c r="E1468" s="115"/>
      <c r="F1468" s="115"/>
      <c r="G1468" s="116"/>
      <c r="I1468" s="118"/>
      <c r="J1468" s="118"/>
      <c r="L1468" s="125"/>
    </row>
    <row r="1469" spans="1:12" x14ac:dyDescent="0.25">
      <c r="A1469" s="115"/>
      <c r="B1469" s="115"/>
      <c r="C1469" s="115"/>
      <c r="D1469" s="115"/>
      <c r="E1469" s="115"/>
      <c r="F1469" s="115"/>
      <c r="G1469" s="116"/>
      <c r="I1469" s="118"/>
      <c r="J1469" s="118"/>
      <c r="L1469" s="125"/>
    </row>
    <row r="1470" spans="1:12" x14ac:dyDescent="0.25">
      <c r="A1470" s="115"/>
      <c r="B1470" s="115"/>
      <c r="C1470" s="115"/>
      <c r="D1470" s="115"/>
      <c r="E1470" s="115"/>
      <c r="F1470" s="115"/>
      <c r="G1470" s="116"/>
      <c r="I1470" s="118"/>
      <c r="J1470" s="118"/>
      <c r="L1470" s="125"/>
    </row>
    <row r="1471" spans="1:12" x14ac:dyDescent="0.25">
      <c r="A1471" s="115"/>
      <c r="B1471" s="115"/>
      <c r="C1471" s="115"/>
      <c r="D1471" s="115"/>
      <c r="E1471" s="115"/>
      <c r="F1471" s="115"/>
      <c r="G1471" s="116"/>
      <c r="I1471" s="118"/>
      <c r="J1471" s="118"/>
      <c r="L1471" s="125"/>
    </row>
    <row r="1472" spans="1:12" x14ac:dyDescent="0.25">
      <c r="A1472" s="115"/>
      <c r="B1472" s="115"/>
      <c r="C1472" s="115"/>
      <c r="D1472" s="115"/>
      <c r="E1472" s="115"/>
      <c r="F1472" s="115"/>
      <c r="G1472" s="116"/>
      <c r="I1472" s="118"/>
      <c r="J1472" s="118"/>
      <c r="L1472" s="125"/>
    </row>
    <row r="1473" spans="1:12" x14ac:dyDescent="0.25">
      <c r="A1473" s="115"/>
      <c r="B1473" s="115"/>
      <c r="C1473" s="115"/>
      <c r="D1473" s="115"/>
      <c r="E1473" s="115"/>
      <c r="F1473" s="115"/>
      <c r="G1473" s="116"/>
      <c r="I1473" s="118"/>
      <c r="J1473" s="118"/>
      <c r="L1473" s="125"/>
    </row>
    <row r="1474" spans="1:12" x14ac:dyDescent="0.25">
      <c r="A1474" s="115"/>
      <c r="B1474" s="115"/>
      <c r="C1474" s="115"/>
      <c r="D1474" s="115"/>
      <c r="E1474" s="115"/>
      <c r="F1474" s="115"/>
      <c r="G1474" s="116"/>
      <c r="I1474" s="118"/>
      <c r="J1474" s="118"/>
      <c r="L1474" s="125"/>
    </row>
    <row r="1475" spans="1:12" x14ac:dyDescent="0.25">
      <c r="A1475" s="115"/>
      <c r="B1475" s="115"/>
      <c r="C1475" s="115"/>
      <c r="D1475" s="115"/>
      <c r="E1475" s="115"/>
      <c r="F1475" s="115"/>
      <c r="G1475" s="116"/>
      <c r="I1475" s="118"/>
      <c r="J1475" s="118"/>
      <c r="L1475" s="125"/>
    </row>
    <row r="1476" spans="1:12" x14ac:dyDescent="0.25">
      <c r="A1476" s="115"/>
      <c r="B1476" s="115"/>
      <c r="C1476" s="115"/>
      <c r="D1476" s="115"/>
      <c r="E1476" s="115"/>
      <c r="F1476" s="115"/>
      <c r="G1476" s="116"/>
      <c r="I1476" s="118"/>
      <c r="J1476" s="118"/>
      <c r="L1476" s="125"/>
    </row>
    <row r="1477" spans="1:12" x14ac:dyDescent="0.25">
      <c r="A1477" s="115"/>
      <c r="B1477" s="115"/>
      <c r="C1477" s="115"/>
      <c r="D1477" s="115"/>
      <c r="E1477" s="115"/>
      <c r="F1477" s="115"/>
      <c r="G1477" s="116"/>
      <c r="I1477" s="118"/>
      <c r="J1477" s="118"/>
      <c r="L1477" s="125"/>
    </row>
    <row r="1478" spans="1:12" x14ac:dyDescent="0.25">
      <c r="A1478" s="115"/>
      <c r="B1478" s="115"/>
      <c r="C1478" s="115"/>
      <c r="D1478" s="115"/>
      <c r="E1478" s="115"/>
      <c r="F1478" s="115"/>
      <c r="G1478" s="116"/>
      <c r="I1478" s="118"/>
      <c r="J1478" s="118"/>
      <c r="L1478" s="125"/>
    </row>
    <row r="1479" spans="1:12" x14ac:dyDescent="0.25">
      <c r="A1479" s="115"/>
      <c r="B1479" s="115"/>
      <c r="C1479" s="115"/>
      <c r="D1479" s="115"/>
      <c r="E1479" s="115"/>
      <c r="F1479" s="115"/>
      <c r="G1479" s="116"/>
      <c r="I1479" s="118"/>
      <c r="J1479" s="118"/>
      <c r="L1479" s="125"/>
    </row>
    <row r="1480" spans="1:12" x14ac:dyDescent="0.25">
      <c r="A1480" s="115"/>
      <c r="B1480" s="115"/>
      <c r="C1480" s="115"/>
      <c r="D1480" s="115"/>
      <c r="E1480" s="115"/>
      <c r="F1480" s="115"/>
      <c r="G1480" s="116"/>
      <c r="I1480" s="118"/>
      <c r="J1480" s="118"/>
      <c r="L1480" s="125"/>
    </row>
    <row r="1481" spans="1:12" x14ac:dyDescent="0.25">
      <c r="A1481" s="115"/>
      <c r="B1481" s="115"/>
      <c r="C1481" s="115"/>
      <c r="D1481" s="115"/>
      <c r="E1481" s="115"/>
      <c r="F1481" s="115"/>
      <c r="G1481" s="116"/>
      <c r="I1481" s="118"/>
      <c r="J1481" s="118"/>
      <c r="L1481" s="125"/>
    </row>
    <row r="1482" spans="1:12" x14ac:dyDescent="0.25">
      <c r="A1482" s="115"/>
      <c r="B1482" s="115"/>
      <c r="C1482" s="115"/>
      <c r="D1482" s="115"/>
      <c r="E1482" s="115"/>
      <c r="F1482" s="115"/>
      <c r="G1482" s="116"/>
      <c r="I1482" s="118"/>
      <c r="J1482" s="118"/>
      <c r="L1482" s="125"/>
    </row>
    <row r="1483" spans="1:12" x14ac:dyDescent="0.25">
      <c r="A1483" s="115"/>
      <c r="B1483" s="115"/>
      <c r="C1483" s="115"/>
      <c r="D1483" s="115"/>
      <c r="E1483" s="115"/>
      <c r="F1483" s="115"/>
      <c r="G1483" s="116"/>
      <c r="I1483" s="118"/>
      <c r="J1483" s="118"/>
      <c r="L1483" s="125"/>
    </row>
    <row r="1484" spans="1:12" x14ac:dyDescent="0.25">
      <c r="A1484" s="115"/>
      <c r="B1484" s="115"/>
      <c r="C1484" s="115"/>
      <c r="D1484" s="115"/>
      <c r="E1484" s="115"/>
      <c r="F1484" s="115"/>
      <c r="G1484" s="116"/>
      <c r="I1484" s="118"/>
      <c r="J1484" s="118"/>
      <c r="L1484" s="125"/>
    </row>
    <row r="1485" spans="1:12" x14ac:dyDescent="0.25">
      <c r="A1485" s="115"/>
      <c r="B1485" s="115"/>
      <c r="C1485" s="115"/>
      <c r="D1485" s="115"/>
      <c r="E1485" s="115"/>
      <c r="F1485" s="115"/>
      <c r="G1485" s="116"/>
      <c r="I1485" s="118"/>
      <c r="J1485" s="118"/>
      <c r="L1485" s="125"/>
    </row>
    <row r="1486" spans="1:12" x14ac:dyDescent="0.25">
      <c r="A1486" s="115"/>
      <c r="B1486" s="115"/>
      <c r="C1486" s="115"/>
      <c r="D1486" s="115"/>
      <c r="E1486" s="115"/>
      <c r="F1486" s="115"/>
      <c r="G1486" s="116"/>
      <c r="I1486" s="118"/>
      <c r="J1486" s="118"/>
      <c r="L1486" s="125"/>
    </row>
    <row r="1487" spans="1:12" x14ac:dyDescent="0.25">
      <c r="A1487" s="115"/>
      <c r="B1487" s="115"/>
      <c r="C1487" s="115"/>
      <c r="D1487" s="115"/>
      <c r="E1487" s="115"/>
      <c r="F1487" s="115"/>
      <c r="G1487" s="116"/>
      <c r="I1487" s="118"/>
      <c r="J1487" s="118"/>
      <c r="L1487" s="125"/>
    </row>
    <row r="1488" spans="1:12" x14ac:dyDescent="0.25">
      <c r="A1488" s="115"/>
      <c r="B1488" s="115"/>
      <c r="C1488" s="115"/>
      <c r="D1488" s="115"/>
      <c r="E1488" s="115"/>
      <c r="F1488" s="115"/>
      <c r="G1488" s="116"/>
      <c r="I1488" s="118"/>
      <c r="J1488" s="118"/>
      <c r="L1488" s="125"/>
    </row>
    <row r="1489" spans="1:12" x14ac:dyDescent="0.25">
      <c r="A1489" s="115"/>
      <c r="B1489" s="115"/>
      <c r="C1489" s="115"/>
      <c r="D1489" s="115"/>
      <c r="E1489" s="115"/>
      <c r="F1489" s="115"/>
      <c r="G1489" s="116"/>
      <c r="I1489" s="118"/>
      <c r="J1489" s="118"/>
      <c r="L1489" s="125"/>
    </row>
    <row r="1490" spans="1:12" x14ac:dyDescent="0.25">
      <c r="A1490" s="115"/>
      <c r="B1490" s="115"/>
      <c r="C1490" s="115"/>
      <c r="D1490" s="115"/>
      <c r="E1490" s="115"/>
      <c r="F1490" s="115"/>
      <c r="G1490" s="116"/>
      <c r="I1490" s="118"/>
      <c r="J1490" s="118"/>
      <c r="L1490" s="125"/>
    </row>
    <row r="1491" spans="1:12" x14ac:dyDescent="0.25">
      <c r="A1491" s="115"/>
      <c r="B1491" s="115"/>
      <c r="C1491" s="115"/>
      <c r="D1491" s="115"/>
      <c r="E1491" s="115"/>
      <c r="F1491" s="115"/>
      <c r="G1491" s="116"/>
      <c r="I1491" s="118"/>
      <c r="J1491" s="118"/>
      <c r="L1491" s="125"/>
    </row>
    <row r="1492" spans="1:12" x14ac:dyDescent="0.25">
      <c r="A1492" s="115"/>
      <c r="B1492" s="115"/>
      <c r="C1492" s="115"/>
      <c r="D1492" s="115"/>
      <c r="E1492" s="115"/>
      <c r="F1492" s="115"/>
      <c r="G1492" s="116"/>
      <c r="I1492" s="118"/>
      <c r="J1492" s="118"/>
      <c r="L1492" s="125"/>
    </row>
    <row r="1493" spans="1:12" x14ac:dyDescent="0.25">
      <c r="A1493" s="115"/>
      <c r="B1493" s="115"/>
      <c r="C1493" s="115"/>
      <c r="D1493" s="115"/>
      <c r="E1493" s="115"/>
      <c r="F1493" s="115"/>
      <c r="G1493" s="116"/>
      <c r="I1493" s="118"/>
      <c r="J1493" s="118"/>
      <c r="L1493" s="125"/>
    </row>
    <row r="1494" spans="1:12" x14ac:dyDescent="0.25">
      <c r="A1494" s="115"/>
      <c r="B1494" s="115"/>
      <c r="C1494" s="115"/>
      <c r="D1494" s="115"/>
      <c r="E1494" s="115"/>
      <c r="F1494" s="115"/>
      <c r="G1494" s="116"/>
      <c r="I1494" s="118"/>
      <c r="J1494" s="118"/>
      <c r="L1494" s="125"/>
    </row>
    <row r="1495" spans="1:12" x14ac:dyDescent="0.25">
      <c r="A1495" s="115"/>
      <c r="B1495" s="115"/>
      <c r="C1495" s="115"/>
      <c r="D1495" s="115"/>
      <c r="E1495" s="115"/>
      <c r="F1495" s="115"/>
      <c r="G1495" s="116"/>
      <c r="I1495" s="118"/>
      <c r="J1495" s="118"/>
      <c r="L1495" s="125"/>
    </row>
    <row r="1496" spans="1:12" x14ac:dyDescent="0.25">
      <c r="A1496" s="115"/>
      <c r="B1496" s="115"/>
      <c r="C1496" s="115"/>
      <c r="D1496" s="115"/>
      <c r="E1496" s="115"/>
      <c r="F1496" s="115"/>
      <c r="G1496" s="116"/>
      <c r="I1496" s="118"/>
      <c r="J1496" s="118"/>
      <c r="L1496" s="125"/>
    </row>
    <row r="1497" spans="1:12" x14ac:dyDescent="0.25">
      <c r="A1497" s="115"/>
      <c r="B1497" s="115"/>
      <c r="C1497" s="115"/>
      <c r="D1497" s="115"/>
      <c r="E1497" s="115"/>
      <c r="F1497" s="115"/>
      <c r="G1497" s="116"/>
      <c r="I1497" s="118"/>
      <c r="J1497" s="118"/>
      <c r="L1497" s="125"/>
    </row>
    <row r="1498" spans="1:12" x14ac:dyDescent="0.25">
      <c r="A1498" s="115"/>
      <c r="B1498" s="115"/>
      <c r="C1498" s="115"/>
      <c r="D1498" s="115"/>
      <c r="E1498" s="115"/>
      <c r="F1498" s="115"/>
      <c r="G1498" s="116"/>
      <c r="I1498" s="118"/>
      <c r="J1498" s="118"/>
      <c r="L1498" s="125"/>
    </row>
    <row r="1499" spans="1:12" x14ac:dyDescent="0.25">
      <c r="A1499" s="115"/>
      <c r="B1499" s="115"/>
      <c r="C1499" s="115"/>
      <c r="D1499" s="115"/>
      <c r="E1499" s="115"/>
      <c r="F1499" s="115"/>
      <c r="G1499" s="116"/>
      <c r="I1499" s="118"/>
      <c r="J1499" s="118"/>
      <c r="L1499" s="125"/>
    </row>
    <row r="1500" spans="1:12" x14ac:dyDescent="0.25">
      <c r="A1500" s="115"/>
      <c r="B1500" s="115"/>
      <c r="C1500" s="115"/>
      <c r="D1500" s="115"/>
      <c r="E1500" s="115"/>
      <c r="F1500" s="115"/>
      <c r="G1500" s="116"/>
      <c r="I1500" s="118"/>
      <c r="J1500" s="118"/>
      <c r="L1500" s="125"/>
    </row>
    <row r="1501" spans="1:12" x14ac:dyDescent="0.25">
      <c r="A1501" s="115"/>
      <c r="B1501" s="115"/>
      <c r="C1501" s="115"/>
      <c r="D1501" s="115"/>
      <c r="E1501" s="115"/>
      <c r="F1501" s="115"/>
      <c r="G1501" s="116"/>
      <c r="I1501" s="118"/>
      <c r="J1501" s="118"/>
      <c r="L1501" s="125"/>
    </row>
    <row r="1502" spans="1:12" x14ac:dyDescent="0.25">
      <c r="A1502" s="115"/>
      <c r="B1502" s="115"/>
      <c r="C1502" s="115"/>
      <c r="D1502" s="115"/>
      <c r="E1502" s="115"/>
      <c r="F1502" s="115"/>
      <c r="G1502" s="116"/>
      <c r="I1502" s="118"/>
      <c r="J1502" s="118"/>
      <c r="L1502" s="125"/>
    </row>
    <row r="1503" spans="1:12" x14ac:dyDescent="0.25">
      <c r="A1503" s="115"/>
      <c r="B1503" s="115"/>
      <c r="C1503" s="115"/>
      <c r="D1503" s="115"/>
      <c r="E1503" s="115"/>
      <c r="F1503" s="115"/>
      <c r="G1503" s="116"/>
      <c r="I1503" s="118"/>
      <c r="J1503" s="118"/>
      <c r="L1503" s="125"/>
    </row>
    <row r="1504" spans="1:12" x14ac:dyDescent="0.25">
      <c r="A1504" s="115"/>
      <c r="B1504" s="115"/>
      <c r="C1504" s="115"/>
      <c r="D1504" s="115"/>
      <c r="E1504" s="115"/>
      <c r="F1504" s="115"/>
      <c r="G1504" s="116"/>
      <c r="I1504" s="118"/>
      <c r="J1504" s="118"/>
      <c r="L1504" s="125"/>
    </row>
    <row r="1505" spans="1:12" x14ac:dyDescent="0.25">
      <c r="A1505" s="115"/>
      <c r="B1505" s="115"/>
      <c r="C1505" s="115"/>
      <c r="D1505" s="115"/>
      <c r="E1505" s="115"/>
      <c r="F1505" s="115"/>
      <c r="G1505" s="116"/>
      <c r="I1505" s="118"/>
      <c r="J1505" s="118"/>
      <c r="L1505" s="125"/>
    </row>
    <row r="1506" spans="1:12" x14ac:dyDescent="0.25">
      <c r="A1506" s="115"/>
      <c r="B1506" s="115"/>
      <c r="C1506" s="115"/>
      <c r="D1506" s="115"/>
      <c r="E1506" s="115"/>
      <c r="F1506" s="115"/>
      <c r="G1506" s="116"/>
      <c r="I1506" s="118"/>
      <c r="J1506" s="118"/>
      <c r="L1506" s="125"/>
    </row>
    <row r="1507" spans="1:12" x14ac:dyDescent="0.25">
      <c r="A1507" s="115"/>
      <c r="B1507" s="115"/>
      <c r="C1507" s="115"/>
      <c r="D1507" s="115"/>
      <c r="E1507" s="115"/>
      <c r="F1507" s="115"/>
      <c r="G1507" s="116"/>
      <c r="I1507" s="118"/>
      <c r="J1507" s="118"/>
      <c r="L1507" s="125"/>
    </row>
    <row r="1508" spans="1:12" x14ac:dyDescent="0.25">
      <c r="A1508" s="115"/>
      <c r="B1508" s="115"/>
      <c r="C1508" s="115"/>
      <c r="D1508" s="115"/>
      <c r="E1508" s="115"/>
      <c r="F1508" s="115"/>
      <c r="G1508" s="116"/>
      <c r="I1508" s="118"/>
      <c r="J1508" s="118"/>
      <c r="L1508" s="125"/>
    </row>
    <row r="1509" spans="1:12" x14ac:dyDescent="0.25">
      <c r="A1509" s="115"/>
      <c r="B1509" s="115"/>
      <c r="C1509" s="115"/>
      <c r="D1509" s="115"/>
      <c r="E1509" s="115"/>
      <c r="F1509" s="115"/>
      <c r="G1509" s="116"/>
      <c r="I1509" s="118"/>
      <c r="J1509" s="118"/>
      <c r="L1509" s="125"/>
    </row>
    <row r="1510" spans="1:12" x14ac:dyDescent="0.25">
      <c r="A1510" s="115"/>
      <c r="B1510" s="115"/>
      <c r="C1510" s="115"/>
      <c r="D1510" s="115"/>
      <c r="E1510" s="115"/>
      <c r="F1510" s="115"/>
      <c r="G1510" s="116"/>
      <c r="I1510" s="118"/>
      <c r="J1510" s="118"/>
      <c r="L1510" s="125"/>
    </row>
    <row r="1511" spans="1:12" x14ac:dyDescent="0.25">
      <c r="A1511" s="115"/>
      <c r="B1511" s="115"/>
      <c r="C1511" s="115"/>
      <c r="D1511" s="115"/>
      <c r="E1511" s="115"/>
      <c r="F1511" s="115"/>
      <c r="G1511" s="116"/>
      <c r="I1511" s="118"/>
      <c r="J1511" s="118"/>
      <c r="L1511" s="125"/>
    </row>
    <row r="1512" spans="1:12" x14ac:dyDescent="0.25">
      <c r="A1512" s="115"/>
      <c r="B1512" s="115"/>
      <c r="C1512" s="115"/>
      <c r="D1512" s="115"/>
      <c r="E1512" s="115"/>
      <c r="F1512" s="115"/>
      <c r="G1512" s="116"/>
      <c r="I1512" s="118"/>
      <c r="J1512" s="118"/>
      <c r="L1512" s="125"/>
    </row>
    <row r="1513" spans="1:12" x14ac:dyDescent="0.25">
      <c r="A1513" s="115"/>
      <c r="B1513" s="115"/>
      <c r="C1513" s="115"/>
      <c r="D1513" s="115"/>
      <c r="E1513" s="115"/>
      <c r="F1513" s="115"/>
      <c r="G1513" s="116"/>
      <c r="I1513" s="118"/>
      <c r="J1513" s="118"/>
      <c r="L1513" s="125"/>
    </row>
    <row r="1514" spans="1:12" x14ac:dyDescent="0.25">
      <c r="A1514" s="115"/>
      <c r="B1514" s="115"/>
      <c r="C1514" s="115"/>
      <c r="D1514" s="115"/>
      <c r="E1514" s="115"/>
      <c r="F1514" s="115"/>
      <c r="G1514" s="116"/>
      <c r="I1514" s="118"/>
      <c r="J1514" s="118"/>
      <c r="L1514" s="125"/>
    </row>
    <row r="1515" spans="1:12" x14ac:dyDescent="0.25">
      <c r="A1515" s="115"/>
      <c r="B1515" s="115"/>
      <c r="C1515" s="115"/>
      <c r="D1515" s="115"/>
      <c r="E1515" s="115"/>
      <c r="F1515" s="115"/>
      <c r="G1515" s="116"/>
      <c r="I1515" s="118"/>
      <c r="J1515" s="118"/>
      <c r="L1515" s="125"/>
    </row>
    <row r="1516" spans="1:12" x14ac:dyDescent="0.25">
      <c r="A1516" s="115"/>
      <c r="B1516" s="115"/>
      <c r="C1516" s="115"/>
      <c r="D1516" s="115"/>
      <c r="E1516" s="115"/>
      <c r="F1516" s="115"/>
      <c r="G1516" s="116"/>
      <c r="I1516" s="118"/>
      <c r="J1516" s="118"/>
      <c r="L1516" s="125"/>
    </row>
    <row r="1517" spans="1:12" x14ac:dyDescent="0.25">
      <c r="A1517" s="115"/>
      <c r="B1517" s="115"/>
      <c r="C1517" s="115"/>
      <c r="D1517" s="115"/>
      <c r="E1517" s="115"/>
      <c r="F1517" s="115"/>
      <c r="G1517" s="116"/>
      <c r="I1517" s="118"/>
      <c r="J1517" s="118"/>
      <c r="L1517" s="125"/>
    </row>
    <row r="1518" spans="1:12" x14ac:dyDescent="0.25">
      <c r="A1518" s="115"/>
      <c r="B1518" s="115"/>
      <c r="C1518" s="115"/>
      <c r="D1518" s="115"/>
      <c r="E1518" s="115"/>
      <c r="F1518" s="115"/>
      <c r="G1518" s="116"/>
      <c r="I1518" s="118"/>
      <c r="J1518" s="118"/>
      <c r="L1518" s="125"/>
    </row>
    <row r="1519" spans="1:12" x14ac:dyDescent="0.25">
      <c r="A1519" s="115"/>
      <c r="B1519" s="115"/>
      <c r="C1519" s="115"/>
      <c r="D1519" s="115"/>
      <c r="E1519" s="115"/>
      <c r="F1519" s="115"/>
      <c r="G1519" s="116"/>
      <c r="I1519" s="118"/>
      <c r="J1519" s="118"/>
      <c r="L1519" s="125"/>
    </row>
    <row r="1520" spans="1:12" x14ac:dyDescent="0.25">
      <c r="A1520" s="115"/>
      <c r="B1520" s="115"/>
      <c r="C1520" s="115"/>
      <c r="D1520" s="115"/>
      <c r="E1520" s="115"/>
      <c r="F1520" s="115"/>
      <c r="G1520" s="116"/>
      <c r="I1520" s="118"/>
      <c r="J1520" s="118"/>
      <c r="L1520" s="125"/>
    </row>
    <row r="1521" spans="1:12" x14ac:dyDescent="0.25">
      <c r="A1521" s="115"/>
      <c r="B1521" s="115"/>
      <c r="C1521" s="115"/>
      <c r="D1521" s="115"/>
      <c r="E1521" s="115"/>
      <c r="F1521" s="115"/>
      <c r="G1521" s="116"/>
      <c r="I1521" s="118"/>
      <c r="J1521" s="118"/>
      <c r="L1521" s="125"/>
    </row>
    <row r="1522" spans="1:12" x14ac:dyDescent="0.25">
      <c r="A1522" s="115"/>
      <c r="B1522" s="115"/>
      <c r="C1522" s="115"/>
      <c r="D1522" s="115"/>
      <c r="E1522" s="115"/>
      <c r="F1522" s="115"/>
      <c r="G1522" s="116"/>
      <c r="I1522" s="118"/>
      <c r="J1522" s="118"/>
      <c r="L1522" s="125"/>
    </row>
    <row r="1523" spans="1:12" x14ac:dyDescent="0.25">
      <c r="A1523" s="115"/>
      <c r="B1523" s="115"/>
      <c r="C1523" s="115"/>
      <c r="D1523" s="115"/>
      <c r="E1523" s="115"/>
      <c r="F1523" s="115"/>
      <c r="G1523" s="116"/>
      <c r="I1523" s="118"/>
      <c r="J1523" s="118"/>
      <c r="L1523" s="125"/>
    </row>
    <row r="1524" spans="1:12" x14ac:dyDescent="0.25">
      <c r="A1524" s="115"/>
      <c r="B1524" s="115"/>
      <c r="C1524" s="115"/>
      <c r="D1524" s="115"/>
      <c r="E1524" s="115"/>
      <c r="F1524" s="115"/>
      <c r="G1524" s="116"/>
      <c r="I1524" s="118"/>
      <c r="J1524" s="118"/>
      <c r="L1524" s="125"/>
    </row>
    <row r="1525" spans="1:12" x14ac:dyDescent="0.25">
      <c r="A1525" s="115"/>
      <c r="B1525" s="115"/>
      <c r="C1525" s="115"/>
      <c r="D1525" s="115"/>
      <c r="E1525" s="115"/>
      <c r="F1525" s="115"/>
      <c r="G1525" s="116"/>
      <c r="I1525" s="118"/>
      <c r="J1525" s="118"/>
      <c r="L1525" s="125"/>
    </row>
    <row r="1526" spans="1:12" x14ac:dyDescent="0.25">
      <c r="A1526" s="115"/>
      <c r="B1526" s="115"/>
      <c r="C1526" s="115"/>
      <c r="D1526" s="115"/>
      <c r="E1526" s="115"/>
      <c r="F1526" s="115"/>
      <c r="G1526" s="116"/>
      <c r="I1526" s="118"/>
      <c r="J1526" s="118"/>
      <c r="L1526" s="125"/>
    </row>
    <row r="1527" spans="1:12" x14ac:dyDescent="0.25">
      <c r="A1527" s="115"/>
      <c r="B1527" s="115"/>
      <c r="C1527" s="115"/>
      <c r="D1527" s="115"/>
      <c r="E1527" s="115"/>
      <c r="F1527" s="115"/>
      <c r="G1527" s="116"/>
      <c r="I1527" s="118"/>
      <c r="J1527" s="118"/>
      <c r="L1527" s="125"/>
    </row>
    <row r="1528" spans="1:12" x14ac:dyDescent="0.25">
      <c r="A1528" s="115"/>
      <c r="B1528" s="115"/>
      <c r="C1528" s="115"/>
      <c r="D1528" s="115"/>
      <c r="E1528" s="115"/>
      <c r="F1528" s="115"/>
      <c r="G1528" s="116"/>
      <c r="I1528" s="118"/>
      <c r="J1528" s="118"/>
      <c r="L1528" s="125"/>
    </row>
    <row r="1529" spans="1:12" x14ac:dyDescent="0.25">
      <c r="A1529" s="115"/>
      <c r="B1529" s="115"/>
      <c r="C1529" s="115"/>
      <c r="D1529" s="115"/>
      <c r="E1529" s="115"/>
      <c r="F1529" s="115"/>
      <c r="G1529" s="116"/>
      <c r="I1529" s="118"/>
      <c r="J1529" s="118"/>
      <c r="L1529" s="125"/>
    </row>
    <row r="1530" spans="1:12" x14ac:dyDescent="0.25">
      <c r="A1530" s="115"/>
      <c r="B1530" s="115"/>
      <c r="C1530" s="115"/>
      <c r="D1530" s="115"/>
      <c r="E1530" s="115"/>
      <c r="F1530" s="115"/>
      <c r="G1530" s="116"/>
      <c r="I1530" s="118"/>
      <c r="J1530" s="118"/>
      <c r="L1530" s="125"/>
    </row>
    <row r="1531" spans="1:12" x14ac:dyDescent="0.25">
      <c r="A1531" s="115"/>
      <c r="B1531" s="115"/>
      <c r="C1531" s="115"/>
      <c r="D1531" s="115"/>
      <c r="E1531" s="115"/>
      <c r="F1531" s="115"/>
      <c r="G1531" s="116"/>
      <c r="I1531" s="118"/>
      <c r="J1531" s="118"/>
      <c r="L1531" s="125"/>
    </row>
    <row r="1532" spans="1:12" x14ac:dyDescent="0.25">
      <c r="A1532" s="115"/>
      <c r="B1532" s="115"/>
      <c r="C1532" s="115"/>
      <c r="D1532" s="115"/>
      <c r="E1532" s="115"/>
      <c r="F1532" s="115"/>
      <c r="G1532" s="116"/>
      <c r="I1532" s="118"/>
      <c r="J1532" s="118"/>
      <c r="L1532" s="125"/>
    </row>
    <row r="1533" spans="1:12" x14ac:dyDescent="0.25">
      <c r="A1533" s="115"/>
      <c r="B1533" s="115"/>
      <c r="C1533" s="115"/>
      <c r="D1533" s="115"/>
      <c r="E1533" s="115"/>
      <c r="F1533" s="115"/>
      <c r="G1533" s="116"/>
      <c r="I1533" s="118"/>
      <c r="J1533" s="118"/>
      <c r="L1533" s="125"/>
    </row>
    <row r="1534" spans="1:12" x14ac:dyDescent="0.25">
      <c r="A1534" s="115"/>
      <c r="B1534" s="115"/>
      <c r="C1534" s="115"/>
      <c r="D1534" s="115"/>
      <c r="E1534" s="115"/>
      <c r="F1534" s="115"/>
      <c r="G1534" s="116"/>
      <c r="I1534" s="118"/>
      <c r="J1534" s="118"/>
      <c r="L1534" s="125"/>
    </row>
    <row r="1535" spans="1:12" x14ac:dyDescent="0.25">
      <c r="A1535" s="115"/>
      <c r="B1535" s="115"/>
      <c r="C1535" s="115"/>
      <c r="D1535" s="115"/>
      <c r="E1535" s="115"/>
      <c r="F1535" s="115"/>
      <c r="G1535" s="116"/>
      <c r="I1535" s="118"/>
      <c r="J1535" s="118"/>
      <c r="L1535" s="125"/>
    </row>
    <row r="1536" spans="1:12" x14ac:dyDescent="0.25">
      <c r="A1536" s="115"/>
      <c r="B1536" s="115"/>
      <c r="C1536" s="115"/>
      <c r="D1536" s="115"/>
      <c r="E1536" s="115"/>
      <c r="F1536" s="115"/>
      <c r="G1536" s="116"/>
      <c r="I1536" s="118"/>
      <c r="J1536" s="118"/>
      <c r="L1536" s="125"/>
    </row>
    <row r="1537" spans="1:12" x14ac:dyDescent="0.25">
      <c r="A1537" s="115"/>
      <c r="B1537" s="115"/>
      <c r="C1537" s="115"/>
      <c r="D1537" s="115"/>
      <c r="E1537" s="115"/>
      <c r="F1537" s="115"/>
      <c r="G1537" s="116"/>
      <c r="I1537" s="118"/>
      <c r="J1537" s="118"/>
      <c r="L1537" s="125"/>
    </row>
    <row r="1538" spans="1:12" x14ac:dyDescent="0.25">
      <c r="A1538" s="115"/>
      <c r="B1538" s="115"/>
      <c r="C1538" s="115"/>
      <c r="D1538" s="115"/>
      <c r="E1538" s="115"/>
      <c r="F1538" s="115"/>
      <c r="G1538" s="116"/>
      <c r="I1538" s="118"/>
      <c r="J1538" s="118"/>
      <c r="L1538" s="125"/>
    </row>
    <row r="1539" spans="1:12" x14ac:dyDescent="0.25">
      <c r="A1539" s="115"/>
      <c r="B1539" s="115"/>
      <c r="C1539" s="115"/>
      <c r="D1539" s="115"/>
      <c r="E1539" s="115"/>
      <c r="F1539" s="115"/>
      <c r="G1539" s="116"/>
      <c r="I1539" s="118"/>
      <c r="J1539" s="118"/>
      <c r="L1539" s="125"/>
    </row>
    <row r="1540" spans="1:12" x14ac:dyDescent="0.25">
      <c r="A1540" s="115"/>
      <c r="B1540" s="115"/>
      <c r="C1540" s="115"/>
      <c r="D1540" s="115"/>
      <c r="E1540" s="115"/>
      <c r="F1540" s="115"/>
      <c r="G1540" s="116"/>
      <c r="I1540" s="118"/>
      <c r="J1540" s="118"/>
      <c r="L1540" s="125"/>
    </row>
    <row r="1541" spans="1:12" x14ac:dyDescent="0.25">
      <c r="A1541" s="115"/>
      <c r="B1541" s="115"/>
      <c r="C1541" s="115"/>
      <c r="D1541" s="115"/>
      <c r="E1541" s="115"/>
      <c r="F1541" s="115"/>
      <c r="G1541" s="116"/>
      <c r="I1541" s="118"/>
      <c r="J1541" s="118"/>
      <c r="L1541" s="125"/>
    </row>
    <row r="1542" spans="1:12" x14ac:dyDescent="0.25">
      <c r="A1542" s="115"/>
      <c r="B1542" s="115"/>
      <c r="C1542" s="115"/>
      <c r="D1542" s="115"/>
      <c r="E1542" s="115"/>
      <c r="F1542" s="115"/>
      <c r="G1542" s="116"/>
      <c r="I1542" s="118"/>
      <c r="J1542" s="118"/>
      <c r="L1542" s="125"/>
    </row>
    <row r="1543" spans="1:12" x14ac:dyDescent="0.25">
      <c r="A1543" s="115"/>
      <c r="B1543" s="115"/>
      <c r="C1543" s="115"/>
      <c r="D1543" s="115"/>
      <c r="E1543" s="115"/>
      <c r="F1543" s="115"/>
      <c r="G1543" s="116"/>
      <c r="I1543" s="118"/>
      <c r="J1543" s="118"/>
      <c r="L1543" s="125"/>
    </row>
    <row r="1544" spans="1:12" x14ac:dyDescent="0.25">
      <c r="A1544" s="115"/>
      <c r="B1544" s="115"/>
      <c r="C1544" s="115"/>
      <c r="D1544" s="115"/>
      <c r="E1544" s="115"/>
      <c r="F1544" s="115"/>
      <c r="G1544" s="116"/>
      <c r="I1544" s="118"/>
      <c r="J1544" s="118"/>
      <c r="L1544" s="125"/>
    </row>
    <row r="1545" spans="1:12" x14ac:dyDescent="0.25">
      <c r="A1545" s="115"/>
      <c r="B1545" s="115"/>
      <c r="C1545" s="115"/>
      <c r="D1545" s="115"/>
      <c r="E1545" s="115"/>
      <c r="F1545" s="115"/>
      <c r="G1545" s="116"/>
      <c r="I1545" s="118"/>
      <c r="J1545" s="118"/>
      <c r="L1545" s="125"/>
    </row>
    <row r="1546" spans="1:12" x14ac:dyDescent="0.25">
      <c r="A1546" s="115"/>
      <c r="B1546" s="115"/>
      <c r="C1546" s="115"/>
      <c r="D1546" s="115"/>
      <c r="E1546" s="115"/>
      <c r="F1546" s="115"/>
      <c r="G1546" s="116"/>
      <c r="I1546" s="118"/>
      <c r="J1546" s="118"/>
      <c r="L1546" s="125"/>
    </row>
    <row r="1547" spans="1:12" x14ac:dyDescent="0.25">
      <c r="A1547" s="115"/>
      <c r="B1547" s="115"/>
      <c r="C1547" s="115"/>
      <c r="D1547" s="115"/>
      <c r="E1547" s="115"/>
      <c r="F1547" s="115"/>
      <c r="G1547" s="116"/>
      <c r="I1547" s="118"/>
      <c r="J1547" s="118"/>
      <c r="L1547" s="125"/>
    </row>
    <row r="1548" spans="1:12" x14ac:dyDescent="0.25">
      <c r="A1548" s="115"/>
      <c r="B1548" s="115"/>
      <c r="C1548" s="115"/>
      <c r="D1548" s="115"/>
      <c r="E1548" s="115"/>
      <c r="F1548" s="115"/>
      <c r="G1548" s="116"/>
      <c r="I1548" s="118"/>
      <c r="J1548" s="118"/>
      <c r="L1548" s="125"/>
    </row>
    <row r="1549" spans="1:12" x14ac:dyDescent="0.25">
      <c r="A1549" s="115"/>
      <c r="B1549" s="115"/>
      <c r="C1549" s="115"/>
      <c r="D1549" s="115"/>
      <c r="E1549" s="115"/>
      <c r="F1549" s="115"/>
      <c r="G1549" s="116"/>
      <c r="I1549" s="118"/>
      <c r="J1549" s="118"/>
      <c r="L1549" s="125"/>
    </row>
    <row r="1550" spans="1:12" x14ac:dyDescent="0.25">
      <c r="A1550" s="115"/>
      <c r="B1550" s="115"/>
      <c r="C1550" s="115"/>
      <c r="D1550" s="115"/>
      <c r="E1550" s="115"/>
      <c r="F1550" s="115"/>
      <c r="G1550" s="116"/>
      <c r="I1550" s="118"/>
      <c r="J1550" s="118"/>
      <c r="L1550" s="125"/>
    </row>
    <row r="1551" spans="1:12" x14ac:dyDescent="0.25">
      <c r="A1551" s="115"/>
      <c r="B1551" s="115"/>
      <c r="C1551" s="115"/>
      <c r="D1551" s="115"/>
      <c r="E1551" s="115"/>
      <c r="F1551" s="115"/>
      <c r="G1551" s="116"/>
      <c r="I1551" s="118"/>
      <c r="J1551" s="118"/>
      <c r="L1551" s="125"/>
    </row>
    <row r="1552" spans="1:12" x14ac:dyDescent="0.25">
      <c r="A1552" s="115"/>
      <c r="B1552" s="115"/>
      <c r="C1552" s="115"/>
      <c r="D1552" s="115"/>
      <c r="E1552" s="115"/>
      <c r="F1552" s="115"/>
      <c r="G1552" s="116"/>
      <c r="I1552" s="118"/>
      <c r="J1552" s="118"/>
      <c r="L1552" s="125"/>
    </row>
    <row r="1553" spans="1:12" x14ac:dyDescent="0.25">
      <c r="A1553" s="115"/>
      <c r="B1553" s="115"/>
      <c r="C1553" s="115"/>
      <c r="D1553" s="115"/>
      <c r="E1553" s="115"/>
      <c r="F1553" s="115"/>
      <c r="G1553" s="116"/>
      <c r="I1553" s="118"/>
      <c r="J1553" s="118"/>
      <c r="L1553" s="125"/>
    </row>
    <row r="1554" spans="1:12" x14ac:dyDescent="0.25">
      <c r="A1554" s="115"/>
      <c r="B1554" s="115"/>
      <c r="C1554" s="115"/>
      <c r="D1554" s="115"/>
      <c r="E1554" s="115"/>
      <c r="F1554" s="115"/>
      <c r="G1554" s="116"/>
      <c r="I1554" s="118"/>
      <c r="J1554" s="118"/>
      <c r="L1554" s="125"/>
    </row>
    <row r="1555" spans="1:12" x14ac:dyDescent="0.25">
      <c r="A1555" s="115"/>
      <c r="B1555" s="115"/>
      <c r="C1555" s="115"/>
      <c r="D1555" s="115"/>
      <c r="E1555" s="115"/>
      <c r="F1555" s="115"/>
      <c r="G1555" s="116"/>
      <c r="I1555" s="118"/>
      <c r="J1555" s="118"/>
      <c r="L1555" s="125"/>
    </row>
    <row r="1556" spans="1:12" x14ac:dyDescent="0.25">
      <c r="A1556" s="115"/>
      <c r="B1556" s="115"/>
      <c r="C1556" s="115"/>
      <c r="D1556" s="115"/>
      <c r="E1556" s="115"/>
      <c r="F1556" s="115"/>
      <c r="G1556" s="116"/>
      <c r="I1556" s="118"/>
      <c r="J1556" s="118"/>
      <c r="L1556" s="125"/>
    </row>
    <row r="1557" spans="1:12" x14ac:dyDescent="0.25">
      <c r="A1557" s="115"/>
      <c r="B1557" s="115"/>
      <c r="C1557" s="115"/>
      <c r="D1557" s="115"/>
      <c r="E1557" s="115"/>
      <c r="F1557" s="115"/>
      <c r="G1557" s="116"/>
      <c r="I1557" s="118"/>
      <c r="J1557" s="118"/>
      <c r="L1557" s="125"/>
    </row>
    <row r="1558" spans="1:12" x14ac:dyDescent="0.25">
      <c r="A1558" s="115"/>
      <c r="B1558" s="115"/>
      <c r="C1558" s="115"/>
      <c r="D1558" s="115"/>
      <c r="E1558" s="115"/>
      <c r="F1558" s="115"/>
      <c r="G1558" s="116"/>
      <c r="I1558" s="118"/>
      <c r="J1558" s="118"/>
      <c r="L1558" s="125"/>
    </row>
    <row r="1559" spans="1:12" x14ac:dyDescent="0.25">
      <c r="A1559" s="115"/>
      <c r="B1559" s="115"/>
      <c r="C1559" s="115"/>
      <c r="D1559" s="115"/>
      <c r="E1559" s="115"/>
      <c r="F1559" s="115"/>
      <c r="G1559" s="116"/>
      <c r="I1559" s="118"/>
      <c r="J1559" s="118"/>
      <c r="L1559" s="125"/>
    </row>
    <row r="1560" spans="1:12" x14ac:dyDescent="0.25">
      <c r="A1560" s="115"/>
      <c r="B1560" s="115"/>
      <c r="C1560" s="115"/>
      <c r="D1560" s="115"/>
      <c r="E1560" s="115"/>
      <c r="F1560" s="115"/>
      <c r="G1560" s="116"/>
      <c r="I1560" s="118"/>
      <c r="J1560" s="118"/>
      <c r="L1560" s="125"/>
    </row>
    <row r="1561" spans="1:12" x14ac:dyDescent="0.25">
      <c r="A1561" s="115"/>
      <c r="B1561" s="115"/>
      <c r="C1561" s="115"/>
      <c r="D1561" s="115"/>
      <c r="E1561" s="115"/>
      <c r="F1561" s="115"/>
      <c r="G1561" s="116"/>
      <c r="I1561" s="118"/>
      <c r="J1561" s="118"/>
      <c r="L1561" s="125"/>
    </row>
    <row r="1562" spans="1:12" x14ac:dyDescent="0.25">
      <c r="A1562" s="115"/>
      <c r="B1562" s="115"/>
      <c r="C1562" s="115"/>
      <c r="D1562" s="115"/>
      <c r="E1562" s="115"/>
      <c r="F1562" s="115"/>
      <c r="G1562" s="116"/>
      <c r="I1562" s="118"/>
      <c r="J1562" s="118"/>
      <c r="L1562" s="125"/>
    </row>
    <row r="1563" spans="1:12" x14ac:dyDescent="0.25">
      <c r="A1563" s="115"/>
      <c r="B1563" s="115"/>
      <c r="C1563" s="115"/>
      <c r="D1563" s="115"/>
      <c r="E1563" s="115"/>
      <c r="F1563" s="115"/>
      <c r="G1563" s="116"/>
      <c r="I1563" s="118"/>
      <c r="J1563" s="118"/>
      <c r="L1563" s="125"/>
    </row>
    <row r="1564" spans="1:12" x14ac:dyDescent="0.25">
      <c r="A1564" s="115"/>
      <c r="B1564" s="115"/>
      <c r="C1564" s="115"/>
      <c r="D1564" s="115"/>
      <c r="E1564" s="115"/>
      <c r="F1564" s="115"/>
      <c r="G1564" s="116"/>
      <c r="I1564" s="118"/>
      <c r="J1564" s="118"/>
      <c r="L1564" s="125"/>
    </row>
    <row r="1565" spans="1:12" x14ac:dyDescent="0.25">
      <c r="A1565" s="115"/>
      <c r="B1565" s="115"/>
      <c r="C1565" s="115"/>
      <c r="D1565" s="115"/>
      <c r="E1565" s="115"/>
      <c r="F1565" s="115"/>
      <c r="G1565" s="116"/>
      <c r="I1565" s="118"/>
      <c r="J1565" s="118"/>
      <c r="L1565" s="125"/>
    </row>
    <row r="1566" spans="1:12" x14ac:dyDescent="0.25">
      <c r="A1566" s="115"/>
      <c r="B1566" s="115"/>
      <c r="C1566" s="115"/>
      <c r="D1566" s="115"/>
      <c r="E1566" s="115"/>
      <c r="F1566" s="115"/>
      <c r="G1566" s="116"/>
      <c r="I1566" s="118"/>
      <c r="J1566" s="118"/>
      <c r="L1566" s="125"/>
    </row>
    <row r="1567" spans="1:12" x14ac:dyDescent="0.25">
      <c r="A1567" s="115"/>
      <c r="B1567" s="115"/>
      <c r="C1567" s="115"/>
      <c r="D1567" s="115"/>
      <c r="E1567" s="115"/>
      <c r="F1567" s="115"/>
      <c r="G1567" s="116"/>
      <c r="I1567" s="118"/>
      <c r="J1567" s="118"/>
      <c r="L1567" s="125"/>
    </row>
    <row r="1568" spans="1:12" x14ac:dyDescent="0.25">
      <c r="A1568" s="115"/>
      <c r="B1568" s="115"/>
      <c r="C1568" s="115"/>
      <c r="D1568" s="115"/>
      <c r="E1568" s="115"/>
      <c r="F1568" s="115"/>
      <c r="G1568" s="116"/>
      <c r="I1568" s="118"/>
      <c r="J1568" s="118"/>
      <c r="L1568" s="125"/>
    </row>
    <row r="1569" spans="1:12" x14ac:dyDescent="0.25">
      <c r="A1569" s="115"/>
      <c r="B1569" s="115"/>
      <c r="C1569" s="115"/>
      <c r="D1569" s="115"/>
      <c r="E1569" s="115"/>
      <c r="F1569" s="115"/>
      <c r="G1569" s="116"/>
      <c r="I1569" s="118"/>
      <c r="J1569" s="118"/>
      <c r="L1569" s="125"/>
    </row>
    <row r="1570" spans="1:12" x14ac:dyDescent="0.25">
      <c r="A1570" s="115"/>
      <c r="B1570" s="115"/>
      <c r="C1570" s="115"/>
      <c r="D1570" s="115"/>
      <c r="E1570" s="115"/>
      <c r="F1570" s="115"/>
      <c r="G1570" s="116"/>
      <c r="I1570" s="118"/>
      <c r="J1570" s="118"/>
      <c r="L1570" s="125"/>
    </row>
    <row r="1571" spans="1:12" x14ac:dyDescent="0.25">
      <c r="A1571" s="115"/>
      <c r="B1571" s="115"/>
      <c r="C1571" s="115"/>
      <c r="D1571" s="115"/>
      <c r="E1571" s="115"/>
      <c r="F1571" s="115"/>
      <c r="G1571" s="116"/>
      <c r="I1571" s="118"/>
      <c r="J1571" s="118"/>
      <c r="L1571" s="125"/>
    </row>
    <row r="1572" spans="1:12" x14ac:dyDescent="0.25">
      <c r="A1572" s="115"/>
      <c r="B1572" s="115"/>
      <c r="C1572" s="115"/>
      <c r="D1572" s="115"/>
      <c r="E1572" s="115"/>
      <c r="F1572" s="115"/>
      <c r="G1572" s="116"/>
      <c r="I1572" s="118"/>
      <c r="J1572" s="118"/>
      <c r="L1572" s="125"/>
    </row>
    <row r="1573" spans="1:12" x14ac:dyDescent="0.25">
      <c r="A1573" s="115"/>
      <c r="B1573" s="115"/>
      <c r="C1573" s="115"/>
      <c r="D1573" s="115"/>
      <c r="E1573" s="115"/>
      <c r="F1573" s="115"/>
      <c r="G1573" s="116"/>
      <c r="I1573" s="118"/>
      <c r="J1573" s="118"/>
      <c r="L1573" s="125"/>
    </row>
    <row r="1574" spans="1:12" x14ac:dyDescent="0.25">
      <c r="A1574" s="115"/>
      <c r="B1574" s="115"/>
      <c r="C1574" s="115"/>
      <c r="D1574" s="115"/>
      <c r="E1574" s="115"/>
      <c r="F1574" s="115"/>
      <c r="G1574" s="116"/>
      <c r="I1574" s="118"/>
      <c r="J1574" s="118"/>
      <c r="L1574" s="125"/>
    </row>
    <row r="1575" spans="1:12" x14ac:dyDescent="0.25">
      <c r="A1575" s="115"/>
      <c r="B1575" s="115"/>
      <c r="C1575" s="115"/>
      <c r="D1575" s="115"/>
      <c r="E1575" s="115"/>
      <c r="F1575" s="115"/>
      <c r="G1575" s="116"/>
      <c r="I1575" s="118"/>
      <c r="J1575" s="118"/>
      <c r="L1575" s="125"/>
    </row>
    <row r="1576" spans="1:12" x14ac:dyDescent="0.25">
      <c r="A1576" s="115"/>
      <c r="B1576" s="115"/>
      <c r="C1576" s="115"/>
      <c r="D1576" s="115"/>
      <c r="E1576" s="115"/>
      <c r="F1576" s="115"/>
      <c r="G1576" s="116"/>
      <c r="I1576" s="118"/>
      <c r="J1576" s="118"/>
      <c r="L1576" s="125"/>
    </row>
    <row r="1577" spans="1:12" x14ac:dyDescent="0.25">
      <c r="A1577" s="115"/>
      <c r="B1577" s="115"/>
      <c r="C1577" s="115"/>
      <c r="D1577" s="115"/>
      <c r="E1577" s="115"/>
      <c r="F1577" s="115"/>
      <c r="G1577" s="116"/>
      <c r="I1577" s="118"/>
      <c r="J1577" s="118"/>
      <c r="L1577" s="125"/>
    </row>
    <row r="1578" spans="1:12" x14ac:dyDescent="0.25">
      <c r="A1578" s="115"/>
      <c r="B1578" s="115"/>
      <c r="C1578" s="115"/>
      <c r="D1578" s="115"/>
      <c r="E1578" s="115"/>
      <c r="F1578" s="115"/>
      <c r="G1578" s="116"/>
      <c r="I1578" s="118"/>
      <c r="J1578" s="118"/>
      <c r="L1578" s="125"/>
    </row>
    <row r="1579" spans="1:12" x14ac:dyDescent="0.25">
      <c r="A1579" s="115"/>
      <c r="B1579" s="115"/>
      <c r="C1579" s="115"/>
      <c r="D1579" s="115"/>
      <c r="E1579" s="115"/>
      <c r="F1579" s="115"/>
      <c r="G1579" s="116"/>
      <c r="I1579" s="118"/>
      <c r="J1579" s="118"/>
      <c r="L1579" s="125"/>
    </row>
    <row r="1580" spans="1:12" x14ac:dyDescent="0.25">
      <c r="A1580" s="115"/>
      <c r="B1580" s="115"/>
      <c r="C1580" s="115"/>
      <c r="D1580" s="115"/>
      <c r="E1580" s="115"/>
      <c r="F1580" s="115"/>
      <c r="G1580" s="116"/>
      <c r="I1580" s="118"/>
      <c r="J1580" s="118"/>
      <c r="L1580" s="125"/>
    </row>
    <row r="1581" spans="1:12" x14ac:dyDescent="0.25">
      <c r="A1581" s="115"/>
      <c r="B1581" s="115"/>
      <c r="C1581" s="115"/>
      <c r="D1581" s="115"/>
      <c r="E1581" s="115"/>
      <c r="F1581" s="115"/>
      <c r="G1581" s="116"/>
      <c r="I1581" s="118"/>
      <c r="J1581" s="118"/>
      <c r="L1581" s="125"/>
    </row>
    <row r="1582" spans="1:12" x14ac:dyDescent="0.25">
      <c r="A1582" s="115"/>
      <c r="B1582" s="115"/>
      <c r="C1582" s="115"/>
      <c r="D1582" s="115"/>
      <c r="E1582" s="115"/>
      <c r="F1582" s="115"/>
      <c r="G1582" s="116"/>
      <c r="I1582" s="118"/>
      <c r="J1582" s="118"/>
      <c r="L1582" s="125"/>
    </row>
    <row r="1583" spans="1:12" x14ac:dyDescent="0.25">
      <c r="A1583" s="115"/>
      <c r="B1583" s="115"/>
      <c r="C1583" s="115"/>
      <c r="D1583" s="115"/>
      <c r="E1583" s="115"/>
      <c r="F1583" s="115"/>
      <c r="G1583" s="116"/>
      <c r="I1583" s="118"/>
      <c r="J1583" s="118"/>
      <c r="L1583" s="125"/>
    </row>
    <row r="1584" spans="1:12" x14ac:dyDescent="0.25">
      <c r="A1584" s="115"/>
      <c r="B1584" s="115"/>
      <c r="C1584" s="115"/>
      <c r="D1584" s="115"/>
      <c r="E1584" s="115"/>
      <c r="F1584" s="115"/>
      <c r="G1584" s="116"/>
      <c r="I1584" s="118"/>
      <c r="J1584" s="118"/>
      <c r="L1584" s="125"/>
    </row>
    <row r="1585" spans="1:12" x14ac:dyDescent="0.25">
      <c r="A1585" s="115"/>
      <c r="B1585" s="115"/>
      <c r="C1585" s="115"/>
      <c r="D1585" s="115"/>
      <c r="E1585" s="115"/>
      <c r="F1585" s="115"/>
      <c r="G1585" s="116"/>
      <c r="I1585" s="118"/>
      <c r="J1585" s="118"/>
      <c r="L1585" s="125"/>
    </row>
    <row r="1586" spans="1:12" x14ac:dyDescent="0.25">
      <c r="A1586" s="115"/>
      <c r="B1586" s="115"/>
      <c r="C1586" s="115"/>
      <c r="D1586" s="115"/>
      <c r="E1586" s="115"/>
      <c r="F1586" s="115"/>
      <c r="G1586" s="116"/>
      <c r="I1586" s="118"/>
      <c r="J1586" s="118"/>
      <c r="L1586" s="125"/>
    </row>
    <row r="1587" spans="1:12" x14ac:dyDescent="0.25">
      <c r="A1587" s="115"/>
      <c r="B1587" s="115"/>
      <c r="C1587" s="115"/>
      <c r="D1587" s="115"/>
      <c r="E1587" s="115"/>
      <c r="F1587" s="115"/>
      <c r="G1587" s="116"/>
      <c r="I1587" s="118"/>
      <c r="J1587" s="118"/>
      <c r="L1587" s="125"/>
    </row>
    <row r="1588" spans="1:12" x14ac:dyDescent="0.25">
      <c r="A1588" s="115"/>
      <c r="B1588" s="115"/>
      <c r="C1588" s="115"/>
      <c r="D1588" s="115"/>
      <c r="E1588" s="115"/>
      <c r="F1588" s="115"/>
      <c r="G1588" s="116"/>
      <c r="I1588" s="118"/>
      <c r="J1588" s="118"/>
      <c r="L1588" s="125"/>
    </row>
    <row r="1589" spans="1:12" x14ac:dyDescent="0.25">
      <c r="A1589" s="115"/>
      <c r="B1589" s="115"/>
      <c r="C1589" s="115"/>
      <c r="D1589" s="115"/>
      <c r="E1589" s="115"/>
      <c r="F1589" s="115"/>
      <c r="G1589" s="116"/>
      <c r="I1589" s="118"/>
      <c r="J1589" s="118"/>
      <c r="L1589" s="125"/>
    </row>
    <row r="1590" spans="1:12" x14ac:dyDescent="0.25">
      <c r="A1590" s="115"/>
      <c r="B1590" s="115"/>
      <c r="C1590" s="115"/>
      <c r="D1590" s="115"/>
      <c r="E1590" s="115"/>
      <c r="F1590" s="115"/>
      <c r="G1590" s="116"/>
      <c r="I1590" s="118"/>
      <c r="J1590" s="118"/>
      <c r="L1590" s="125"/>
    </row>
    <row r="1591" spans="1:12" x14ac:dyDescent="0.25">
      <c r="A1591" s="115"/>
      <c r="B1591" s="115"/>
      <c r="C1591" s="115"/>
      <c r="D1591" s="115"/>
      <c r="E1591" s="115"/>
      <c r="F1591" s="115"/>
      <c r="G1591" s="116"/>
      <c r="I1591" s="118"/>
      <c r="J1591" s="118"/>
      <c r="L1591" s="125"/>
    </row>
    <row r="1592" spans="1:12" x14ac:dyDescent="0.25">
      <c r="A1592" s="115"/>
      <c r="B1592" s="115"/>
      <c r="C1592" s="115"/>
      <c r="D1592" s="115"/>
      <c r="E1592" s="115"/>
      <c r="F1592" s="115"/>
      <c r="G1592" s="116"/>
      <c r="I1592" s="118"/>
      <c r="J1592" s="118"/>
      <c r="L1592" s="125"/>
    </row>
    <row r="1593" spans="1:12" x14ac:dyDescent="0.25">
      <c r="A1593" s="115"/>
      <c r="B1593" s="115"/>
      <c r="C1593" s="115"/>
      <c r="D1593" s="115"/>
      <c r="E1593" s="115"/>
      <c r="F1593" s="115"/>
      <c r="G1593" s="116"/>
      <c r="I1593" s="118"/>
      <c r="J1593" s="118"/>
      <c r="L1593" s="125"/>
    </row>
    <row r="1594" spans="1:12" x14ac:dyDescent="0.25">
      <c r="A1594" s="115"/>
      <c r="B1594" s="115"/>
      <c r="C1594" s="115"/>
      <c r="D1594" s="115"/>
      <c r="E1594" s="115"/>
      <c r="F1594" s="115"/>
      <c r="G1594" s="116"/>
      <c r="I1594" s="118"/>
      <c r="J1594" s="118"/>
      <c r="L1594" s="125"/>
    </row>
    <row r="1595" spans="1:12" x14ac:dyDescent="0.25">
      <c r="A1595" s="115"/>
      <c r="B1595" s="115"/>
      <c r="C1595" s="115"/>
      <c r="D1595" s="115"/>
      <c r="E1595" s="115"/>
      <c r="F1595" s="115"/>
      <c r="G1595" s="116"/>
      <c r="I1595" s="118"/>
      <c r="J1595" s="118"/>
      <c r="L1595" s="125"/>
    </row>
    <row r="1596" spans="1:12" x14ac:dyDescent="0.25">
      <c r="A1596" s="115"/>
      <c r="B1596" s="115"/>
      <c r="C1596" s="115"/>
      <c r="D1596" s="115"/>
      <c r="E1596" s="115"/>
      <c r="F1596" s="115"/>
      <c r="G1596" s="116"/>
      <c r="I1596" s="118"/>
      <c r="J1596" s="118"/>
      <c r="L1596" s="125"/>
    </row>
    <row r="1597" spans="1:12" x14ac:dyDescent="0.25">
      <c r="A1597" s="115"/>
      <c r="B1597" s="115"/>
      <c r="C1597" s="115"/>
      <c r="D1597" s="115"/>
      <c r="E1597" s="115"/>
      <c r="F1597" s="115"/>
      <c r="G1597" s="116"/>
      <c r="I1597" s="118"/>
      <c r="J1597" s="118"/>
      <c r="L1597" s="125"/>
    </row>
    <row r="1598" spans="1:12" x14ac:dyDescent="0.25">
      <c r="A1598" s="115"/>
      <c r="B1598" s="115"/>
      <c r="C1598" s="115"/>
      <c r="D1598" s="115"/>
      <c r="E1598" s="115"/>
      <c r="F1598" s="115"/>
      <c r="G1598" s="116"/>
      <c r="I1598" s="118"/>
      <c r="J1598" s="118"/>
      <c r="L1598" s="125"/>
    </row>
    <row r="1599" spans="1:12" x14ac:dyDescent="0.25">
      <c r="A1599" s="115"/>
      <c r="B1599" s="115"/>
      <c r="C1599" s="115"/>
      <c r="D1599" s="115"/>
      <c r="E1599" s="115"/>
      <c r="F1599" s="115"/>
      <c r="G1599" s="116"/>
      <c r="I1599" s="118"/>
      <c r="J1599" s="118"/>
      <c r="L1599" s="125"/>
    </row>
    <row r="1600" spans="1:12" x14ac:dyDescent="0.25">
      <c r="A1600" s="115"/>
      <c r="B1600" s="115"/>
      <c r="C1600" s="115"/>
      <c r="D1600" s="115"/>
      <c r="E1600" s="115"/>
      <c r="F1600" s="115"/>
      <c r="G1600" s="116"/>
      <c r="I1600" s="118"/>
      <c r="J1600" s="118"/>
      <c r="L1600" s="125"/>
    </row>
    <row r="1601" spans="1:12" x14ac:dyDescent="0.25">
      <c r="A1601" s="115"/>
      <c r="B1601" s="115"/>
      <c r="C1601" s="115"/>
      <c r="D1601" s="115"/>
      <c r="E1601" s="115"/>
      <c r="F1601" s="115"/>
      <c r="G1601" s="116"/>
      <c r="I1601" s="118"/>
      <c r="J1601" s="118"/>
      <c r="L1601" s="125"/>
    </row>
    <row r="1602" spans="1:12" x14ac:dyDescent="0.25">
      <c r="A1602" s="115"/>
      <c r="B1602" s="115"/>
      <c r="C1602" s="115"/>
      <c r="D1602" s="115"/>
      <c r="E1602" s="115"/>
      <c r="F1602" s="115"/>
      <c r="G1602" s="116"/>
      <c r="I1602" s="118"/>
      <c r="J1602" s="118"/>
      <c r="L1602" s="125"/>
    </row>
    <row r="1603" spans="1:12" x14ac:dyDescent="0.25">
      <c r="A1603" s="115"/>
      <c r="B1603" s="115"/>
      <c r="C1603" s="115"/>
      <c r="D1603" s="115"/>
      <c r="E1603" s="115"/>
      <c r="F1603" s="115"/>
      <c r="G1603" s="116"/>
      <c r="I1603" s="118"/>
      <c r="J1603" s="118"/>
      <c r="L1603" s="125"/>
    </row>
    <row r="1604" spans="1:12" x14ac:dyDescent="0.25">
      <c r="A1604" s="115"/>
      <c r="B1604" s="115"/>
      <c r="C1604" s="115"/>
      <c r="D1604" s="115"/>
      <c r="E1604" s="115"/>
      <c r="F1604" s="115"/>
      <c r="G1604" s="116"/>
      <c r="I1604" s="118"/>
      <c r="J1604" s="118"/>
      <c r="L1604" s="125"/>
    </row>
    <row r="1605" spans="1:12" x14ac:dyDescent="0.25">
      <c r="A1605" s="115"/>
      <c r="B1605" s="115"/>
      <c r="C1605" s="115"/>
      <c r="D1605" s="115"/>
      <c r="E1605" s="115"/>
      <c r="F1605" s="115"/>
      <c r="G1605" s="116"/>
      <c r="I1605" s="118"/>
      <c r="J1605" s="118"/>
      <c r="L1605" s="125"/>
    </row>
    <row r="1606" spans="1:12" x14ac:dyDescent="0.25">
      <c r="A1606" s="115"/>
      <c r="B1606" s="115"/>
      <c r="C1606" s="115"/>
      <c r="D1606" s="115"/>
      <c r="E1606" s="115"/>
      <c r="F1606" s="115"/>
      <c r="G1606" s="116"/>
      <c r="I1606" s="118"/>
      <c r="J1606" s="118"/>
      <c r="L1606" s="125"/>
    </row>
    <row r="1607" spans="1:12" x14ac:dyDescent="0.25">
      <c r="A1607" s="115"/>
      <c r="B1607" s="115"/>
      <c r="C1607" s="115"/>
      <c r="D1607" s="115"/>
      <c r="E1607" s="115"/>
      <c r="F1607" s="115"/>
      <c r="G1607" s="116"/>
      <c r="I1607" s="118"/>
      <c r="J1607" s="118"/>
      <c r="L1607" s="125"/>
    </row>
    <row r="1608" spans="1:12" x14ac:dyDescent="0.25">
      <c r="A1608" s="115"/>
      <c r="B1608" s="115"/>
      <c r="C1608" s="115"/>
      <c r="D1608" s="115"/>
      <c r="E1608" s="115"/>
      <c r="F1608" s="115"/>
      <c r="G1608" s="116"/>
      <c r="I1608" s="118"/>
      <c r="J1608" s="118"/>
      <c r="L1608" s="125"/>
    </row>
    <row r="1609" spans="1:12" x14ac:dyDescent="0.25">
      <c r="A1609" s="115"/>
      <c r="B1609" s="115"/>
      <c r="C1609" s="115"/>
      <c r="D1609" s="115"/>
      <c r="E1609" s="115"/>
      <c r="F1609" s="115"/>
      <c r="G1609" s="116"/>
      <c r="I1609" s="118"/>
      <c r="J1609" s="118"/>
      <c r="L1609" s="125"/>
    </row>
    <row r="1610" spans="1:12" x14ac:dyDescent="0.25">
      <c r="A1610" s="115"/>
      <c r="B1610" s="115"/>
      <c r="C1610" s="115"/>
      <c r="D1610" s="115"/>
      <c r="E1610" s="115"/>
      <c r="F1610" s="115"/>
      <c r="G1610" s="116"/>
      <c r="I1610" s="118"/>
      <c r="J1610" s="118"/>
      <c r="L1610" s="125"/>
    </row>
    <row r="1611" spans="1:12" x14ac:dyDescent="0.25">
      <c r="A1611" s="115"/>
      <c r="B1611" s="115"/>
      <c r="C1611" s="115"/>
      <c r="D1611" s="115"/>
      <c r="E1611" s="115"/>
      <c r="F1611" s="115"/>
      <c r="G1611" s="116"/>
      <c r="I1611" s="118"/>
      <c r="J1611" s="118"/>
      <c r="L1611" s="125"/>
    </row>
    <row r="1612" spans="1:12" x14ac:dyDescent="0.25">
      <c r="A1612" s="115"/>
      <c r="B1612" s="115"/>
      <c r="C1612" s="115"/>
      <c r="D1612" s="115"/>
      <c r="E1612" s="115"/>
      <c r="F1612" s="115"/>
      <c r="G1612" s="116"/>
      <c r="I1612" s="118"/>
      <c r="J1612" s="118"/>
      <c r="L1612" s="125"/>
    </row>
    <row r="1613" spans="1:12" x14ac:dyDescent="0.25">
      <c r="A1613" s="115"/>
      <c r="B1613" s="115"/>
      <c r="C1613" s="115"/>
      <c r="D1613" s="115"/>
      <c r="E1613" s="115"/>
      <c r="F1613" s="115"/>
      <c r="G1613" s="116"/>
      <c r="I1613" s="118"/>
      <c r="J1613" s="118"/>
      <c r="L1613" s="125"/>
    </row>
    <row r="1614" spans="1:12" x14ac:dyDescent="0.25">
      <c r="A1614" s="115"/>
      <c r="B1614" s="115"/>
      <c r="C1614" s="115"/>
      <c r="D1614" s="115"/>
      <c r="E1614" s="115"/>
      <c r="F1614" s="115"/>
      <c r="G1614" s="116"/>
      <c r="I1614" s="118"/>
      <c r="J1614" s="118"/>
      <c r="L1614" s="125"/>
    </row>
    <row r="1615" spans="1:12" x14ac:dyDescent="0.25">
      <c r="A1615" s="115"/>
      <c r="B1615" s="115"/>
      <c r="C1615" s="115"/>
      <c r="D1615" s="115"/>
      <c r="E1615" s="115"/>
      <c r="F1615" s="115"/>
      <c r="G1615" s="116"/>
      <c r="I1615" s="118"/>
      <c r="J1615" s="118"/>
      <c r="L1615" s="125"/>
    </row>
    <row r="1616" spans="1:12" x14ac:dyDescent="0.25">
      <c r="A1616" s="115"/>
      <c r="B1616" s="115"/>
      <c r="C1616" s="115"/>
      <c r="D1616" s="115"/>
      <c r="E1616" s="115"/>
      <c r="F1616" s="115"/>
      <c r="G1616" s="116"/>
      <c r="I1616" s="118"/>
      <c r="J1616" s="118"/>
      <c r="L1616" s="125"/>
    </row>
    <row r="1617" spans="1:12" x14ac:dyDescent="0.25">
      <c r="A1617" s="115"/>
      <c r="B1617" s="115"/>
      <c r="C1617" s="115"/>
      <c r="D1617" s="115"/>
      <c r="E1617" s="115"/>
      <c r="F1617" s="115"/>
      <c r="G1617" s="116"/>
      <c r="I1617" s="118"/>
      <c r="J1617" s="118"/>
      <c r="L1617" s="125"/>
    </row>
    <row r="1618" spans="1:12" x14ac:dyDescent="0.25">
      <c r="A1618" s="115"/>
      <c r="B1618" s="115"/>
      <c r="C1618" s="115"/>
      <c r="D1618" s="115"/>
      <c r="E1618" s="115"/>
      <c r="F1618" s="115"/>
      <c r="G1618" s="116"/>
      <c r="I1618" s="118"/>
      <c r="J1618" s="118"/>
      <c r="L1618" s="125"/>
    </row>
    <row r="1619" spans="1:12" x14ac:dyDescent="0.25">
      <c r="A1619" s="115"/>
      <c r="B1619" s="115"/>
      <c r="C1619" s="115"/>
      <c r="D1619" s="115"/>
      <c r="E1619" s="115"/>
      <c r="F1619" s="115"/>
      <c r="G1619" s="116"/>
      <c r="I1619" s="118"/>
      <c r="J1619" s="118"/>
      <c r="L1619" s="125"/>
    </row>
    <row r="1620" spans="1:12" x14ac:dyDescent="0.25">
      <c r="A1620" s="115"/>
      <c r="B1620" s="115"/>
      <c r="C1620" s="115"/>
      <c r="D1620" s="115"/>
      <c r="E1620" s="115"/>
      <c r="F1620" s="115"/>
      <c r="G1620" s="116"/>
      <c r="I1620" s="118"/>
      <c r="J1620" s="118"/>
      <c r="L1620" s="125"/>
    </row>
    <row r="1621" spans="1:12" x14ac:dyDescent="0.25">
      <c r="A1621" s="115"/>
      <c r="B1621" s="115"/>
      <c r="C1621" s="115"/>
      <c r="D1621" s="115"/>
      <c r="E1621" s="115"/>
      <c r="F1621" s="115"/>
      <c r="G1621" s="116"/>
      <c r="I1621" s="118"/>
      <c r="J1621" s="118"/>
      <c r="L1621" s="125"/>
    </row>
    <row r="1622" spans="1:12" x14ac:dyDescent="0.25">
      <c r="A1622" s="115"/>
      <c r="B1622" s="115"/>
      <c r="C1622" s="115"/>
      <c r="D1622" s="115"/>
      <c r="E1622" s="115"/>
      <c r="F1622" s="115"/>
      <c r="G1622" s="116"/>
      <c r="I1622" s="118"/>
      <c r="J1622" s="118"/>
      <c r="L1622" s="125"/>
    </row>
    <row r="1623" spans="1:12" x14ac:dyDescent="0.25">
      <c r="A1623" s="115"/>
      <c r="B1623" s="115"/>
      <c r="C1623" s="115"/>
      <c r="D1623" s="115"/>
      <c r="E1623" s="115"/>
      <c r="F1623" s="115"/>
      <c r="G1623" s="116"/>
      <c r="I1623" s="118"/>
      <c r="J1623" s="118"/>
      <c r="L1623" s="125"/>
    </row>
    <row r="1624" spans="1:12" x14ac:dyDescent="0.25">
      <c r="A1624" s="115"/>
      <c r="B1624" s="115"/>
      <c r="C1624" s="115"/>
      <c r="D1624" s="115"/>
      <c r="E1624" s="115"/>
      <c r="F1624" s="115"/>
      <c r="G1624" s="116"/>
      <c r="I1624" s="118"/>
      <c r="J1624" s="118"/>
      <c r="L1624" s="125"/>
    </row>
    <row r="1625" spans="1:12" x14ac:dyDescent="0.25">
      <c r="A1625" s="115"/>
      <c r="B1625" s="115"/>
      <c r="C1625" s="115"/>
      <c r="D1625" s="115"/>
      <c r="E1625" s="115"/>
      <c r="F1625" s="115"/>
      <c r="G1625" s="116"/>
      <c r="I1625" s="118"/>
      <c r="J1625" s="118"/>
      <c r="L1625" s="125"/>
    </row>
    <row r="1626" spans="1:12" x14ac:dyDescent="0.25">
      <c r="A1626" s="115"/>
      <c r="B1626" s="115"/>
      <c r="C1626" s="115"/>
      <c r="D1626" s="115"/>
      <c r="E1626" s="115"/>
      <c r="F1626" s="115"/>
      <c r="G1626" s="116"/>
      <c r="I1626" s="118"/>
      <c r="J1626" s="118"/>
      <c r="L1626" s="125"/>
    </row>
    <row r="1627" spans="1:12" x14ac:dyDescent="0.25">
      <c r="A1627" s="115"/>
      <c r="B1627" s="115"/>
      <c r="C1627" s="115"/>
      <c r="D1627" s="115"/>
      <c r="E1627" s="115"/>
      <c r="F1627" s="115"/>
      <c r="G1627" s="116"/>
      <c r="I1627" s="118"/>
      <c r="J1627" s="118"/>
      <c r="L1627" s="125"/>
    </row>
    <row r="1628" spans="1:12" x14ac:dyDescent="0.25">
      <c r="A1628" s="115"/>
      <c r="B1628" s="115"/>
      <c r="C1628" s="115"/>
      <c r="D1628" s="115"/>
      <c r="E1628" s="115"/>
      <c r="F1628" s="115"/>
      <c r="G1628" s="116"/>
      <c r="I1628" s="118"/>
      <c r="J1628" s="118"/>
      <c r="L1628" s="125"/>
    </row>
    <row r="1629" spans="1:12" x14ac:dyDescent="0.25">
      <c r="A1629" s="115"/>
      <c r="B1629" s="115"/>
      <c r="C1629" s="115"/>
      <c r="D1629" s="115"/>
      <c r="E1629" s="115"/>
      <c r="F1629" s="115"/>
      <c r="G1629" s="116"/>
      <c r="I1629" s="118"/>
      <c r="J1629" s="118"/>
      <c r="L1629" s="125"/>
    </row>
    <row r="1630" spans="1:12" x14ac:dyDescent="0.25">
      <c r="A1630" s="115"/>
      <c r="B1630" s="115"/>
      <c r="C1630" s="115"/>
      <c r="D1630" s="115"/>
      <c r="E1630" s="115"/>
      <c r="F1630" s="115"/>
      <c r="G1630" s="116"/>
      <c r="I1630" s="118"/>
      <c r="J1630" s="118"/>
      <c r="L1630" s="125"/>
    </row>
    <row r="1631" spans="1:12" x14ac:dyDescent="0.25">
      <c r="A1631" s="115"/>
      <c r="B1631" s="115"/>
      <c r="C1631" s="115"/>
      <c r="D1631" s="115"/>
      <c r="E1631" s="115"/>
      <c r="F1631" s="115"/>
      <c r="G1631" s="116"/>
      <c r="I1631" s="118"/>
      <c r="J1631" s="118"/>
      <c r="L1631" s="125"/>
    </row>
    <row r="1632" spans="1:12" x14ac:dyDescent="0.25">
      <c r="A1632" s="115"/>
      <c r="B1632" s="115"/>
      <c r="C1632" s="115"/>
      <c r="D1632" s="115"/>
      <c r="E1632" s="115"/>
      <c r="F1632" s="115"/>
      <c r="G1632" s="116"/>
      <c r="I1632" s="118"/>
      <c r="J1632" s="118"/>
      <c r="L1632" s="125"/>
    </row>
    <row r="1633" spans="1:12" x14ac:dyDescent="0.25">
      <c r="A1633" s="115"/>
      <c r="B1633" s="115"/>
      <c r="C1633" s="115"/>
      <c r="D1633" s="115"/>
      <c r="E1633" s="115"/>
      <c r="F1633" s="115"/>
      <c r="G1633" s="116"/>
      <c r="I1633" s="118"/>
      <c r="J1633" s="118"/>
      <c r="L1633" s="125"/>
    </row>
    <row r="1634" spans="1:12" x14ac:dyDescent="0.25">
      <c r="A1634" s="115"/>
      <c r="B1634" s="115"/>
      <c r="C1634" s="115"/>
      <c r="D1634" s="115"/>
      <c r="E1634" s="115"/>
      <c r="F1634" s="115"/>
      <c r="G1634" s="116"/>
      <c r="I1634" s="118"/>
      <c r="J1634" s="118"/>
      <c r="L1634" s="125"/>
    </row>
    <row r="1635" spans="1:12" x14ac:dyDescent="0.25">
      <c r="A1635" s="115"/>
      <c r="B1635" s="115"/>
      <c r="C1635" s="115"/>
      <c r="D1635" s="115"/>
      <c r="E1635" s="115"/>
      <c r="F1635" s="115"/>
      <c r="G1635" s="116"/>
      <c r="I1635" s="118"/>
      <c r="J1635" s="118"/>
      <c r="L1635" s="125"/>
    </row>
    <row r="1636" spans="1:12" x14ac:dyDescent="0.25">
      <c r="A1636" s="115"/>
      <c r="B1636" s="115"/>
      <c r="C1636" s="115"/>
      <c r="D1636" s="115"/>
      <c r="E1636" s="115"/>
      <c r="F1636" s="115"/>
      <c r="G1636" s="116"/>
      <c r="I1636" s="118"/>
      <c r="J1636" s="118"/>
      <c r="L1636" s="125"/>
    </row>
    <row r="1637" spans="1:12" x14ac:dyDescent="0.25">
      <c r="A1637" s="115"/>
      <c r="B1637" s="115"/>
      <c r="C1637" s="115"/>
      <c r="D1637" s="115"/>
      <c r="E1637" s="115"/>
      <c r="F1637" s="115"/>
      <c r="G1637" s="116"/>
      <c r="I1637" s="118"/>
      <c r="J1637" s="118"/>
      <c r="L1637" s="125"/>
    </row>
    <row r="1638" spans="1:12" x14ac:dyDescent="0.25">
      <c r="A1638" s="115"/>
      <c r="B1638" s="115"/>
      <c r="C1638" s="115"/>
      <c r="D1638" s="115"/>
      <c r="E1638" s="115"/>
      <c r="F1638" s="115"/>
      <c r="G1638" s="116"/>
      <c r="I1638" s="118"/>
      <c r="J1638" s="118"/>
      <c r="L1638" s="125"/>
    </row>
    <row r="1639" spans="1:12" x14ac:dyDescent="0.25">
      <c r="A1639" s="115"/>
      <c r="B1639" s="115"/>
      <c r="C1639" s="115"/>
      <c r="D1639" s="115"/>
      <c r="E1639" s="115"/>
      <c r="F1639" s="115"/>
      <c r="G1639" s="116"/>
      <c r="I1639" s="118"/>
      <c r="J1639" s="118"/>
      <c r="L1639" s="125"/>
    </row>
    <row r="1640" spans="1:12" x14ac:dyDescent="0.25">
      <c r="A1640" s="115"/>
      <c r="B1640" s="115"/>
      <c r="C1640" s="115"/>
      <c r="D1640" s="115"/>
      <c r="E1640" s="115"/>
      <c r="F1640" s="115"/>
      <c r="G1640" s="116"/>
      <c r="I1640" s="118"/>
      <c r="J1640" s="118"/>
      <c r="L1640" s="125"/>
    </row>
    <row r="1641" spans="1:12" x14ac:dyDescent="0.25">
      <c r="A1641" s="115"/>
      <c r="B1641" s="115"/>
      <c r="C1641" s="115"/>
      <c r="D1641" s="115"/>
      <c r="E1641" s="115"/>
      <c r="F1641" s="115"/>
      <c r="G1641" s="116"/>
      <c r="I1641" s="118"/>
      <c r="J1641" s="118"/>
      <c r="L1641" s="125"/>
    </row>
    <row r="1642" spans="1:12" x14ac:dyDescent="0.25">
      <c r="A1642" s="115"/>
      <c r="B1642" s="115"/>
      <c r="C1642" s="115"/>
      <c r="D1642" s="115"/>
      <c r="E1642" s="115"/>
      <c r="F1642" s="115"/>
      <c r="G1642" s="116"/>
      <c r="I1642" s="118"/>
      <c r="J1642" s="118"/>
      <c r="L1642" s="125"/>
    </row>
    <row r="1643" spans="1:12" x14ac:dyDescent="0.25">
      <c r="A1643" s="115"/>
      <c r="B1643" s="115"/>
      <c r="C1643" s="115"/>
      <c r="D1643" s="115"/>
      <c r="E1643" s="115"/>
      <c r="F1643" s="115"/>
      <c r="G1643" s="116"/>
      <c r="I1643" s="118"/>
      <c r="J1643" s="118"/>
      <c r="L1643" s="125"/>
    </row>
    <row r="1644" spans="1:12" x14ac:dyDescent="0.25">
      <c r="A1644" s="115"/>
      <c r="B1644" s="115"/>
      <c r="C1644" s="115"/>
      <c r="D1644" s="115"/>
      <c r="E1644" s="115"/>
      <c r="F1644" s="115"/>
      <c r="G1644" s="116"/>
      <c r="I1644" s="118"/>
      <c r="J1644" s="118"/>
      <c r="L1644" s="125"/>
    </row>
    <row r="1645" spans="1:12" x14ac:dyDescent="0.25">
      <c r="A1645" s="115"/>
      <c r="B1645" s="115"/>
      <c r="C1645" s="115"/>
      <c r="D1645" s="115"/>
      <c r="E1645" s="115"/>
      <c r="F1645" s="115"/>
      <c r="G1645" s="116"/>
      <c r="I1645" s="118"/>
      <c r="J1645" s="118"/>
      <c r="L1645" s="125"/>
    </row>
    <row r="1646" spans="1:12" x14ac:dyDescent="0.25">
      <c r="A1646" s="115"/>
      <c r="B1646" s="115"/>
      <c r="C1646" s="115"/>
      <c r="D1646" s="115"/>
      <c r="E1646" s="115"/>
      <c r="F1646" s="115"/>
      <c r="G1646" s="116"/>
      <c r="I1646" s="118"/>
      <c r="J1646" s="118"/>
      <c r="L1646" s="125"/>
    </row>
    <row r="1647" spans="1:12" x14ac:dyDescent="0.25">
      <c r="A1647" s="115"/>
      <c r="B1647" s="115"/>
      <c r="C1647" s="115"/>
      <c r="D1647" s="115"/>
      <c r="E1647" s="115"/>
      <c r="F1647" s="115"/>
      <c r="G1647" s="116"/>
      <c r="I1647" s="118"/>
      <c r="J1647" s="118"/>
      <c r="L1647" s="125"/>
    </row>
    <row r="1648" spans="1:12" x14ac:dyDescent="0.25">
      <c r="A1648" s="115"/>
      <c r="B1648" s="115"/>
      <c r="C1648" s="115"/>
      <c r="D1648" s="115"/>
      <c r="E1648" s="115"/>
      <c r="F1648" s="115"/>
      <c r="G1648" s="116"/>
      <c r="I1648" s="118"/>
      <c r="J1648" s="118"/>
      <c r="L1648" s="125"/>
    </row>
    <row r="1649" spans="1:12" x14ac:dyDescent="0.25">
      <c r="A1649" s="115"/>
      <c r="B1649" s="115"/>
      <c r="C1649" s="115"/>
      <c r="D1649" s="115"/>
      <c r="E1649" s="115"/>
      <c r="F1649" s="115"/>
      <c r="G1649" s="116"/>
      <c r="I1649" s="118"/>
      <c r="J1649" s="118"/>
      <c r="L1649" s="125"/>
    </row>
    <row r="1650" spans="1:12" x14ac:dyDescent="0.25">
      <c r="A1650" s="115"/>
      <c r="B1650" s="115"/>
      <c r="C1650" s="115"/>
      <c r="D1650" s="115"/>
      <c r="E1650" s="115"/>
      <c r="F1650" s="115"/>
      <c r="G1650" s="116"/>
      <c r="I1650" s="118"/>
      <c r="J1650" s="118"/>
      <c r="L1650" s="125"/>
    </row>
    <row r="1651" spans="1:12" x14ac:dyDescent="0.25">
      <c r="A1651" s="115"/>
      <c r="B1651" s="115"/>
      <c r="C1651" s="115"/>
      <c r="D1651" s="115"/>
      <c r="E1651" s="115"/>
      <c r="F1651" s="115"/>
      <c r="G1651" s="116"/>
      <c r="I1651" s="118"/>
      <c r="J1651" s="118"/>
      <c r="L1651" s="125"/>
    </row>
    <row r="1652" spans="1:12" x14ac:dyDescent="0.25">
      <c r="A1652" s="115"/>
      <c r="B1652" s="115"/>
      <c r="C1652" s="115"/>
      <c r="D1652" s="115"/>
      <c r="E1652" s="115"/>
      <c r="F1652" s="115"/>
      <c r="G1652" s="116"/>
      <c r="I1652" s="118"/>
      <c r="J1652" s="118"/>
      <c r="L1652" s="125"/>
    </row>
    <row r="1653" spans="1:12" x14ac:dyDescent="0.25">
      <c r="A1653" s="115"/>
      <c r="B1653" s="115"/>
      <c r="C1653" s="115"/>
      <c r="D1653" s="115"/>
      <c r="E1653" s="115"/>
      <c r="F1653" s="115"/>
      <c r="G1653" s="116"/>
      <c r="I1653" s="118"/>
      <c r="J1653" s="118"/>
      <c r="L1653" s="125"/>
    </row>
    <row r="1654" spans="1:12" x14ac:dyDescent="0.25">
      <c r="A1654" s="115"/>
      <c r="B1654" s="115"/>
      <c r="C1654" s="115"/>
      <c r="D1654" s="115"/>
      <c r="E1654" s="115"/>
      <c r="F1654" s="115"/>
      <c r="G1654" s="116"/>
      <c r="I1654" s="118"/>
      <c r="J1654" s="118"/>
      <c r="L1654" s="125"/>
    </row>
    <row r="1655" spans="1:12" x14ac:dyDescent="0.25">
      <c r="A1655" s="115"/>
      <c r="B1655" s="115"/>
      <c r="C1655" s="115"/>
      <c r="D1655" s="115"/>
      <c r="E1655" s="115"/>
      <c r="F1655" s="115"/>
      <c r="G1655" s="116"/>
      <c r="I1655" s="118"/>
      <c r="J1655" s="118"/>
      <c r="L1655" s="125"/>
    </row>
    <row r="1656" spans="1:12" x14ac:dyDescent="0.25">
      <c r="A1656" s="115"/>
      <c r="B1656" s="115"/>
      <c r="C1656" s="115"/>
      <c r="D1656" s="115"/>
      <c r="E1656" s="115"/>
      <c r="F1656" s="115"/>
      <c r="G1656" s="116"/>
      <c r="I1656" s="118"/>
      <c r="J1656" s="118"/>
      <c r="L1656" s="125"/>
    </row>
    <row r="1657" spans="1:12" x14ac:dyDescent="0.25">
      <c r="A1657" s="115"/>
      <c r="B1657" s="115"/>
      <c r="C1657" s="115"/>
      <c r="D1657" s="115"/>
      <c r="E1657" s="115"/>
      <c r="F1657" s="115"/>
      <c r="G1657" s="116"/>
      <c r="I1657" s="118"/>
      <c r="J1657" s="118"/>
      <c r="L1657" s="125"/>
    </row>
    <row r="1658" spans="1:12" x14ac:dyDescent="0.25">
      <c r="A1658" s="115"/>
      <c r="B1658" s="115"/>
      <c r="C1658" s="115"/>
      <c r="D1658" s="115"/>
      <c r="E1658" s="115"/>
      <c r="F1658" s="115"/>
      <c r="G1658" s="116"/>
      <c r="I1658" s="118"/>
      <c r="J1658" s="118"/>
      <c r="L1658" s="125"/>
    </row>
    <row r="1659" spans="1:12" x14ac:dyDescent="0.25">
      <c r="A1659" s="115"/>
      <c r="B1659" s="115"/>
      <c r="C1659" s="115"/>
      <c r="D1659" s="115"/>
      <c r="E1659" s="115"/>
      <c r="F1659" s="115"/>
      <c r="G1659" s="116"/>
      <c r="I1659" s="118"/>
      <c r="J1659" s="118"/>
      <c r="L1659" s="125"/>
    </row>
    <row r="1660" spans="1:12" x14ac:dyDescent="0.25">
      <c r="A1660" s="115"/>
      <c r="B1660" s="115"/>
      <c r="C1660" s="115"/>
      <c r="D1660" s="115"/>
      <c r="E1660" s="115"/>
      <c r="F1660" s="115"/>
      <c r="G1660" s="116"/>
      <c r="I1660" s="118"/>
      <c r="J1660" s="118"/>
      <c r="L1660" s="125"/>
    </row>
    <row r="1661" spans="1:12" x14ac:dyDescent="0.25">
      <c r="A1661" s="115"/>
      <c r="B1661" s="115"/>
      <c r="C1661" s="115"/>
      <c r="D1661" s="115"/>
      <c r="E1661" s="115"/>
      <c r="F1661" s="115"/>
      <c r="G1661" s="116"/>
      <c r="I1661" s="118"/>
      <c r="J1661" s="118"/>
      <c r="L1661" s="125"/>
    </row>
    <row r="1662" spans="1:12" x14ac:dyDescent="0.25">
      <c r="A1662" s="115"/>
      <c r="B1662" s="115"/>
      <c r="C1662" s="115"/>
      <c r="D1662" s="115"/>
      <c r="E1662" s="115"/>
      <c r="F1662" s="115"/>
      <c r="G1662" s="116"/>
      <c r="I1662" s="118"/>
      <c r="J1662" s="118"/>
      <c r="L1662" s="125"/>
    </row>
    <row r="1663" spans="1:12" x14ac:dyDescent="0.25">
      <c r="A1663" s="115"/>
      <c r="B1663" s="115"/>
      <c r="C1663" s="115"/>
      <c r="D1663" s="115"/>
      <c r="E1663" s="115"/>
      <c r="F1663" s="115"/>
      <c r="G1663" s="116"/>
      <c r="I1663" s="118"/>
      <c r="J1663" s="118"/>
      <c r="L1663" s="125"/>
    </row>
    <row r="1664" spans="1:12" x14ac:dyDescent="0.25">
      <c r="A1664" s="115"/>
      <c r="B1664" s="115"/>
      <c r="C1664" s="115"/>
      <c r="D1664" s="115"/>
      <c r="E1664" s="115"/>
      <c r="F1664" s="115"/>
      <c r="G1664" s="116"/>
      <c r="I1664" s="118"/>
      <c r="J1664" s="118"/>
      <c r="L1664" s="125"/>
    </row>
    <row r="1665" spans="1:12" x14ac:dyDescent="0.25">
      <c r="A1665" s="115"/>
      <c r="B1665" s="115"/>
      <c r="C1665" s="115"/>
      <c r="D1665" s="115"/>
      <c r="E1665" s="115"/>
      <c r="F1665" s="115"/>
      <c r="G1665" s="116"/>
      <c r="I1665" s="118"/>
      <c r="J1665" s="118"/>
      <c r="L1665" s="125"/>
    </row>
    <row r="1666" spans="1:12" x14ac:dyDescent="0.25">
      <c r="A1666" s="115"/>
      <c r="B1666" s="115"/>
      <c r="C1666" s="115"/>
      <c r="D1666" s="115"/>
      <c r="E1666" s="115"/>
      <c r="F1666" s="115"/>
      <c r="G1666" s="116"/>
      <c r="I1666" s="118"/>
      <c r="J1666" s="118"/>
      <c r="L1666" s="125"/>
    </row>
    <row r="1667" spans="1:12" x14ac:dyDescent="0.25">
      <c r="A1667" s="115"/>
      <c r="B1667" s="115"/>
      <c r="C1667" s="115"/>
      <c r="D1667" s="115"/>
      <c r="E1667" s="115"/>
      <c r="F1667" s="115"/>
      <c r="G1667" s="116"/>
      <c r="I1667" s="118"/>
      <c r="J1667" s="118"/>
      <c r="L1667" s="125"/>
    </row>
    <row r="1668" spans="1:12" x14ac:dyDescent="0.25">
      <c r="A1668" s="115"/>
      <c r="B1668" s="115"/>
      <c r="C1668" s="115"/>
      <c r="D1668" s="115"/>
      <c r="E1668" s="115"/>
      <c r="F1668" s="115"/>
      <c r="G1668" s="116"/>
      <c r="I1668" s="118"/>
      <c r="J1668" s="118"/>
      <c r="L1668" s="125"/>
    </row>
    <row r="1669" spans="1:12" x14ac:dyDescent="0.25">
      <c r="A1669" s="115"/>
      <c r="B1669" s="115"/>
      <c r="C1669" s="115"/>
      <c r="D1669" s="115"/>
      <c r="E1669" s="115"/>
      <c r="F1669" s="115"/>
      <c r="G1669" s="116"/>
      <c r="I1669" s="118"/>
      <c r="J1669" s="118"/>
      <c r="L1669" s="125"/>
    </row>
    <row r="1670" spans="1:12" x14ac:dyDescent="0.25">
      <c r="A1670" s="115"/>
      <c r="B1670" s="115"/>
      <c r="C1670" s="115"/>
      <c r="D1670" s="115"/>
      <c r="E1670" s="115"/>
      <c r="F1670" s="115"/>
      <c r="G1670" s="116"/>
      <c r="I1670" s="118"/>
      <c r="J1670" s="118"/>
      <c r="L1670" s="125"/>
    </row>
    <row r="1671" spans="1:12" x14ac:dyDescent="0.25">
      <c r="A1671" s="115"/>
      <c r="B1671" s="115"/>
      <c r="C1671" s="115"/>
      <c r="D1671" s="115"/>
      <c r="E1671" s="115"/>
      <c r="F1671" s="115"/>
      <c r="G1671" s="116"/>
      <c r="I1671" s="118"/>
      <c r="J1671" s="118"/>
      <c r="L1671" s="125"/>
    </row>
    <row r="1672" spans="1:12" x14ac:dyDescent="0.25">
      <c r="A1672" s="115"/>
      <c r="B1672" s="115"/>
      <c r="C1672" s="115"/>
      <c r="D1672" s="115"/>
      <c r="E1672" s="115"/>
      <c r="F1672" s="115"/>
      <c r="G1672" s="116"/>
      <c r="I1672" s="118"/>
      <c r="J1672" s="118"/>
      <c r="L1672" s="125"/>
    </row>
    <row r="1673" spans="1:12" x14ac:dyDescent="0.25">
      <c r="A1673" s="115"/>
      <c r="B1673" s="115"/>
      <c r="C1673" s="115"/>
      <c r="D1673" s="115"/>
      <c r="E1673" s="115"/>
      <c r="F1673" s="115"/>
      <c r="G1673" s="116"/>
      <c r="I1673" s="118"/>
      <c r="J1673" s="118"/>
      <c r="L1673" s="125"/>
    </row>
    <row r="1674" spans="1:12" x14ac:dyDescent="0.25">
      <c r="A1674" s="115"/>
      <c r="B1674" s="115"/>
      <c r="C1674" s="115"/>
      <c r="D1674" s="115"/>
      <c r="E1674" s="115"/>
      <c r="F1674" s="115"/>
      <c r="G1674" s="116"/>
      <c r="I1674" s="118"/>
      <c r="J1674" s="118"/>
      <c r="L1674" s="125"/>
    </row>
    <row r="1675" spans="1:12" x14ac:dyDescent="0.25">
      <c r="A1675" s="115"/>
      <c r="B1675" s="115"/>
      <c r="C1675" s="115"/>
      <c r="D1675" s="115"/>
      <c r="E1675" s="115"/>
      <c r="F1675" s="115"/>
      <c r="G1675" s="116"/>
      <c r="I1675" s="118"/>
      <c r="J1675" s="118"/>
      <c r="L1675" s="125"/>
    </row>
    <row r="1676" spans="1:12" x14ac:dyDescent="0.25">
      <c r="A1676" s="115"/>
      <c r="B1676" s="115"/>
      <c r="C1676" s="115"/>
      <c r="D1676" s="115"/>
      <c r="E1676" s="115"/>
      <c r="F1676" s="115"/>
      <c r="G1676" s="116"/>
      <c r="I1676" s="118"/>
      <c r="J1676" s="118"/>
      <c r="L1676" s="125"/>
    </row>
    <row r="1677" spans="1:12" x14ac:dyDescent="0.25">
      <c r="A1677" s="115"/>
      <c r="B1677" s="115"/>
      <c r="C1677" s="115"/>
      <c r="D1677" s="115"/>
      <c r="E1677" s="115"/>
      <c r="F1677" s="115"/>
      <c r="G1677" s="116"/>
      <c r="I1677" s="118"/>
      <c r="J1677" s="118"/>
      <c r="L1677" s="125"/>
    </row>
    <row r="1678" spans="1:12" x14ac:dyDescent="0.25">
      <c r="A1678" s="115"/>
      <c r="B1678" s="115"/>
      <c r="C1678" s="115"/>
      <c r="D1678" s="115"/>
      <c r="E1678" s="115"/>
      <c r="F1678" s="115"/>
      <c r="G1678" s="116"/>
      <c r="I1678" s="118"/>
      <c r="J1678" s="118"/>
      <c r="L1678" s="125"/>
    </row>
    <row r="1679" spans="1:12" x14ac:dyDescent="0.25">
      <c r="A1679" s="115"/>
      <c r="B1679" s="115"/>
      <c r="C1679" s="115"/>
      <c r="D1679" s="115"/>
      <c r="E1679" s="115"/>
      <c r="F1679" s="115"/>
      <c r="G1679" s="116"/>
      <c r="I1679" s="118"/>
      <c r="J1679" s="118"/>
      <c r="L1679" s="125"/>
    </row>
    <row r="1680" spans="1:12" x14ac:dyDescent="0.25">
      <c r="A1680" s="115"/>
      <c r="B1680" s="115"/>
      <c r="C1680" s="115"/>
      <c r="D1680" s="115"/>
      <c r="E1680" s="115"/>
      <c r="F1680" s="115"/>
      <c r="G1680" s="116"/>
      <c r="I1680" s="118"/>
      <c r="J1680" s="118"/>
      <c r="L1680" s="125"/>
    </row>
    <row r="1681" spans="1:12" x14ac:dyDescent="0.25">
      <c r="A1681" s="115"/>
      <c r="B1681" s="115"/>
      <c r="C1681" s="115"/>
      <c r="D1681" s="115"/>
      <c r="E1681" s="115"/>
      <c r="F1681" s="115"/>
      <c r="G1681" s="116"/>
      <c r="I1681" s="118"/>
      <c r="J1681" s="118"/>
      <c r="L1681" s="125"/>
    </row>
    <row r="1682" spans="1:12" x14ac:dyDescent="0.25">
      <c r="A1682" s="115"/>
      <c r="B1682" s="115"/>
      <c r="C1682" s="115"/>
      <c r="D1682" s="115"/>
      <c r="E1682" s="115"/>
      <c r="F1682" s="115"/>
      <c r="G1682" s="116"/>
      <c r="I1682" s="118"/>
      <c r="J1682" s="118"/>
      <c r="L1682" s="125"/>
    </row>
    <row r="1683" spans="1:12" x14ac:dyDescent="0.25">
      <c r="A1683" s="115"/>
      <c r="B1683" s="115"/>
      <c r="C1683" s="115"/>
      <c r="D1683" s="115"/>
      <c r="E1683" s="115"/>
      <c r="F1683" s="115"/>
      <c r="G1683" s="116"/>
      <c r="I1683" s="118"/>
      <c r="J1683" s="118"/>
      <c r="L1683" s="125"/>
    </row>
    <row r="1684" spans="1:12" x14ac:dyDescent="0.25">
      <c r="A1684" s="115"/>
      <c r="B1684" s="115"/>
      <c r="C1684" s="115"/>
      <c r="D1684" s="115"/>
      <c r="E1684" s="115"/>
      <c r="F1684" s="115"/>
      <c r="G1684" s="116"/>
      <c r="I1684" s="118"/>
      <c r="J1684" s="118"/>
      <c r="L1684" s="125"/>
    </row>
    <row r="1685" spans="1:12" x14ac:dyDescent="0.25">
      <c r="A1685" s="115"/>
      <c r="B1685" s="115"/>
      <c r="C1685" s="115"/>
      <c r="D1685" s="115"/>
      <c r="E1685" s="115"/>
      <c r="F1685" s="115"/>
      <c r="G1685" s="116"/>
      <c r="I1685" s="118"/>
      <c r="J1685" s="118"/>
      <c r="L1685" s="125"/>
    </row>
    <row r="1686" spans="1:12" x14ac:dyDescent="0.25">
      <c r="A1686" s="115"/>
      <c r="B1686" s="115"/>
      <c r="C1686" s="115"/>
      <c r="D1686" s="115"/>
      <c r="E1686" s="115"/>
      <c r="F1686" s="115"/>
      <c r="G1686" s="116"/>
      <c r="I1686" s="118"/>
      <c r="J1686" s="118"/>
      <c r="L1686" s="125"/>
    </row>
    <row r="1687" spans="1:12" x14ac:dyDescent="0.25">
      <c r="A1687" s="115"/>
      <c r="B1687" s="115"/>
      <c r="C1687" s="115"/>
      <c r="D1687" s="115"/>
      <c r="E1687" s="115"/>
      <c r="F1687" s="115"/>
      <c r="G1687" s="116"/>
      <c r="I1687" s="118"/>
      <c r="J1687" s="118"/>
      <c r="L1687" s="125"/>
    </row>
    <row r="1688" spans="1:12" x14ac:dyDescent="0.25">
      <c r="A1688" s="115"/>
      <c r="B1688" s="115"/>
      <c r="C1688" s="115"/>
      <c r="D1688" s="115"/>
      <c r="E1688" s="115"/>
      <c r="F1688" s="115"/>
      <c r="G1688" s="116"/>
      <c r="I1688" s="118"/>
      <c r="J1688" s="118"/>
      <c r="L1688" s="125"/>
    </row>
    <row r="1689" spans="1:12" x14ac:dyDescent="0.25">
      <c r="A1689" s="115"/>
      <c r="B1689" s="115"/>
      <c r="C1689" s="115"/>
      <c r="D1689" s="115"/>
      <c r="E1689" s="115"/>
      <c r="F1689" s="115"/>
      <c r="G1689" s="116"/>
      <c r="I1689" s="118"/>
      <c r="J1689" s="118"/>
      <c r="L1689" s="125"/>
    </row>
    <row r="1690" spans="1:12" x14ac:dyDescent="0.25">
      <c r="A1690" s="115"/>
      <c r="B1690" s="115"/>
      <c r="C1690" s="115"/>
      <c r="D1690" s="115"/>
      <c r="E1690" s="115"/>
      <c r="F1690" s="115"/>
      <c r="G1690" s="116"/>
      <c r="I1690" s="118"/>
      <c r="J1690" s="118"/>
      <c r="L1690" s="125"/>
    </row>
    <row r="1691" spans="1:12" x14ac:dyDescent="0.25">
      <c r="A1691" s="115"/>
      <c r="B1691" s="115"/>
      <c r="C1691" s="115"/>
      <c r="D1691" s="115"/>
      <c r="E1691" s="115"/>
      <c r="F1691" s="115"/>
      <c r="G1691" s="116"/>
      <c r="I1691" s="118"/>
      <c r="J1691" s="118"/>
      <c r="L1691" s="125"/>
    </row>
    <row r="1692" spans="1:12" x14ac:dyDescent="0.25">
      <c r="A1692" s="115"/>
      <c r="B1692" s="115"/>
      <c r="C1692" s="115"/>
      <c r="D1692" s="115"/>
      <c r="E1692" s="115"/>
      <c r="F1692" s="115"/>
      <c r="G1692" s="116"/>
      <c r="I1692" s="118"/>
      <c r="J1692" s="118"/>
      <c r="L1692" s="125"/>
    </row>
    <row r="1693" spans="1:12" x14ac:dyDescent="0.25">
      <c r="A1693" s="115"/>
      <c r="B1693" s="115"/>
      <c r="C1693" s="115"/>
      <c r="D1693" s="115"/>
      <c r="E1693" s="115"/>
      <c r="F1693" s="115"/>
      <c r="G1693" s="116"/>
      <c r="I1693" s="118"/>
      <c r="J1693" s="118"/>
      <c r="L1693" s="125"/>
    </row>
    <row r="1694" spans="1:12" x14ac:dyDescent="0.25">
      <c r="A1694" s="115"/>
      <c r="B1694" s="115"/>
      <c r="C1694" s="115"/>
      <c r="D1694" s="115"/>
      <c r="E1694" s="115"/>
      <c r="F1694" s="115"/>
      <c r="G1694" s="116"/>
      <c r="I1694" s="118"/>
      <c r="J1694" s="118"/>
      <c r="L1694" s="125"/>
    </row>
    <row r="1695" spans="1:12" x14ac:dyDescent="0.25">
      <c r="A1695" s="115"/>
      <c r="B1695" s="115"/>
      <c r="C1695" s="115"/>
      <c r="D1695" s="115"/>
      <c r="E1695" s="115"/>
      <c r="F1695" s="115"/>
      <c r="G1695" s="116"/>
      <c r="I1695" s="118"/>
      <c r="J1695" s="118"/>
      <c r="L1695" s="125"/>
    </row>
    <row r="1696" spans="1:12" x14ac:dyDescent="0.25">
      <c r="A1696" s="115"/>
      <c r="B1696" s="115"/>
      <c r="C1696" s="115"/>
      <c r="D1696" s="115"/>
      <c r="E1696" s="115"/>
      <c r="F1696" s="115"/>
      <c r="G1696" s="116"/>
      <c r="I1696" s="118"/>
      <c r="J1696" s="118"/>
      <c r="L1696" s="125"/>
    </row>
    <row r="1697" spans="1:12" x14ac:dyDescent="0.25">
      <c r="A1697" s="115"/>
      <c r="B1697" s="115"/>
      <c r="C1697" s="115"/>
      <c r="D1697" s="115"/>
      <c r="E1697" s="115"/>
      <c r="F1697" s="115"/>
      <c r="G1697" s="116"/>
      <c r="I1697" s="118"/>
      <c r="J1697" s="118"/>
      <c r="L1697" s="125"/>
    </row>
    <row r="1698" spans="1:12" x14ac:dyDescent="0.25">
      <c r="A1698" s="115"/>
      <c r="B1698" s="115"/>
      <c r="C1698" s="115"/>
      <c r="D1698" s="115"/>
      <c r="E1698" s="115"/>
      <c r="F1698" s="115"/>
      <c r="G1698" s="116"/>
      <c r="I1698" s="118"/>
      <c r="J1698" s="118"/>
      <c r="L1698" s="125"/>
    </row>
    <row r="1699" spans="1:12" x14ac:dyDescent="0.25">
      <c r="A1699" s="115"/>
      <c r="B1699" s="115"/>
      <c r="C1699" s="115"/>
      <c r="D1699" s="115"/>
      <c r="E1699" s="115"/>
      <c r="F1699" s="115"/>
      <c r="G1699" s="116"/>
      <c r="I1699" s="118"/>
      <c r="J1699" s="118"/>
      <c r="L1699" s="125"/>
    </row>
    <row r="1700" spans="1:12" x14ac:dyDescent="0.25">
      <c r="A1700" s="115"/>
      <c r="B1700" s="115"/>
      <c r="C1700" s="115"/>
      <c r="D1700" s="115"/>
      <c r="E1700" s="115"/>
      <c r="F1700" s="115"/>
      <c r="G1700" s="116"/>
      <c r="I1700" s="118"/>
      <c r="J1700" s="118"/>
      <c r="L1700" s="125"/>
    </row>
    <row r="1701" spans="1:12" x14ac:dyDescent="0.25">
      <c r="A1701" s="115"/>
      <c r="B1701" s="115"/>
      <c r="C1701" s="115"/>
      <c r="D1701" s="115"/>
      <c r="E1701" s="115"/>
      <c r="F1701" s="115"/>
      <c r="G1701" s="116"/>
      <c r="I1701" s="118"/>
      <c r="J1701" s="118"/>
      <c r="L1701" s="125"/>
    </row>
    <row r="1702" spans="1:12" x14ac:dyDescent="0.25">
      <c r="A1702" s="115"/>
      <c r="B1702" s="115"/>
      <c r="C1702" s="115"/>
      <c r="D1702" s="115"/>
      <c r="E1702" s="115"/>
      <c r="F1702" s="115"/>
      <c r="G1702" s="116"/>
      <c r="I1702" s="118"/>
      <c r="J1702" s="118"/>
      <c r="L1702" s="125"/>
    </row>
    <row r="1703" spans="1:12" x14ac:dyDescent="0.25">
      <c r="A1703" s="115"/>
      <c r="B1703" s="115"/>
      <c r="C1703" s="115"/>
      <c r="D1703" s="115"/>
      <c r="E1703" s="115"/>
      <c r="F1703" s="115"/>
      <c r="G1703" s="116"/>
      <c r="I1703" s="118"/>
      <c r="J1703" s="118"/>
      <c r="L1703" s="125"/>
    </row>
    <row r="1704" spans="1:12" x14ac:dyDescent="0.25">
      <c r="A1704" s="115"/>
      <c r="B1704" s="115"/>
      <c r="C1704" s="115"/>
      <c r="D1704" s="115"/>
      <c r="E1704" s="115"/>
      <c r="F1704" s="115"/>
      <c r="G1704" s="116"/>
      <c r="I1704" s="118"/>
      <c r="J1704" s="118"/>
      <c r="L1704" s="125"/>
    </row>
    <row r="1705" spans="1:12" x14ac:dyDescent="0.25">
      <c r="A1705" s="115"/>
      <c r="B1705" s="115"/>
      <c r="C1705" s="115"/>
      <c r="D1705" s="115"/>
      <c r="E1705" s="115"/>
      <c r="F1705" s="115"/>
      <c r="G1705" s="116"/>
      <c r="I1705" s="118"/>
      <c r="J1705" s="118"/>
      <c r="L1705" s="125"/>
    </row>
    <row r="1706" spans="1:12" x14ac:dyDescent="0.25">
      <c r="A1706" s="115"/>
      <c r="B1706" s="115"/>
      <c r="C1706" s="115"/>
      <c r="D1706" s="115"/>
      <c r="E1706" s="115"/>
      <c r="F1706" s="115"/>
      <c r="G1706" s="116"/>
      <c r="I1706" s="118"/>
      <c r="J1706" s="118"/>
      <c r="L1706" s="125"/>
    </row>
    <row r="1707" spans="1:12" x14ac:dyDescent="0.25">
      <c r="A1707" s="115"/>
      <c r="B1707" s="115"/>
      <c r="C1707" s="115"/>
      <c r="D1707" s="115"/>
      <c r="E1707" s="115"/>
      <c r="F1707" s="115"/>
      <c r="G1707" s="116"/>
      <c r="I1707" s="118"/>
      <c r="J1707" s="118"/>
      <c r="L1707" s="125"/>
    </row>
    <row r="1708" spans="1:12" x14ac:dyDescent="0.25">
      <c r="A1708" s="115"/>
      <c r="B1708" s="115"/>
      <c r="C1708" s="115"/>
      <c r="D1708" s="115"/>
      <c r="E1708" s="115"/>
      <c r="F1708" s="115"/>
      <c r="G1708" s="116"/>
      <c r="I1708" s="118"/>
      <c r="J1708" s="118"/>
      <c r="L1708" s="125"/>
    </row>
    <row r="1709" spans="1:12" x14ac:dyDescent="0.25">
      <c r="A1709" s="115"/>
      <c r="B1709" s="115"/>
      <c r="C1709" s="115"/>
      <c r="D1709" s="115"/>
      <c r="E1709" s="115"/>
      <c r="F1709" s="115"/>
      <c r="G1709" s="116"/>
      <c r="I1709" s="118"/>
      <c r="J1709" s="118"/>
      <c r="L1709" s="125"/>
    </row>
    <row r="1710" spans="1:12" x14ac:dyDescent="0.25">
      <c r="A1710" s="115"/>
      <c r="B1710" s="115"/>
      <c r="C1710" s="115"/>
      <c r="D1710" s="115"/>
      <c r="E1710" s="115"/>
      <c r="F1710" s="115"/>
      <c r="G1710" s="116"/>
      <c r="I1710" s="118"/>
      <c r="J1710" s="118"/>
      <c r="L1710" s="125"/>
    </row>
    <row r="1711" spans="1:12" x14ac:dyDescent="0.25">
      <c r="A1711" s="115"/>
      <c r="B1711" s="115"/>
      <c r="C1711" s="115"/>
      <c r="D1711" s="115"/>
      <c r="E1711" s="115"/>
      <c r="F1711" s="115"/>
      <c r="G1711" s="116"/>
      <c r="I1711" s="118"/>
      <c r="J1711" s="118"/>
      <c r="L1711" s="125"/>
    </row>
    <row r="1712" spans="1:12" x14ac:dyDescent="0.25">
      <c r="A1712" s="115"/>
      <c r="B1712" s="115"/>
      <c r="C1712" s="115"/>
      <c r="D1712" s="115"/>
      <c r="E1712" s="115"/>
      <c r="F1712" s="115"/>
      <c r="G1712" s="116"/>
      <c r="I1712" s="118"/>
      <c r="J1712" s="118"/>
      <c r="L1712" s="125"/>
    </row>
    <row r="1713" spans="1:12" x14ac:dyDescent="0.25">
      <c r="A1713" s="115"/>
      <c r="B1713" s="115"/>
      <c r="C1713" s="115"/>
      <c r="D1713" s="115"/>
      <c r="E1713" s="115"/>
      <c r="F1713" s="115"/>
      <c r="G1713" s="116"/>
      <c r="I1713" s="118"/>
      <c r="J1713" s="118"/>
      <c r="L1713" s="125"/>
    </row>
    <row r="1714" spans="1:12" x14ac:dyDescent="0.25">
      <c r="A1714" s="115"/>
      <c r="B1714" s="115"/>
      <c r="C1714" s="115"/>
      <c r="D1714" s="115"/>
      <c r="E1714" s="115"/>
      <c r="F1714" s="115"/>
      <c r="G1714" s="116"/>
      <c r="I1714" s="118"/>
      <c r="J1714" s="118"/>
      <c r="L1714" s="125"/>
    </row>
    <row r="1715" spans="1:12" x14ac:dyDescent="0.25">
      <c r="A1715" s="115"/>
      <c r="B1715" s="115"/>
      <c r="C1715" s="115"/>
      <c r="D1715" s="115"/>
      <c r="E1715" s="115"/>
      <c r="F1715" s="115"/>
      <c r="G1715" s="116"/>
      <c r="I1715" s="118"/>
      <c r="J1715" s="118"/>
      <c r="L1715" s="125"/>
    </row>
    <row r="1716" spans="1:12" x14ac:dyDescent="0.25">
      <c r="A1716" s="115"/>
      <c r="B1716" s="115"/>
      <c r="C1716" s="115"/>
      <c r="D1716" s="115"/>
      <c r="E1716" s="115"/>
      <c r="F1716" s="115"/>
      <c r="G1716" s="116"/>
      <c r="I1716" s="118"/>
      <c r="J1716" s="118"/>
      <c r="L1716" s="125"/>
    </row>
    <row r="1717" spans="1:12" x14ac:dyDescent="0.25">
      <c r="A1717" s="115"/>
      <c r="B1717" s="115"/>
      <c r="C1717" s="115"/>
      <c r="D1717" s="115"/>
      <c r="E1717" s="115"/>
      <c r="F1717" s="115"/>
      <c r="G1717" s="116"/>
      <c r="I1717" s="118"/>
      <c r="J1717" s="118"/>
      <c r="L1717" s="125"/>
    </row>
    <row r="1718" spans="1:12" x14ac:dyDescent="0.25">
      <c r="A1718" s="115"/>
      <c r="B1718" s="115"/>
      <c r="C1718" s="115"/>
      <c r="D1718" s="115"/>
      <c r="E1718" s="115"/>
      <c r="F1718" s="115"/>
      <c r="G1718" s="116"/>
      <c r="I1718" s="118"/>
      <c r="J1718" s="118"/>
      <c r="L1718" s="125"/>
    </row>
    <row r="1719" spans="1:12" x14ac:dyDescent="0.25">
      <c r="A1719" s="115"/>
      <c r="B1719" s="115"/>
      <c r="C1719" s="115"/>
      <c r="D1719" s="115"/>
      <c r="E1719" s="115"/>
      <c r="F1719" s="115"/>
      <c r="G1719" s="116"/>
      <c r="I1719" s="118"/>
      <c r="J1719" s="118"/>
      <c r="L1719" s="125"/>
    </row>
    <row r="1720" spans="1:12" x14ac:dyDescent="0.25">
      <c r="A1720" s="115"/>
      <c r="B1720" s="115"/>
      <c r="C1720" s="115"/>
      <c r="D1720" s="115"/>
      <c r="E1720" s="115"/>
      <c r="F1720" s="115"/>
      <c r="G1720" s="116"/>
      <c r="I1720" s="118"/>
      <c r="J1720" s="118"/>
      <c r="L1720" s="125"/>
    </row>
    <row r="1721" spans="1:12" x14ac:dyDescent="0.25">
      <c r="A1721" s="115"/>
      <c r="B1721" s="115"/>
      <c r="C1721" s="115"/>
      <c r="D1721" s="115"/>
      <c r="E1721" s="115"/>
      <c r="F1721" s="115"/>
      <c r="G1721" s="116"/>
      <c r="I1721" s="118"/>
      <c r="J1721" s="118"/>
      <c r="L1721" s="125"/>
    </row>
    <row r="1722" spans="1:12" x14ac:dyDescent="0.25">
      <c r="A1722" s="115"/>
      <c r="B1722" s="115"/>
      <c r="C1722" s="115"/>
      <c r="D1722" s="115"/>
      <c r="E1722" s="115"/>
      <c r="F1722" s="115"/>
      <c r="G1722" s="116"/>
      <c r="I1722" s="118"/>
      <c r="J1722" s="118"/>
      <c r="L1722" s="125"/>
    </row>
    <row r="1723" spans="1:12" x14ac:dyDescent="0.25">
      <c r="A1723" s="115"/>
      <c r="B1723" s="115"/>
      <c r="C1723" s="115"/>
      <c r="D1723" s="115"/>
      <c r="E1723" s="115"/>
      <c r="F1723" s="115"/>
      <c r="G1723" s="116"/>
      <c r="I1723" s="118"/>
      <c r="J1723" s="118"/>
      <c r="L1723" s="125"/>
    </row>
    <row r="1724" spans="1:12" x14ac:dyDescent="0.25">
      <c r="A1724" s="115"/>
      <c r="B1724" s="115"/>
      <c r="C1724" s="115"/>
      <c r="D1724" s="115"/>
      <c r="E1724" s="115"/>
      <c r="F1724" s="115"/>
      <c r="G1724" s="116"/>
      <c r="I1724" s="118"/>
      <c r="J1724" s="118"/>
      <c r="L1724" s="125"/>
    </row>
    <row r="1725" spans="1:12" x14ac:dyDescent="0.25">
      <c r="A1725" s="115"/>
      <c r="B1725" s="115"/>
      <c r="C1725" s="115"/>
      <c r="D1725" s="115"/>
      <c r="E1725" s="115"/>
      <c r="F1725" s="115"/>
      <c r="G1725" s="116"/>
      <c r="I1725" s="118"/>
      <c r="J1725" s="118"/>
      <c r="L1725" s="125"/>
    </row>
    <row r="1726" spans="1:12" x14ac:dyDescent="0.25">
      <c r="A1726" s="115"/>
      <c r="B1726" s="115"/>
      <c r="C1726" s="115"/>
      <c r="D1726" s="115"/>
      <c r="E1726" s="115"/>
      <c r="F1726" s="115"/>
      <c r="G1726" s="116"/>
      <c r="I1726" s="118"/>
      <c r="J1726" s="118"/>
      <c r="L1726" s="125"/>
    </row>
    <row r="1727" spans="1:12" x14ac:dyDescent="0.25">
      <c r="A1727" s="115"/>
      <c r="B1727" s="115"/>
      <c r="C1727" s="115"/>
      <c r="D1727" s="115"/>
      <c r="E1727" s="115"/>
      <c r="F1727" s="115"/>
      <c r="G1727" s="116"/>
      <c r="I1727" s="118"/>
      <c r="J1727" s="118"/>
      <c r="L1727" s="125"/>
    </row>
    <row r="1728" spans="1:12" x14ac:dyDescent="0.25">
      <c r="A1728" s="115"/>
      <c r="B1728" s="115"/>
      <c r="C1728" s="115"/>
      <c r="D1728" s="115"/>
      <c r="E1728" s="115"/>
      <c r="F1728" s="115"/>
      <c r="G1728" s="116"/>
      <c r="I1728" s="118"/>
      <c r="J1728" s="118"/>
      <c r="L1728" s="125"/>
    </row>
    <row r="1729" spans="1:12" x14ac:dyDescent="0.25">
      <c r="A1729" s="115"/>
      <c r="B1729" s="115"/>
      <c r="C1729" s="115"/>
      <c r="D1729" s="115"/>
      <c r="E1729" s="115"/>
      <c r="F1729" s="115"/>
      <c r="G1729" s="116"/>
      <c r="I1729" s="118"/>
      <c r="J1729" s="118"/>
      <c r="L1729" s="125"/>
    </row>
    <row r="1730" spans="1:12" x14ac:dyDescent="0.25">
      <c r="A1730" s="115"/>
      <c r="B1730" s="115"/>
      <c r="C1730" s="115"/>
      <c r="D1730" s="115"/>
      <c r="E1730" s="115"/>
      <c r="F1730" s="115"/>
      <c r="G1730" s="116"/>
      <c r="I1730" s="118"/>
      <c r="J1730" s="118"/>
      <c r="L1730" s="125"/>
    </row>
    <row r="1731" spans="1:12" x14ac:dyDescent="0.25">
      <c r="A1731" s="115"/>
      <c r="B1731" s="115"/>
      <c r="C1731" s="115"/>
      <c r="D1731" s="115"/>
      <c r="E1731" s="115"/>
      <c r="F1731" s="115"/>
      <c r="G1731" s="116"/>
      <c r="I1731" s="118"/>
      <c r="J1731" s="118"/>
      <c r="L1731" s="125"/>
    </row>
    <row r="1732" spans="1:12" x14ac:dyDescent="0.25">
      <c r="A1732" s="115"/>
      <c r="B1732" s="115"/>
      <c r="C1732" s="115"/>
      <c r="D1732" s="115"/>
      <c r="E1732" s="115"/>
      <c r="F1732" s="115"/>
      <c r="G1732" s="116"/>
      <c r="I1732" s="118"/>
      <c r="J1732" s="118"/>
      <c r="L1732" s="125"/>
    </row>
    <row r="1733" spans="1:12" x14ac:dyDescent="0.25">
      <c r="A1733" s="115"/>
      <c r="B1733" s="115"/>
      <c r="C1733" s="115"/>
      <c r="D1733" s="115"/>
      <c r="E1733" s="115"/>
      <c r="F1733" s="115"/>
      <c r="G1733" s="116"/>
      <c r="I1733" s="118"/>
      <c r="J1733" s="118"/>
      <c r="L1733" s="125"/>
    </row>
    <row r="1734" spans="1:12" x14ac:dyDescent="0.25">
      <c r="A1734" s="115"/>
      <c r="B1734" s="115"/>
      <c r="C1734" s="115"/>
      <c r="D1734" s="115"/>
      <c r="E1734" s="115"/>
      <c r="F1734" s="115"/>
      <c r="G1734" s="116"/>
      <c r="I1734" s="118"/>
      <c r="J1734" s="118"/>
      <c r="L1734" s="125"/>
    </row>
    <row r="1735" spans="1:12" x14ac:dyDescent="0.25">
      <c r="A1735" s="115"/>
      <c r="B1735" s="115"/>
      <c r="C1735" s="115"/>
      <c r="D1735" s="115"/>
      <c r="E1735" s="115"/>
      <c r="F1735" s="115"/>
      <c r="G1735" s="116"/>
      <c r="I1735" s="118"/>
      <c r="J1735" s="118"/>
      <c r="L1735" s="125"/>
    </row>
    <row r="1736" spans="1:12" x14ac:dyDescent="0.25">
      <c r="A1736" s="115"/>
      <c r="B1736" s="115"/>
      <c r="C1736" s="115"/>
      <c r="D1736" s="115"/>
      <c r="E1736" s="115"/>
      <c r="F1736" s="115"/>
      <c r="G1736" s="116"/>
      <c r="I1736" s="118"/>
      <c r="J1736" s="118"/>
      <c r="L1736" s="125"/>
    </row>
    <row r="1737" spans="1:12" x14ac:dyDescent="0.25">
      <c r="A1737" s="115"/>
      <c r="B1737" s="115"/>
      <c r="C1737" s="115"/>
      <c r="D1737" s="115"/>
      <c r="E1737" s="115"/>
      <c r="F1737" s="115"/>
      <c r="G1737" s="116"/>
      <c r="I1737" s="118"/>
      <c r="J1737" s="118"/>
      <c r="L1737" s="125"/>
    </row>
    <row r="1738" spans="1:12" x14ac:dyDescent="0.25">
      <c r="A1738" s="115"/>
      <c r="B1738" s="115"/>
      <c r="C1738" s="115"/>
      <c r="D1738" s="115"/>
      <c r="E1738" s="115"/>
      <c r="F1738" s="115"/>
      <c r="G1738" s="116"/>
      <c r="I1738" s="118"/>
      <c r="J1738" s="118"/>
      <c r="L1738" s="125"/>
    </row>
    <row r="1739" spans="1:12" x14ac:dyDescent="0.25">
      <c r="A1739" s="115"/>
      <c r="B1739" s="115"/>
      <c r="C1739" s="115"/>
      <c r="D1739" s="115"/>
      <c r="E1739" s="115"/>
      <c r="F1739" s="115"/>
      <c r="G1739" s="116"/>
      <c r="I1739" s="118"/>
      <c r="J1739" s="118"/>
      <c r="L1739" s="125"/>
    </row>
    <row r="1740" spans="1:12" x14ac:dyDescent="0.25">
      <c r="A1740" s="115"/>
      <c r="B1740" s="115"/>
      <c r="C1740" s="115"/>
      <c r="D1740" s="115"/>
      <c r="E1740" s="115"/>
      <c r="F1740" s="115"/>
      <c r="G1740" s="116"/>
      <c r="I1740" s="118"/>
      <c r="J1740" s="118"/>
      <c r="L1740" s="125"/>
    </row>
    <row r="1741" spans="1:12" x14ac:dyDescent="0.25">
      <c r="A1741" s="115"/>
      <c r="B1741" s="115"/>
      <c r="C1741" s="115"/>
      <c r="D1741" s="115"/>
      <c r="E1741" s="115"/>
      <c r="F1741" s="115"/>
      <c r="G1741" s="116"/>
      <c r="I1741" s="118"/>
      <c r="J1741" s="118"/>
      <c r="L1741" s="125"/>
    </row>
    <row r="1742" spans="1:12" x14ac:dyDescent="0.25">
      <c r="A1742" s="115"/>
      <c r="B1742" s="115"/>
      <c r="C1742" s="115"/>
      <c r="D1742" s="115"/>
      <c r="E1742" s="115"/>
      <c r="F1742" s="115"/>
      <c r="G1742" s="116"/>
      <c r="I1742" s="118"/>
      <c r="J1742" s="118"/>
      <c r="L1742" s="125"/>
    </row>
    <row r="1743" spans="1:12" x14ac:dyDescent="0.25">
      <c r="A1743" s="115"/>
      <c r="B1743" s="115"/>
      <c r="C1743" s="115"/>
      <c r="D1743" s="115"/>
      <c r="E1743" s="115"/>
      <c r="F1743" s="115"/>
      <c r="G1743" s="116"/>
      <c r="I1743" s="118"/>
      <c r="J1743" s="118"/>
      <c r="L1743" s="125"/>
    </row>
    <row r="1744" spans="1:12" x14ac:dyDescent="0.25">
      <c r="A1744" s="115"/>
      <c r="B1744" s="115"/>
      <c r="C1744" s="115"/>
      <c r="D1744" s="115"/>
      <c r="E1744" s="115"/>
      <c r="F1744" s="115"/>
      <c r="G1744" s="116"/>
      <c r="I1744" s="118"/>
      <c r="J1744" s="118"/>
      <c r="L1744" s="125"/>
    </row>
    <row r="1745" spans="1:12" x14ac:dyDescent="0.25">
      <c r="A1745" s="115"/>
      <c r="B1745" s="115"/>
      <c r="C1745" s="115"/>
      <c r="D1745" s="115"/>
      <c r="E1745" s="115"/>
      <c r="F1745" s="115"/>
      <c r="G1745" s="116"/>
      <c r="I1745" s="118"/>
      <c r="J1745" s="118"/>
      <c r="L1745" s="125"/>
    </row>
    <row r="1746" spans="1:12" x14ac:dyDescent="0.25">
      <c r="A1746" s="115"/>
      <c r="B1746" s="115"/>
      <c r="C1746" s="115"/>
      <c r="D1746" s="115"/>
      <c r="E1746" s="115"/>
      <c r="F1746" s="115"/>
      <c r="G1746" s="116"/>
      <c r="I1746" s="118"/>
      <c r="J1746" s="118"/>
      <c r="L1746" s="125"/>
    </row>
    <row r="1747" spans="1:12" x14ac:dyDescent="0.25">
      <c r="A1747" s="115"/>
      <c r="B1747" s="115"/>
      <c r="C1747" s="115"/>
      <c r="D1747" s="115"/>
      <c r="E1747" s="115"/>
      <c r="F1747" s="115"/>
      <c r="G1747" s="116"/>
      <c r="I1747" s="118"/>
      <c r="J1747" s="118"/>
      <c r="L1747" s="125"/>
    </row>
    <row r="1748" spans="1:12" x14ac:dyDescent="0.25">
      <c r="A1748" s="115"/>
      <c r="B1748" s="115"/>
      <c r="C1748" s="115"/>
      <c r="D1748" s="115"/>
      <c r="E1748" s="115"/>
      <c r="F1748" s="115"/>
      <c r="G1748" s="116"/>
      <c r="I1748" s="118"/>
      <c r="J1748" s="118"/>
      <c r="L1748" s="125"/>
    </row>
    <row r="1749" spans="1:12" x14ac:dyDescent="0.25">
      <c r="A1749" s="115"/>
      <c r="B1749" s="115"/>
      <c r="C1749" s="115"/>
      <c r="D1749" s="115"/>
      <c r="E1749" s="115"/>
      <c r="F1749" s="115"/>
      <c r="G1749" s="116"/>
      <c r="I1749" s="118"/>
      <c r="J1749" s="118"/>
      <c r="L1749" s="125"/>
    </row>
    <row r="1750" spans="1:12" x14ac:dyDescent="0.25">
      <c r="A1750" s="115"/>
      <c r="B1750" s="115"/>
      <c r="C1750" s="115"/>
      <c r="D1750" s="115"/>
      <c r="E1750" s="115"/>
      <c r="F1750" s="115"/>
      <c r="G1750" s="116"/>
      <c r="I1750" s="118"/>
      <c r="J1750" s="118"/>
      <c r="L1750" s="125"/>
    </row>
    <row r="1751" spans="1:12" x14ac:dyDescent="0.25">
      <c r="A1751" s="115"/>
      <c r="B1751" s="115"/>
      <c r="C1751" s="115"/>
      <c r="D1751" s="115"/>
      <c r="E1751" s="115"/>
      <c r="F1751" s="115"/>
      <c r="G1751" s="116"/>
      <c r="I1751" s="118"/>
      <c r="J1751" s="118"/>
      <c r="L1751" s="125"/>
    </row>
    <row r="1752" spans="1:12" x14ac:dyDescent="0.25">
      <c r="A1752" s="115"/>
      <c r="B1752" s="115"/>
      <c r="C1752" s="115"/>
      <c r="D1752" s="115"/>
      <c r="E1752" s="115"/>
      <c r="F1752" s="115"/>
      <c r="G1752" s="116"/>
      <c r="I1752" s="118"/>
      <c r="J1752" s="118"/>
      <c r="L1752" s="125"/>
    </row>
    <row r="1753" spans="1:12" x14ac:dyDescent="0.25">
      <c r="A1753" s="115"/>
      <c r="B1753" s="115"/>
      <c r="C1753" s="115"/>
      <c r="D1753" s="115"/>
      <c r="E1753" s="115"/>
      <c r="F1753" s="115"/>
      <c r="G1753" s="116"/>
      <c r="I1753" s="118"/>
      <c r="J1753" s="118"/>
      <c r="L1753" s="125"/>
    </row>
    <row r="1754" spans="1:12" x14ac:dyDescent="0.25">
      <c r="A1754" s="115"/>
      <c r="B1754" s="115"/>
      <c r="C1754" s="115"/>
      <c r="D1754" s="115"/>
      <c r="E1754" s="115"/>
      <c r="F1754" s="115"/>
      <c r="G1754" s="116"/>
      <c r="I1754" s="118"/>
      <c r="J1754" s="118"/>
      <c r="L1754" s="125"/>
    </row>
    <row r="1755" spans="1:12" x14ac:dyDescent="0.25">
      <c r="A1755" s="115"/>
      <c r="B1755" s="115"/>
      <c r="C1755" s="115"/>
      <c r="D1755" s="115"/>
      <c r="E1755" s="115"/>
      <c r="F1755" s="115"/>
      <c r="G1755" s="116"/>
      <c r="I1755" s="118"/>
      <c r="J1755" s="118"/>
      <c r="L1755" s="125"/>
    </row>
    <row r="1756" spans="1:12" x14ac:dyDescent="0.25">
      <c r="A1756" s="115"/>
      <c r="B1756" s="115"/>
      <c r="C1756" s="115"/>
      <c r="D1756" s="115"/>
      <c r="E1756" s="115"/>
      <c r="F1756" s="115"/>
      <c r="G1756" s="116"/>
      <c r="I1756" s="118"/>
      <c r="J1756" s="118"/>
      <c r="L1756" s="125"/>
    </row>
    <row r="1757" spans="1:12" x14ac:dyDescent="0.25">
      <c r="A1757" s="115"/>
      <c r="B1757" s="115"/>
      <c r="C1757" s="115"/>
      <c r="D1757" s="115"/>
      <c r="E1757" s="115"/>
      <c r="F1757" s="115"/>
      <c r="G1757" s="116"/>
      <c r="I1757" s="118"/>
      <c r="J1757" s="118"/>
      <c r="L1757" s="125"/>
    </row>
    <row r="1758" spans="1:12" x14ac:dyDescent="0.25">
      <c r="A1758" s="115"/>
      <c r="B1758" s="115"/>
      <c r="C1758" s="115"/>
      <c r="D1758" s="115"/>
      <c r="E1758" s="115"/>
      <c r="F1758" s="115"/>
      <c r="G1758" s="116"/>
      <c r="I1758" s="118"/>
      <c r="J1758" s="118"/>
      <c r="L1758" s="125"/>
    </row>
    <row r="1759" spans="1:12" x14ac:dyDescent="0.25">
      <c r="A1759" s="115"/>
      <c r="B1759" s="115"/>
      <c r="C1759" s="115"/>
      <c r="D1759" s="115"/>
      <c r="E1759" s="115"/>
      <c r="F1759" s="115"/>
      <c r="G1759" s="116"/>
      <c r="I1759" s="118"/>
      <c r="J1759" s="118"/>
      <c r="L1759" s="125"/>
    </row>
    <row r="1760" spans="1:12" x14ac:dyDescent="0.25">
      <c r="A1760" s="115"/>
      <c r="B1760" s="115"/>
      <c r="C1760" s="115"/>
      <c r="D1760" s="115"/>
      <c r="E1760" s="115"/>
      <c r="F1760" s="115"/>
      <c r="G1760" s="116"/>
      <c r="I1760" s="118"/>
      <c r="J1760" s="118"/>
      <c r="L1760" s="125"/>
    </row>
    <row r="1761" spans="1:12" x14ac:dyDescent="0.25">
      <c r="A1761" s="115"/>
      <c r="B1761" s="115"/>
      <c r="C1761" s="115"/>
      <c r="D1761" s="115"/>
      <c r="E1761" s="115"/>
      <c r="F1761" s="115"/>
      <c r="G1761" s="116"/>
      <c r="I1761" s="118"/>
      <c r="J1761" s="118"/>
      <c r="L1761" s="125"/>
    </row>
    <row r="1762" spans="1:12" x14ac:dyDescent="0.25">
      <c r="A1762" s="115"/>
      <c r="B1762" s="115"/>
      <c r="C1762" s="115"/>
      <c r="D1762" s="115"/>
      <c r="E1762" s="115"/>
      <c r="F1762" s="115"/>
      <c r="G1762" s="116"/>
      <c r="I1762" s="118"/>
      <c r="J1762" s="118"/>
      <c r="L1762" s="125"/>
    </row>
    <row r="1763" spans="1:12" x14ac:dyDescent="0.25">
      <c r="A1763" s="115"/>
      <c r="B1763" s="115"/>
      <c r="C1763" s="115"/>
      <c r="D1763" s="115"/>
      <c r="E1763" s="115"/>
      <c r="F1763" s="115"/>
      <c r="G1763" s="116"/>
      <c r="I1763" s="118"/>
      <c r="J1763" s="118"/>
      <c r="L1763" s="125"/>
    </row>
    <row r="1764" spans="1:12" x14ac:dyDescent="0.25">
      <c r="A1764" s="115"/>
      <c r="B1764" s="115"/>
      <c r="C1764" s="115"/>
      <c r="D1764" s="115"/>
      <c r="E1764" s="115"/>
      <c r="F1764" s="115"/>
      <c r="G1764" s="116"/>
      <c r="I1764" s="118"/>
      <c r="J1764" s="118"/>
      <c r="L1764" s="125"/>
    </row>
    <row r="1765" spans="1:12" x14ac:dyDescent="0.25">
      <c r="A1765" s="115"/>
      <c r="B1765" s="115"/>
      <c r="C1765" s="115"/>
      <c r="D1765" s="115"/>
      <c r="E1765" s="115"/>
      <c r="F1765" s="115"/>
      <c r="G1765" s="116"/>
      <c r="I1765" s="118"/>
      <c r="J1765" s="118"/>
      <c r="L1765" s="125"/>
    </row>
    <row r="1766" spans="1:12" x14ac:dyDescent="0.25">
      <c r="A1766" s="115"/>
      <c r="B1766" s="115"/>
      <c r="C1766" s="115"/>
      <c r="D1766" s="115"/>
      <c r="E1766" s="115"/>
      <c r="F1766" s="115"/>
      <c r="G1766" s="116"/>
      <c r="I1766" s="118"/>
      <c r="J1766" s="118"/>
      <c r="L1766" s="125"/>
    </row>
    <row r="1767" spans="1:12" x14ac:dyDescent="0.25">
      <c r="A1767" s="115"/>
      <c r="B1767" s="115"/>
      <c r="C1767" s="115"/>
      <c r="D1767" s="115"/>
      <c r="E1767" s="115"/>
      <c r="F1767" s="115"/>
      <c r="G1767" s="116"/>
      <c r="I1767" s="118"/>
      <c r="J1767" s="118"/>
      <c r="L1767" s="125"/>
    </row>
    <row r="1768" spans="1:12" x14ac:dyDescent="0.25">
      <c r="A1768" s="115"/>
      <c r="B1768" s="115"/>
      <c r="C1768" s="115"/>
      <c r="D1768" s="115"/>
      <c r="E1768" s="115"/>
      <c r="F1768" s="115"/>
      <c r="G1768" s="116"/>
      <c r="I1768" s="118"/>
      <c r="J1768" s="118"/>
      <c r="L1768" s="125"/>
    </row>
    <row r="1769" spans="1:12" x14ac:dyDescent="0.25">
      <c r="A1769" s="115"/>
      <c r="B1769" s="115"/>
      <c r="C1769" s="115"/>
      <c r="D1769" s="115"/>
      <c r="E1769" s="115"/>
      <c r="F1769" s="115"/>
      <c r="G1769" s="116"/>
      <c r="I1769" s="118"/>
      <c r="J1769" s="118"/>
      <c r="L1769" s="125"/>
    </row>
    <row r="1770" spans="1:12" x14ac:dyDescent="0.25">
      <c r="A1770" s="115"/>
      <c r="B1770" s="115"/>
      <c r="C1770" s="115"/>
      <c r="D1770" s="115"/>
      <c r="E1770" s="115"/>
      <c r="F1770" s="115"/>
      <c r="G1770" s="116"/>
      <c r="I1770" s="118"/>
      <c r="J1770" s="118"/>
      <c r="L1770" s="125"/>
    </row>
    <row r="1771" spans="1:12" x14ac:dyDescent="0.25">
      <c r="A1771" s="115"/>
      <c r="B1771" s="115"/>
      <c r="C1771" s="115"/>
      <c r="D1771" s="115"/>
      <c r="E1771" s="115"/>
      <c r="F1771" s="115"/>
      <c r="G1771" s="116"/>
      <c r="I1771" s="118"/>
      <c r="J1771" s="118"/>
      <c r="L1771" s="125"/>
    </row>
    <row r="1772" spans="1:12" x14ac:dyDescent="0.25">
      <c r="A1772" s="115"/>
      <c r="B1772" s="115"/>
      <c r="C1772" s="115"/>
      <c r="D1772" s="115"/>
      <c r="E1772" s="115"/>
      <c r="F1772" s="115"/>
      <c r="G1772" s="116"/>
      <c r="I1772" s="118"/>
      <c r="J1772" s="118"/>
      <c r="L1772" s="125"/>
    </row>
    <row r="1773" spans="1:12" x14ac:dyDescent="0.25">
      <c r="A1773" s="115"/>
      <c r="B1773" s="115"/>
      <c r="C1773" s="115"/>
      <c r="D1773" s="115"/>
      <c r="E1773" s="115"/>
      <c r="F1773" s="115"/>
      <c r="G1773" s="116"/>
      <c r="I1773" s="118"/>
      <c r="J1773" s="118"/>
      <c r="L1773" s="125"/>
    </row>
    <row r="1774" spans="1:12" x14ac:dyDescent="0.25">
      <c r="A1774" s="115"/>
      <c r="B1774" s="115"/>
      <c r="C1774" s="115"/>
      <c r="D1774" s="115"/>
      <c r="E1774" s="115"/>
      <c r="F1774" s="115"/>
      <c r="G1774" s="116"/>
      <c r="I1774" s="118"/>
      <c r="J1774" s="118"/>
      <c r="L1774" s="125"/>
    </row>
    <row r="1775" spans="1:12" x14ac:dyDescent="0.25">
      <c r="A1775" s="115"/>
      <c r="B1775" s="115"/>
      <c r="C1775" s="115"/>
      <c r="D1775" s="115"/>
      <c r="E1775" s="115"/>
      <c r="F1775" s="115"/>
      <c r="G1775" s="116"/>
      <c r="I1775" s="118"/>
      <c r="J1775" s="118"/>
      <c r="L1775" s="125"/>
    </row>
    <row r="1776" spans="1:12" x14ac:dyDescent="0.25">
      <c r="A1776" s="115"/>
      <c r="B1776" s="115"/>
      <c r="C1776" s="115"/>
      <c r="D1776" s="115"/>
      <c r="E1776" s="115"/>
      <c r="F1776" s="115"/>
      <c r="G1776" s="116"/>
      <c r="I1776" s="118"/>
      <c r="J1776" s="118"/>
      <c r="L1776" s="125"/>
    </row>
    <row r="1777" spans="1:12" x14ac:dyDescent="0.25">
      <c r="A1777" s="115"/>
      <c r="B1777" s="115"/>
      <c r="C1777" s="115"/>
      <c r="D1777" s="115"/>
      <c r="E1777" s="115"/>
      <c r="F1777" s="115"/>
      <c r="G1777" s="116"/>
      <c r="I1777" s="118"/>
      <c r="J1777" s="118"/>
      <c r="L1777" s="125"/>
    </row>
    <row r="1778" spans="1:12" x14ac:dyDescent="0.25">
      <c r="A1778" s="115"/>
      <c r="B1778" s="115"/>
      <c r="C1778" s="115"/>
      <c r="D1778" s="115"/>
      <c r="E1778" s="115"/>
      <c r="F1778" s="115"/>
      <c r="G1778" s="116"/>
      <c r="I1778" s="118"/>
      <c r="J1778" s="118"/>
      <c r="L1778" s="125"/>
    </row>
    <row r="1779" spans="1:12" x14ac:dyDescent="0.25">
      <c r="A1779" s="115"/>
      <c r="B1779" s="115"/>
      <c r="C1779" s="115"/>
      <c r="D1779" s="115"/>
      <c r="E1779" s="115"/>
      <c r="F1779" s="115"/>
      <c r="G1779" s="116"/>
      <c r="I1779" s="118"/>
      <c r="J1779" s="118"/>
      <c r="L1779" s="125"/>
    </row>
    <row r="1780" spans="1:12" x14ac:dyDescent="0.25">
      <c r="A1780" s="115"/>
      <c r="B1780" s="115"/>
      <c r="C1780" s="115"/>
      <c r="D1780" s="115"/>
      <c r="E1780" s="115"/>
      <c r="F1780" s="115"/>
      <c r="G1780" s="116"/>
      <c r="I1780" s="118"/>
      <c r="J1780" s="118"/>
      <c r="L1780" s="125"/>
    </row>
    <row r="1781" spans="1:12" x14ac:dyDescent="0.25">
      <c r="A1781" s="115"/>
      <c r="B1781" s="115"/>
      <c r="C1781" s="115"/>
      <c r="D1781" s="115"/>
      <c r="E1781" s="115"/>
      <c r="F1781" s="115"/>
      <c r="G1781" s="116"/>
      <c r="I1781" s="118"/>
      <c r="J1781" s="118"/>
      <c r="L1781" s="125"/>
    </row>
    <row r="1782" spans="1:12" x14ac:dyDescent="0.25">
      <c r="A1782" s="115"/>
      <c r="B1782" s="115"/>
      <c r="C1782" s="115"/>
      <c r="D1782" s="115"/>
      <c r="E1782" s="115"/>
      <c r="F1782" s="115"/>
      <c r="G1782" s="116"/>
      <c r="I1782" s="118"/>
      <c r="J1782" s="118"/>
      <c r="L1782" s="125"/>
    </row>
    <row r="1783" spans="1:12" x14ac:dyDescent="0.25">
      <c r="A1783" s="115"/>
      <c r="B1783" s="115"/>
      <c r="C1783" s="115"/>
      <c r="D1783" s="115"/>
      <c r="E1783" s="115"/>
      <c r="F1783" s="115"/>
      <c r="G1783" s="116"/>
      <c r="I1783" s="118"/>
      <c r="J1783" s="118"/>
      <c r="L1783" s="125"/>
    </row>
    <row r="1784" spans="1:12" x14ac:dyDescent="0.25">
      <c r="A1784" s="115"/>
      <c r="B1784" s="115"/>
      <c r="C1784" s="115"/>
      <c r="D1784" s="115"/>
      <c r="E1784" s="115"/>
      <c r="F1784" s="115"/>
      <c r="G1784" s="116"/>
      <c r="I1784" s="118"/>
      <c r="J1784" s="118"/>
      <c r="L1784" s="125"/>
    </row>
    <row r="1785" spans="1:12" x14ac:dyDescent="0.25">
      <c r="A1785" s="115"/>
      <c r="B1785" s="115"/>
      <c r="C1785" s="115"/>
      <c r="D1785" s="115"/>
      <c r="E1785" s="115"/>
      <c r="F1785" s="115"/>
      <c r="G1785" s="116"/>
      <c r="I1785" s="118"/>
      <c r="J1785" s="118"/>
      <c r="L1785" s="125"/>
    </row>
    <row r="1786" spans="1:12" x14ac:dyDescent="0.25">
      <c r="A1786" s="115"/>
      <c r="B1786" s="115"/>
      <c r="C1786" s="115"/>
      <c r="D1786" s="115"/>
      <c r="E1786" s="115"/>
      <c r="F1786" s="115"/>
      <c r="G1786" s="116"/>
      <c r="I1786" s="118"/>
      <c r="J1786" s="118"/>
      <c r="L1786" s="125"/>
    </row>
    <row r="1787" spans="1:12" x14ac:dyDescent="0.25">
      <c r="A1787" s="115"/>
      <c r="B1787" s="115"/>
      <c r="C1787" s="115"/>
      <c r="D1787" s="115"/>
      <c r="E1787" s="115"/>
      <c r="F1787" s="115"/>
      <c r="G1787" s="116"/>
      <c r="I1787" s="118"/>
      <c r="J1787" s="118"/>
      <c r="L1787" s="125"/>
    </row>
    <row r="1788" spans="1:12" x14ac:dyDescent="0.25">
      <c r="A1788" s="115"/>
      <c r="B1788" s="115"/>
      <c r="C1788" s="115"/>
      <c r="D1788" s="115"/>
      <c r="E1788" s="115"/>
      <c r="F1788" s="115"/>
      <c r="G1788" s="116"/>
      <c r="I1788" s="118"/>
      <c r="J1788" s="118"/>
      <c r="L1788" s="125"/>
    </row>
    <row r="1789" spans="1:12" x14ac:dyDescent="0.25">
      <c r="A1789" s="115"/>
      <c r="B1789" s="115"/>
      <c r="C1789" s="115"/>
      <c r="D1789" s="115"/>
      <c r="E1789" s="115"/>
      <c r="F1789" s="115"/>
      <c r="G1789" s="116"/>
      <c r="I1789" s="118"/>
      <c r="J1789" s="118"/>
      <c r="L1789" s="125"/>
    </row>
    <row r="1790" spans="1:12" x14ac:dyDescent="0.25">
      <c r="A1790" s="115"/>
      <c r="B1790" s="115"/>
      <c r="C1790" s="115"/>
      <c r="D1790" s="115"/>
      <c r="E1790" s="115"/>
      <c r="F1790" s="115"/>
      <c r="G1790" s="116"/>
      <c r="I1790" s="118"/>
      <c r="J1790" s="118"/>
      <c r="L1790" s="125"/>
    </row>
    <row r="1791" spans="1:12" x14ac:dyDescent="0.25">
      <c r="A1791" s="115"/>
      <c r="B1791" s="115"/>
      <c r="C1791" s="115"/>
      <c r="D1791" s="115"/>
      <c r="E1791" s="115"/>
      <c r="F1791" s="115"/>
      <c r="G1791" s="116"/>
      <c r="I1791" s="118"/>
      <c r="J1791" s="118"/>
      <c r="L1791" s="125"/>
    </row>
    <row r="1792" spans="1:12" x14ac:dyDescent="0.25">
      <c r="A1792" s="115"/>
      <c r="B1792" s="115"/>
      <c r="C1792" s="115"/>
      <c r="D1792" s="115"/>
      <c r="E1792" s="115"/>
      <c r="F1792" s="115"/>
      <c r="G1792" s="116"/>
      <c r="I1792" s="118"/>
      <c r="J1792" s="118"/>
      <c r="L1792" s="125"/>
    </row>
    <row r="1793" spans="1:12" x14ac:dyDescent="0.25">
      <c r="A1793" s="115"/>
      <c r="B1793" s="115"/>
      <c r="C1793" s="115"/>
      <c r="D1793" s="115"/>
      <c r="E1793" s="115"/>
      <c r="F1793" s="115"/>
      <c r="G1793" s="116"/>
      <c r="I1793" s="118"/>
      <c r="J1793" s="118"/>
      <c r="L1793" s="125"/>
    </row>
    <row r="1794" spans="1:12" x14ac:dyDescent="0.25">
      <c r="A1794" s="115"/>
      <c r="B1794" s="115"/>
      <c r="C1794" s="115"/>
      <c r="D1794" s="115"/>
      <c r="E1794" s="115"/>
      <c r="F1794" s="115"/>
      <c r="G1794" s="116"/>
      <c r="I1794" s="118"/>
      <c r="J1794" s="118"/>
      <c r="L1794" s="125"/>
    </row>
    <row r="1795" spans="1:12" x14ac:dyDescent="0.25">
      <c r="A1795" s="115"/>
      <c r="B1795" s="115"/>
      <c r="C1795" s="115"/>
      <c r="D1795" s="115"/>
      <c r="E1795" s="115"/>
      <c r="F1795" s="115"/>
      <c r="G1795" s="116"/>
      <c r="I1795" s="118"/>
      <c r="J1795" s="118"/>
      <c r="L1795" s="125"/>
    </row>
    <row r="1796" spans="1:12" x14ac:dyDescent="0.25">
      <c r="A1796" s="115"/>
      <c r="B1796" s="115"/>
      <c r="C1796" s="115"/>
      <c r="D1796" s="115"/>
      <c r="E1796" s="115"/>
      <c r="F1796" s="115"/>
      <c r="G1796" s="116"/>
      <c r="I1796" s="118"/>
      <c r="J1796" s="118"/>
      <c r="L1796" s="125"/>
    </row>
    <row r="1797" spans="1:12" x14ac:dyDescent="0.25">
      <c r="A1797" s="115"/>
      <c r="B1797" s="115"/>
      <c r="C1797" s="115"/>
      <c r="D1797" s="115"/>
      <c r="E1797" s="115"/>
      <c r="F1797" s="115"/>
      <c r="G1797" s="116"/>
      <c r="I1797" s="118"/>
      <c r="J1797" s="118"/>
      <c r="L1797" s="125"/>
    </row>
    <row r="1798" spans="1:12" x14ac:dyDescent="0.25">
      <c r="A1798" s="115"/>
      <c r="B1798" s="115"/>
      <c r="C1798" s="115"/>
      <c r="D1798" s="115"/>
      <c r="E1798" s="115"/>
      <c r="F1798" s="115"/>
      <c r="G1798" s="116"/>
      <c r="I1798" s="118"/>
      <c r="J1798" s="118"/>
      <c r="L1798" s="125"/>
    </row>
    <row r="1799" spans="1:12" x14ac:dyDescent="0.25">
      <c r="A1799" s="115"/>
      <c r="B1799" s="115"/>
      <c r="C1799" s="115"/>
      <c r="D1799" s="115"/>
      <c r="E1799" s="115"/>
      <c r="F1799" s="115"/>
      <c r="G1799" s="116"/>
      <c r="I1799" s="118"/>
      <c r="J1799" s="118"/>
      <c r="L1799" s="125"/>
    </row>
    <row r="1800" spans="1:12" x14ac:dyDescent="0.25">
      <c r="A1800" s="115"/>
      <c r="B1800" s="115"/>
      <c r="C1800" s="115"/>
      <c r="D1800" s="115"/>
      <c r="E1800" s="115"/>
      <c r="F1800" s="115"/>
      <c r="G1800" s="116"/>
      <c r="I1800" s="118"/>
      <c r="J1800" s="118"/>
      <c r="L1800" s="125"/>
    </row>
    <row r="1801" spans="1:12" x14ac:dyDescent="0.25">
      <c r="A1801" s="115"/>
      <c r="B1801" s="115"/>
      <c r="C1801" s="115"/>
      <c r="D1801" s="115"/>
      <c r="E1801" s="115"/>
      <c r="F1801" s="115"/>
      <c r="G1801" s="116"/>
      <c r="I1801" s="118"/>
      <c r="J1801" s="118"/>
      <c r="L1801" s="125"/>
    </row>
    <row r="1802" spans="1:12" x14ac:dyDescent="0.25">
      <c r="A1802" s="115"/>
      <c r="B1802" s="115"/>
      <c r="C1802" s="115"/>
      <c r="D1802" s="115"/>
      <c r="E1802" s="115"/>
      <c r="F1802" s="115"/>
      <c r="G1802" s="116"/>
      <c r="I1802" s="118"/>
      <c r="J1802" s="118"/>
      <c r="L1802" s="125"/>
    </row>
    <row r="1803" spans="1:12" x14ac:dyDescent="0.25">
      <c r="A1803" s="115"/>
      <c r="B1803" s="115"/>
      <c r="C1803" s="115"/>
      <c r="D1803" s="115"/>
      <c r="E1803" s="115"/>
      <c r="F1803" s="115"/>
      <c r="G1803" s="116"/>
      <c r="I1803" s="118"/>
      <c r="J1803" s="118"/>
      <c r="L1803" s="125"/>
    </row>
    <row r="1804" spans="1:12" x14ac:dyDescent="0.25">
      <c r="A1804" s="115"/>
      <c r="B1804" s="115"/>
      <c r="C1804" s="115"/>
      <c r="D1804" s="115"/>
      <c r="E1804" s="115"/>
      <c r="F1804" s="115"/>
      <c r="G1804" s="116"/>
      <c r="I1804" s="118"/>
      <c r="J1804" s="118"/>
      <c r="L1804" s="125"/>
    </row>
    <row r="1805" spans="1:12" x14ac:dyDescent="0.25">
      <c r="A1805" s="115"/>
      <c r="B1805" s="115"/>
      <c r="C1805" s="115"/>
      <c r="D1805" s="115"/>
      <c r="E1805" s="115"/>
      <c r="F1805" s="115"/>
      <c r="G1805" s="116"/>
      <c r="I1805" s="118"/>
      <c r="J1805" s="118"/>
      <c r="L1805" s="125"/>
    </row>
    <row r="1806" spans="1:12" x14ac:dyDescent="0.25">
      <c r="A1806" s="115"/>
      <c r="B1806" s="115"/>
      <c r="C1806" s="115"/>
      <c r="D1806" s="115"/>
      <c r="E1806" s="115"/>
      <c r="F1806" s="115"/>
      <c r="G1806" s="116"/>
      <c r="I1806" s="118"/>
      <c r="J1806" s="118"/>
      <c r="L1806" s="125"/>
    </row>
    <row r="1807" spans="1:12" x14ac:dyDescent="0.25">
      <c r="A1807" s="115"/>
      <c r="B1807" s="115"/>
      <c r="C1807" s="115"/>
      <c r="D1807" s="115"/>
      <c r="E1807" s="115"/>
      <c r="F1807" s="115"/>
      <c r="G1807" s="116"/>
      <c r="I1807" s="118"/>
      <c r="J1807" s="118"/>
      <c r="L1807" s="125"/>
    </row>
    <row r="1808" spans="1:12" x14ac:dyDescent="0.25">
      <c r="A1808" s="115"/>
      <c r="B1808" s="115"/>
      <c r="C1808" s="115"/>
      <c r="D1808" s="115"/>
      <c r="E1808" s="115"/>
      <c r="F1808" s="115"/>
      <c r="G1808" s="116"/>
      <c r="I1808" s="118"/>
      <c r="J1808" s="118"/>
      <c r="L1808" s="125"/>
    </row>
    <row r="1809" spans="1:12" x14ac:dyDescent="0.25">
      <c r="A1809" s="115"/>
      <c r="B1809" s="115"/>
      <c r="C1809" s="115"/>
      <c r="D1809" s="115"/>
      <c r="E1809" s="115"/>
      <c r="F1809" s="115"/>
      <c r="G1809" s="116"/>
      <c r="I1809" s="118"/>
      <c r="J1809" s="118"/>
      <c r="L1809" s="125"/>
    </row>
    <row r="1810" spans="1:12" x14ac:dyDescent="0.25">
      <c r="A1810" s="115"/>
      <c r="B1810" s="115"/>
      <c r="C1810" s="115"/>
      <c r="D1810" s="115"/>
      <c r="E1810" s="115"/>
      <c r="F1810" s="115"/>
      <c r="G1810" s="116"/>
      <c r="I1810" s="118"/>
      <c r="J1810" s="118"/>
      <c r="L1810" s="125"/>
    </row>
    <row r="1811" spans="1:12" x14ac:dyDescent="0.25">
      <c r="A1811" s="115"/>
      <c r="B1811" s="115"/>
      <c r="C1811" s="115"/>
      <c r="D1811" s="115"/>
      <c r="E1811" s="115"/>
      <c r="F1811" s="115"/>
      <c r="G1811" s="116"/>
      <c r="I1811" s="118"/>
      <c r="J1811" s="118"/>
      <c r="L1811" s="125"/>
    </row>
    <row r="1812" spans="1:12" x14ac:dyDescent="0.25">
      <c r="A1812" s="115"/>
      <c r="B1812" s="115"/>
      <c r="C1812" s="115"/>
      <c r="D1812" s="115"/>
      <c r="E1812" s="115"/>
      <c r="F1812" s="115"/>
      <c r="G1812" s="116"/>
      <c r="I1812" s="118"/>
      <c r="J1812" s="118"/>
      <c r="L1812" s="125"/>
    </row>
    <row r="1813" spans="1:12" x14ac:dyDescent="0.25">
      <c r="A1813" s="115"/>
      <c r="B1813" s="115"/>
      <c r="C1813" s="115"/>
      <c r="D1813" s="115"/>
      <c r="E1813" s="115"/>
      <c r="F1813" s="115"/>
      <c r="G1813" s="116"/>
      <c r="I1813" s="118"/>
      <c r="J1813" s="118"/>
      <c r="L1813" s="125"/>
    </row>
    <row r="1814" spans="1:12" x14ac:dyDescent="0.25">
      <c r="A1814" s="115"/>
      <c r="B1814" s="115"/>
      <c r="C1814" s="115"/>
      <c r="D1814" s="115"/>
      <c r="E1814" s="115"/>
      <c r="F1814" s="115"/>
      <c r="G1814" s="116"/>
      <c r="I1814" s="118"/>
      <c r="J1814" s="118"/>
      <c r="L1814" s="125"/>
    </row>
    <row r="1815" spans="1:12" x14ac:dyDescent="0.25">
      <c r="A1815" s="115"/>
      <c r="B1815" s="115"/>
      <c r="C1815" s="115"/>
      <c r="D1815" s="115"/>
      <c r="E1815" s="115"/>
      <c r="F1815" s="115"/>
      <c r="G1815" s="116"/>
      <c r="I1815" s="118"/>
      <c r="J1815" s="118"/>
      <c r="L1815" s="125"/>
    </row>
    <row r="1816" spans="1:12" x14ac:dyDescent="0.25">
      <c r="A1816" s="115"/>
      <c r="B1816" s="115"/>
      <c r="C1816" s="115"/>
      <c r="D1816" s="115"/>
      <c r="E1816" s="115"/>
      <c r="F1816" s="115"/>
      <c r="G1816" s="116"/>
      <c r="I1816" s="118"/>
      <c r="J1816" s="118"/>
      <c r="L1816" s="125"/>
    </row>
    <row r="1817" spans="1:12" x14ac:dyDescent="0.25">
      <c r="A1817" s="115"/>
      <c r="B1817" s="115"/>
      <c r="C1817" s="115"/>
      <c r="D1817" s="115"/>
      <c r="E1817" s="115"/>
      <c r="F1817" s="115"/>
      <c r="G1817" s="116"/>
      <c r="I1817" s="118"/>
      <c r="J1817" s="118"/>
      <c r="L1817" s="125"/>
    </row>
    <row r="1818" spans="1:12" x14ac:dyDescent="0.25">
      <c r="A1818" s="115"/>
      <c r="B1818" s="115"/>
      <c r="C1818" s="115"/>
      <c r="D1818" s="115"/>
      <c r="E1818" s="115"/>
      <c r="F1818" s="115"/>
      <c r="G1818" s="116"/>
      <c r="I1818" s="118"/>
      <c r="J1818" s="118"/>
      <c r="L1818" s="125"/>
    </row>
    <row r="1819" spans="1:12" x14ac:dyDescent="0.25">
      <c r="A1819" s="115"/>
      <c r="B1819" s="115"/>
      <c r="C1819" s="115"/>
      <c r="D1819" s="115"/>
      <c r="E1819" s="115"/>
      <c r="F1819" s="115"/>
      <c r="G1819" s="116"/>
      <c r="I1819" s="118"/>
      <c r="J1819" s="118"/>
      <c r="L1819" s="125"/>
    </row>
    <row r="1820" spans="1:12" x14ac:dyDescent="0.25">
      <c r="A1820" s="115"/>
      <c r="B1820" s="115"/>
      <c r="C1820" s="115"/>
      <c r="D1820" s="115"/>
      <c r="E1820" s="115"/>
      <c r="F1820" s="115"/>
      <c r="G1820" s="116"/>
      <c r="I1820" s="118"/>
      <c r="J1820" s="118"/>
      <c r="L1820" s="125"/>
    </row>
    <row r="1821" spans="1:12" x14ac:dyDescent="0.25">
      <c r="A1821" s="115"/>
      <c r="B1821" s="115"/>
      <c r="C1821" s="115"/>
      <c r="D1821" s="115"/>
      <c r="E1821" s="115"/>
      <c r="F1821" s="115"/>
      <c r="G1821" s="116"/>
      <c r="I1821" s="118"/>
      <c r="J1821" s="118"/>
      <c r="L1821" s="125"/>
    </row>
    <row r="1822" spans="1:12" x14ac:dyDescent="0.25">
      <c r="A1822" s="115"/>
      <c r="B1822" s="115"/>
      <c r="C1822" s="115"/>
      <c r="D1822" s="115"/>
      <c r="E1822" s="115"/>
      <c r="F1822" s="115"/>
      <c r="G1822" s="116"/>
      <c r="I1822" s="118"/>
      <c r="J1822" s="118"/>
      <c r="L1822" s="125"/>
    </row>
    <row r="1823" spans="1:12" x14ac:dyDescent="0.25">
      <c r="A1823" s="115"/>
      <c r="B1823" s="115"/>
      <c r="C1823" s="115"/>
      <c r="D1823" s="115"/>
      <c r="E1823" s="115"/>
      <c r="F1823" s="115"/>
      <c r="G1823" s="116"/>
      <c r="I1823" s="118"/>
      <c r="J1823" s="118"/>
      <c r="L1823" s="125"/>
    </row>
    <row r="1824" spans="1:12" x14ac:dyDescent="0.25">
      <c r="A1824" s="115"/>
      <c r="B1824" s="115"/>
      <c r="C1824" s="115"/>
      <c r="D1824" s="115"/>
      <c r="E1824" s="115"/>
      <c r="F1824" s="115"/>
      <c r="G1824" s="116"/>
      <c r="I1824" s="118"/>
      <c r="J1824" s="118"/>
      <c r="L1824" s="125"/>
    </row>
    <row r="1825" spans="1:12" x14ac:dyDescent="0.25">
      <c r="A1825" s="115"/>
      <c r="B1825" s="115"/>
      <c r="C1825" s="115"/>
      <c r="D1825" s="115"/>
      <c r="E1825" s="115"/>
      <c r="F1825" s="115"/>
      <c r="G1825" s="116"/>
      <c r="I1825" s="118"/>
      <c r="J1825" s="118"/>
      <c r="L1825" s="125"/>
    </row>
    <row r="1826" spans="1:12" x14ac:dyDescent="0.25">
      <c r="A1826" s="115"/>
      <c r="B1826" s="115"/>
      <c r="C1826" s="115"/>
      <c r="D1826" s="115"/>
      <c r="E1826" s="115"/>
      <c r="F1826" s="115"/>
      <c r="G1826" s="116"/>
      <c r="I1826" s="118"/>
      <c r="J1826" s="118"/>
      <c r="L1826" s="125"/>
    </row>
    <row r="1827" spans="1:12" x14ac:dyDescent="0.25">
      <c r="A1827" s="115"/>
      <c r="B1827" s="115"/>
      <c r="C1827" s="115"/>
      <c r="D1827" s="115"/>
      <c r="E1827" s="115"/>
      <c r="F1827" s="115"/>
      <c r="G1827" s="116"/>
      <c r="I1827" s="118"/>
      <c r="J1827" s="118"/>
      <c r="L1827" s="125"/>
    </row>
    <row r="1828" spans="1:12" x14ac:dyDescent="0.25">
      <c r="A1828" s="115"/>
      <c r="B1828" s="115"/>
      <c r="C1828" s="115"/>
      <c r="D1828" s="115"/>
      <c r="E1828" s="115"/>
      <c r="F1828" s="115"/>
      <c r="G1828" s="116"/>
      <c r="I1828" s="118"/>
      <c r="J1828" s="118"/>
      <c r="L1828" s="125"/>
    </row>
    <row r="1829" spans="1:12" x14ac:dyDescent="0.25">
      <c r="A1829" s="115"/>
      <c r="B1829" s="115"/>
      <c r="C1829" s="115"/>
      <c r="D1829" s="115"/>
      <c r="E1829" s="115"/>
      <c r="F1829" s="115"/>
      <c r="G1829" s="116"/>
      <c r="I1829" s="118"/>
      <c r="J1829" s="118"/>
      <c r="L1829" s="125"/>
    </row>
    <row r="1830" spans="1:12" x14ac:dyDescent="0.25">
      <c r="A1830" s="115"/>
      <c r="B1830" s="115"/>
      <c r="C1830" s="115"/>
      <c r="D1830" s="115"/>
      <c r="E1830" s="115"/>
      <c r="F1830" s="115"/>
      <c r="G1830" s="116"/>
      <c r="I1830" s="118"/>
      <c r="J1830" s="118"/>
      <c r="L1830" s="125"/>
    </row>
    <row r="1831" spans="1:12" x14ac:dyDescent="0.25">
      <c r="A1831" s="115"/>
      <c r="B1831" s="115"/>
      <c r="C1831" s="115"/>
      <c r="D1831" s="115"/>
      <c r="E1831" s="115"/>
      <c r="F1831" s="115"/>
      <c r="G1831" s="116"/>
      <c r="I1831" s="118"/>
      <c r="J1831" s="118"/>
      <c r="L1831" s="125"/>
    </row>
    <row r="1832" spans="1:12" x14ac:dyDescent="0.25">
      <c r="A1832" s="115"/>
      <c r="B1832" s="115"/>
      <c r="C1832" s="115"/>
      <c r="D1832" s="115"/>
      <c r="E1832" s="115"/>
      <c r="F1832" s="115"/>
      <c r="G1832" s="116"/>
      <c r="I1832" s="118"/>
      <c r="J1832" s="118"/>
      <c r="L1832" s="125"/>
    </row>
    <row r="1833" spans="1:12" x14ac:dyDescent="0.25">
      <c r="A1833" s="115"/>
      <c r="B1833" s="115"/>
      <c r="C1833" s="115"/>
      <c r="D1833" s="115"/>
      <c r="E1833" s="115"/>
      <c r="F1833" s="115"/>
      <c r="G1833" s="116"/>
      <c r="I1833" s="118"/>
      <c r="J1833" s="118"/>
      <c r="L1833" s="125"/>
    </row>
    <row r="1834" spans="1:12" x14ac:dyDescent="0.25">
      <c r="A1834" s="115"/>
      <c r="B1834" s="115"/>
      <c r="C1834" s="115"/>
      <c r="D1834" s="115"/>
      <c r="E1834" s="115"/>
      <c r="F1834" s="115"/>
      <c r="G1834" s="116"/>
      <c r="I1834" s="118"/>
      <c r="J1834" s="118"/>
      <c r="L1834" s="125"/>
    </row>
    <row r="1835" spans="1:12" x14ac:dyDescent="0.25">
      <c r="A1835" s="115"/>
      <c r="B1835" s="115"/>
      <c r="C1835" s="115"/>
      <c r="D1835" s="115"/>
      <c r="E1835" s="115"/>
      <c r="F1835" s="115"/>
      <c r="G1835" s="116"/>
      <c r="I1835" s="118"/>
      <c r="J1835" s="118"/>
      <c r="L1835" s="125"/>
    </row>
    <row r="1836" spans="1:12" x14ac:dyDescent="0.25">
      <c r="A1836" s="115"/>
      <c r="B1836" s="115"/>
      <c r="C1836" s="115"/>
      <c r="D1836" s="115"/>
      <c r="E1836" s="115"/>
      <c r="F1836" s="115"/>
      <c r="G1836" s="116"/>
      <c r="I1836" s="118"/>
      <c r="J1836" s="118"/>
      <c r="L1836" s="125"/>
    </row>
    <row r="1837" spans="1:12" x14ac:dyDescent="0.25">
      <c r="A1837" s="115"/>
      <c r="B1837" s="115"/>
      <c r="C1837" s="115"/>
      <c r="D1837" s="115"/>
      <c r="E1837" s="115"/>
      <c r="F1837" s="115"/>
      <c r="G1837" s="116"/>
      <c r="I1837" s="118"/>
      <c r="J1837" s="118"/>
      <c r="L1837" s="125"/>
    </row>
    <row r="1838" spans="1:12" x14ac:dyDescent="0.25">
      <c r="A1838" s="115"/>
      <c r="B1838" s="115"/>
      <c r="C1838" s="115"/>
      <c r="D1838" s="115"/>
      <c r="E1838" s="115"/>
      <c r="F1838" s="115"/>
      <c r="G1838" s="116"/>
      <c r="I1838" s="118"/>
      <c r="J1838" s="118"/>
      <c r="L1838" s="125"/>
    </row>
    <row r="1839" spans="1:12" x14ac:dyDescent="0.25">
      <c r="A1839" s="115"/>
      <c r="B1839" s="115"/>
      <c r="C1839" s="115"/>
      <c r="D1839" s="115"/>
      <c r="E1839" s="115"/>
      <c r="F1839" s="115"/>
      <c r="G1839" s="116"/>
      <c r="I1839" s="118"/>
      <c r="J1839" s="118"/>
      <c r="L1839" s="125"/>
    </row>
    <row r="1840" spans="1:12" x14ac:dyDescent="0.25">
      <c r="A1840" s="115"/>
      <c r="B1840" s="115"/>
      <c r="C1840" s="115"/>
      <c r="D1840" s="115"/>
      <c r="E1840" s="115"/>
      <c r="F1840" s="115"/>
      <c r="G1840" s="116"/>
      <c r="I1840" s="118"/>
      <c r="J1840" s="118"/>
      <c r="L1840" s="125"/>
    </row>
    <row r="1841" spans="1:12" x14ac:dyDescent="0.25">
      <c r="A1841" s="115"/>
      <c r="B1841" s="115"/>
      <c r="C1841" s="115"/>
      <c r="D1841" s="115"/>
      <c r="E1841" s="115"/>
      <c r="F1841" s="115"/>
      <c r="G1841" s="116"/>
      <c r="I1841" s="118"/>
      <c r="J1841" s="118"/>
      <c r="L1841" s="125"/>
    </row>
    <row r="1842" spans="1:12" x14ac:dyDescent="0.25">
      <c r="A1842" s="115"/>
      <c r="B1842" s="115"/>
      <c r="C1842" s="115"/>
      <c r="D1842" s="115"/>
      <c r="E1842" s="115"/>
      <c r="F1842" s="115"/>
      <c r="G1842" s="116"/>
      <c r="I1842" s="118"/>
      <c r="J1842" s="118"/>
      <c r="L1842" s="125"/>
    </row>
    <row r="1843" spans="1:12" x14ac:dyDescent="0.25">
      <c r="A1843" s="115"/>
      <c r="B1843" s="115"/>
      <c r="C1843" s="115"/>
      <c r="D1843" s="115"/>
      <c r="E1843" s="115"/>
      <c r="F1843" s="115"/>
      <c r="G1843" s="116"/>
      <c r="I1843" s="118"/>
      <c r="J1843" s="118"/>
      <c r="L1843" s="125"/>
    </row>
    <row r="1844" spans="1:12" x14ac:dyDescent="0.25">
      <c r="A1844" s="115"/>
      <c r="B1844" s="115"/>
      <c r="C1844" s="115"/>
      <c r="D1844" s="115"/>
      <c r="E1844" s="115"/>
      <c r="F1844" s="115"/>
      <c r="G1844" s="116"/>
      <c r="I1844" s="118"/>
      <c r="J1844" s="118"/>
      <c r="L1844" s="125"/>
    </row>
    <row r="1845" spans="1:12" x14ac:dyDescent="0.25">
      <c r="A1845" s="115"/>
      <c r="B1845" s="115"/>
      <c r="C1845" s="115"/>
      <c r="D1845" s="115"/>
      <c r="E1845" s="115"/>
      <c r="F1845" s="115"/>
      <c r="G1845" s="116"/>
      <c r="I1845" s="118"/>
      <c r="J1845" s="118"/>
      <c r="L1845" s="125"/>
    </row>
    <row r="1846" spans="1:12" x14ac:dyDescent="0.25">
      <c r="A1846" s="115"/>
      <c r="B1846" s="115"/>
      <c r="C1846" s="115"/>
      <c r="D1846" s="115"/>
      <c r="E1846" s="115"/>
      <c r="F1846" s="115"/>
      <c r="G1846" s="116"/>
      <c r="I1846" s="118"/>
      <c r="J1846" s="118"/>
      <c r="L1846" s="125"/>
    </row>
    <row r="1847" spans="1:12" x14ac:dyDescent="0.25">
      <c r="A1847" s="115"/>
      <c r="B1847" s="115"/>
      <c r="C1847" s="115"/>
      <c r="D1847" s="115"/>
      <c r="E1847" s="115"/>
      <c r="F1847" s="115"/>
      <c r="G1847" s="116"/>
      <c r="I1847" s="118"/>
      <c r="J1847" s="118"/>
      <c r="L1847" s="125"/>
    </row>
    <row r="1848" spans="1:12" x14ac:dyDescent="0.25">
      <c r="A1848" s="115"/>
      <c r="B1848" s="115"/>
      <c r="C1848" s="115"/>
      <c r="D1848" s="115"/>
      <c r="E1848" s="115"/>
      <c r="F1848" s="115"/>
      <c r="G1848" s="116"/>
      <c r="I1848" s="118"/>
      <c r="J1848" s="118"/>
      <c r="L1848" s="125"/>
    </row>
    <row r="1849" spans="1:12" x14ac:dyDescent="0.25">
      <c r="A1849" s="115"/>
      <c r="B1849" s="115"/>
      <c r="C1849" s="115"/>
      <c r="D1849" s="115"/>
      <c r="E1849" s="115"/>
      <c r="F1849" s="115"/>
      <c r="G1849" s="116"/>
      <c r="I1849" s="118"/>
      <c r="J1849" s="118"/>
      <c r="L1849" s="125"/>
    </row>
    <row r="1850" spans="1:12" x14ac:dyDescent="0.25">
      <c r="A1850" s="115"/>
      <c r="B1850" s="115"/>
      <c r="C1850" s="115"/>
      <c r="D1850" s="115"/>
      <c r="E1850" s="115"/>
      <c r="F1850" s="115"/>
      <c r="G1850" s="116"/>
      <c r="I1850" s="118"/>
      <c r="J1850" s="118"/>
      <c r="L1850" s="125"/>
    </row>
    <row r="1851" spans="1:12" x14ac:dyDescent="0.25">
      <c r="A1851" s="115"/>
      <c r="B1851" s="115"/>
      <c r="C1851" s="115"/>
      <c r="D1851" s="115"/>
      <c r="E1851" s="115"/>
      <c r="F1851" s="115"/>
      <c r="G1851" s="116"/>
      <c r="I1851" s="118"/>
      <c r="J1851" s="118"/>
      <c r="L1851" s="125"/>
    </row>
    <row r="1852" spans="1:12" x14ac:dyDescent="0.25">
      <c r="A1852" s="115"/>
      <c r="B1852" s="115"/>
      <c r="C1852" s="115"/>
      <c r="D1852" s="115"/>
      <c r="E1852" s="115"/>
      <c r="F1852" s="115"/>
      <c r="G1852" s="116"/>
      <c r="I1852" s="118"/>
      <c r="J1852" s="118"/>
      <c r="L1852" s="125"/>
    </row>
    <row r="1853" spans="1:12" x14ac:dyDescent="0.25">
      <c r="A1853" s="115"/>
      <c r="B1853" s="115"/>
      <c r="C1853" s="115"/>
      <c r="D1853" s="115"/>
      <c r="E1853" s="115"/>
      <c r="F1853" s="115"/>
      <c r="G1853" s="116"/>
      <c r="I1853" s="118"/>
      <c r="J1853" s="118"/>
      <c r="L1853" s="125"/>
    </row>
    <row r="1854" spans="1:12" x14ac:dyDescent="0.25">
      <c r="A1854" s="115"/>
      <c r="B1854" s="115"/>
      <c r="C1854" s="115"/>
      <c r="D1854" s="115"/>
      <c r="E1854" s="115"/>
      <c r="F1854" s="115"/>
      <c r="G1854" s="116"/>
      <c r="I1854" s="118"/>
      <c r="J1854" s="118"/>
      <c r="L1854" s="125"/>
    </row>
    <row r="1855" spans="1:12" x14ac:dyDescent="0.25">
      <c r="A1855" s="115"/>
      <c r="B1855" s="115"/>
      <c r="C1855" s="115"/>
      <c r="D1855" s="115"/>
      <c r="E1855" s="115"/>
      <c r="F1855" s="115"/>
      <c r="G1855" s="116"/>
      <c r="I1855" s="118"/>
      <c r="J1855" s="118"/>
      <c r="L1855" s="125"/>
    </row>
    <row r="1856" spans="1:12" x14ac:dyDescent="0.25">
      <c r="A1856" s="115"/>
      <c r="B1856" s="115"/>
      <c r="C1856" s="115"/>
      <c r="D1856" s="115"/>
      <c r="E1856" s="115"/>
      <c r="F1856" s="115"/>
      <c r="G1856" s="116"/>
      <c r="I1856" s="118"/>
      <c r="J1856" s="118"/>
      <c r="L1856" s="125"/>
    </row>
    <row r="1857" spans="1:12" x14ac:dyDescent="0.25">
      <c r="A1857" s="115"/>
      <c r="B1857" s="115"/>
      <c r="C1857" s="115"/>
      <c r="D1857" s="115"/>
      <c r="E1857" s="115"/>
      <c r="F1857" s="115"/>
      <c r="G1857" s="116"/>
      <c r="I1857" s="118"/>
      <c r="J1857" s="118"/>
      <c r="L1857" s="125"/>
    </row>
    <row r="1858" spans="1:12" x14ac:dyDescent="0.25">
      <c r="A1858" s="115"/>
      <c r="B1858" s="115"/>
      <c r="C1858" s="115"/>
      <c r="D1858" s="115"/>
      <c r="E1858" s="115"/>
      <c r="F1858" s="115"/>
      <c r="G1858" s="116"/>
      <c r="I1858" s="118"/>
      <c r="J1858" s="118"/>
      <c r="L1858" s="125"/>
    </row>
    <row r="1859" spans="1:12" x14ac:dyDescent="0.25">
      <c r="A1859" s="115"/>
      <c r="B1859" s="115"/>
      <c r="C1859" s="115"/>
      <c r="D1859" s="115"/>
      <c r="E1859" s="115"/>
      <c r="F1859" s="115"/>
      <c r="G1859" s="116"/>
      <c r="I1859" s="118"/>
      <c r="J1859" s="118"/>
      <c r="L1859" s="125"/>
    </row>
    <row r="1860" spans="1:12" x14ac:dyDescent="0.25">
      <c r="A1860" s="115"/>
      <c r="B1860" s="115"/>
      <c r="C1860" s="115"/>
      <c r="D1860" s="115"/>
      <c r="E1860" s="115"/>
      <c r="F1860" s="115"/>
      <c r="G1860" s="116"/>
      <c r="I1860" s="118"/>
      <c r="J1860" s="118"/>
      <c r="L1860" s="125"/>
    </row>
    <row r="1861" spans="1:12" x14ac:dyDescent="0.25">
      <c r="A1861" s="115"/>
      <c r="B1861" s="115"/>
      <c r="C1861" s="115"/>
      <c r="D1861" s="115"/>
      <c r="E1861" s="115"/>
      <c r="F1861" s="115"/>
      <c r="G1861" s="116"/>
      <c r="I1861" s="118"/>
      <c r="J1861" s="118"/>
      <c r="L1861" s="125"/>
    </row>
    <row r="1862" spans="1:12" x14ac:dyDescent="0.25">
      <c r="A1862" s="115"/>
      <c r="B1862" s="115"/>
      <c r="C1862" s="115"/>
      <c r="D1862" s="115"/>
      <c r="E1862" s="115"/>
      <c r="F1862" s="115"/>
      <c r="G1862" s="116"/>
      <c r="I1862" s="118"/>
      <c r="J1862" s="118"/>
      <c r="L1862" s="125"/>
    </row>
    <row r="1863" spans="1:12" x14ac:dyDescent="0.25">
      <c r="A1863" s="115"/>
      <c r="B1863" s="115"/>
      <c r="C1863" s="115"/>
      <c r="D1863" s="115"/>
      <c r="E1863" s="115"/>
      <c r="F1863" s="115"/>
      <c r="G1863" s="116"/>
      <c r="I1863" s="118"/>
      <c r="J1863" s="118"/>
      <c r="L1863" s="125"/>
    </row>
    <row r="1864" spans="1:12" x14ac:dyDescent="0.25">
      <c r="A1864" s="115"/>
      <c r="B1864" s="115"/>
      <c r="C1864" s="115"/>
      <c r="D1864" s="115"/>
      <c r="E1864" s="115"/>
      <c r="F1864" s="115"/>
      <c r="G1864" s="116"/>
      <c r="I1864" s="118"/>
      <c r="J1864" s="118"/>
      <c r="L1864" s="125"/>
    </row>
    <row r="1865" spans="1:12" x14ac:dyDescent="0.25">
      <c r="A1865" s="115"/>
      <c r="B1865" s="115"/>
      <c r="C1865" s="115"/>
      <c r="D1865" s="115"/>
      <c r="E1865" s="115"/>
      <c r="F1865" s="115"/>
      <c r="G1865" s="116"/>
      <c r="I1865" s="118"/>
      <c r="J1865" s="118"/>
      <c r="L1865" s="125"/>
    </row>
    <row r="1866" spans="1:12" x14ac:dyDescent="0.25">
      <c r="A1866" s="115"/>
      <c r="B1866" s="115"/>
      <c r="C1866" s="115"/>
      <c r="D1866" s="115"/>
      <c r="E1866" s="115"/>
      <c r="F1866" s="115"/>
      <c r="G1866" s="116"/>
      <c r="I1866" s="118"/>
      <c r="J1866" s="118"/>
      <c r="L1866" s="125"/>
    </row>
    <row r="1867" spans="1:12" x14ac:dyDescent="0.25">
      <c r="A1867" s="115"/>
      <c r="B1867" s="115"/>
      <c r="C1867" s="115"/>
      <c r="D1867" s="115"/>
      <c r="E1867" s="115"/>
      <c r="F1867" s="115"/>
      <c r="G1867" s="116"/>
      <c r="I1867" s="118"/>
      <c r="J1867" s="118"/>
      <c r="L1867" s="125"/>
    </row>
    <row r="1868" spans="1:12" x14ac:dyDescent="0.25">
      <c r="A1868" s="115"/>
      <c r="B1868" s="115"/>
      <c r="C1868" s="115"/>
      <c r="D1868" s="115"/>
      <c r="E1868" s="115"/>
      <c r="F1868" s="115"/>
      <c r="G1868" s="116"/>
      <c r="I1868" s="118"/>
      <c r="J1868" s="118"/>
      <c r="L1868" s="125"/>
    </row>
    <row r="1869" spans="1:12" x14ac:dyDescent="0.25">
      <c r="A1869" s="115"/>
      <c r="B1869" s="115"/>
      <c r="C1869" s="115"/>
      <c r="D1869" s="115"/>
      <c r="E1869" s="115"/>
      <c r="F1869" s="115"/>
      <c r="G1869" s="116"/>
      <c r="I1869" s="118"/>
      <c r="J1869" s="118"/>
      <c r="L1869" s="125"/>
    </row>
    <row r="1870" spans="1:12" x14ac:dyDescent="0.25">
      <c r="A1870" s="115"/>
      <c r="B1870" s="115"/>
      <c r="C1870" s="115"/>
      <c r="D1870" s="115"/>
      <c r="E1870" s="115"/>
      <c r="F1870" s="115"/>
      <c r="G1870" s="116"/>
      <c r="I1870" s="118"/>
      <c r="J1870" s="118"/>
      <c r="L1870" s="125"/>
    </row>
    <row r="1871" spans="1:12" x14ac:dyDescent="0.25">
      <c r="A1871" s="115"/>
      <c r="B1871" s="115"/>
      <c r="C1871" s="115"/>
      <c r="D1871" s="115"/>
      <c r="E1871" s="115"/>
      <c r="F1871" s="115"/>
      <c r="G1871" s="116"/>
      <c r="I1871" s="118"/>
      <c r="J1871" s="118"/>
      <c r="L1871" s="125"/>
    </row>
    <row r="1872" spans="1:12" x14ac:dyDescent="0.25">
      <c r="A1872" s="115"/>
      <c r="B1872" s="115"/>
      <c r="C1872" s="115"/>
      <c r="D1872" s="115"/>
      <c r="E1872" s="115"/>
      <c r="F1872" s="115"/>
      <c r="G1872" s="116"/>
      <c r="I1872" s="118"/>
      <c r="J1872" s="118"/>
      <c r="L1872" s="125"/>
    </row>
    <row r="1873" spans="1:12" x14ac:dyDescent="0.25">
      <c r="A1873" s="115"/>
      <c r="B1873" s="115"/>
      <c r="C1873" s="115"/>
      <c r="D1873" s="115"/>
      <c r="E1873" s="115"/>
      <c r="F1873" s="115"/>
      <c r="G1873" s="116"/>
      <c r="I1873" s="118"/>
      <c r="J1873" s="118"/>
      <c r="L1873" s="125"/>
    </row>
    <row r="1874" spans="1:12" x14ac:dyDescent="0.25">
      <c r="A1874" s="115"/>
      <c r="B1874" s="115"/>
      <c r="C1874" s="115"/>
      <c r="D1874" s="115"/>
      <c r="E1874" s="115"/>
      <c r="F1874" s="115"/>
      <c r="G1874" s="116"/>
      <c r="I1874" s="118"/>
      <c r="J1874" s="118"/>
      <c r="L1874" s="125"/>
    </row>
    <row r="1875" spans="1:12" x14ac:dyDescent="0.25">
      <c r="A1875" s="115"/>
      <c r="B1875" s="115"/>
      <c r="C1875" s="115"/>
      <c r="D1875" s="115"/>
      <c r="E1875" s="115"/>
      <c r="F1875" s="115"/>
      <c r="G1875" s="116"/>
      <c r="I1875" s="118"/>
      <c r="J1875" s="118"/>
      <c r="L1875" s="125"/>
    </row>
    <row r="1876" spans="1:12" x14ac:dyDescent="0.25">
      <c r="A1876" s="115"/>
      <c r="B1876" s="115"/>
      <c r="C1876" s="115"/>
      <c r="D1876" s="115"/>
      <c r="E1876" s="115"/>
      <c r="F1876" s="115"/>
      <c r="G1876" s="116"/>
      <c r="I1876" s="118"/>
      <c r="J1876" s="118"/>
      <c r="L1876" s="125"/>
    </row>
    <row r="1877" spans="1:12" x14ac:dyDescent="0.25">
      <c r="A1877" s="115"/>
      <c r="B1877" s="115"/>
      <c r="C1877" s="115"/>
      <c r="D1877" s="115"/>
      <c r="E1877" s="115"/>
      <c r="F1877" s="115"/>
      <c r="G1877" s="116"/>
      <c r="I1877" s="118"/>
      <c r="J1877" s="118"/>
      <c r="L1877" s="125"/>
    </row>
    <row r="1878" spans="1:12" x14ac:dyDescent="0.25">
      <c r="A1878" s="115"/>
      <c r="B1878" s="115"/>
      <c r="C1878" s="115"/>
      <c r="D1878" s="115"/>
      <c r="E1878" s="115"/>
      <c r="F1878" s="115"/>
      <c r="G1878" s="116"/>
      <c r="I1878" s="118"/>
      <c r="J1878" s="118"/>
      <c r="L1878" s="125"/>
    </row>
    <row r="1879" spans="1:12" x14ac:dyDescent="0.25">
      <c r="A1879" s="115"/>
      <c r="B1879" s="115"/>
      <c r="C1879" s="115"/>
      <c r="D1879" s="115"/>
      <c r="E1879" s="115"/>
      <c r="F1879" s="115"/>
      <c r="G1879" s="116"/>
      <c r="I1879" s="118"/>
      <c r="J1879" s="118"/>
      <c r="L1879" s="125"/>
    </row>
    <row r="1880" spans="1:12" x14ac:dyDescent="0.25">
      <c r="A1880" s="115"/>
      <c r="B1880" s="115"/>
      <c r="C1880" s="115"/>
      <c r="D1880" s="115"/>
      <c r="E1880" s="115"/>
      <c r="F1880" s="115"/>
      <c r="G1880" s="116"/>
      <c r="I1880" s="118"/>
      <c r="J1880" s="118"/>
      <c r="L1880" s="125"/>
    </row>
    <row r="1881" spans="1:12" x14ac:dyDescent="0.25">
      <c r="A1881" s="115"/>
      <c r="B1881" s="115"/>
      <c r="C1881" s="115"/>
      <c r="D1881" s="115"/>
      <c r="E1881" s="115"/>
      <c r="F1881" s="115"/>
      <c r="G1881" s="116"/>
      <c r="I1881" s="118"/>
      <c r="J1881" s="118"/>
      <c r="L1881" s="125"/>
    </row>
    <row r="1882" spans="1:12" x14ac:dyDescent="0.25">
      <c r="A1882" s="115"/>
      <c r="B1882" s="115"/>
      <c r="C1882" s="115"/>
      <c r="D1882" s="115"/>
      <c r="E1882" s="115"/>
      <c r="F1882" s="115"/>
      <c r="G1882" s="116"/>
      <c r="I1882" s="118"/>
      <c r="J1882" s="118"/>
      <c r="L1882" s="125"/>
    </row>
    <row r="1883" spans="1:12" x14ac:dyDescent="0.25">
      <c r="A1883" s="115"/>
      <c r="B1883" s="115"/>
      <c r="C1883" s="115"/>
      <c r="D1883" s="115"/>
      <c r="E1883" s="115"/>
      <c r="F1883" s="115"/>
      <c r="G1883" s="116"/>
      <c r="I1883" s="118"/>
      <c r="J1883" s="118"/>
      <c r="L1883" s="125"/>
    </row>
    <row r="1884" spans="1:12" x14ac:dyDescent="0.25">
      <c r="A1884" s="115"/>
      <c r="B1884" s="115"/>
      <c r="C1884" s="115"/>
      <c r="D1884" s="115"/>
      <c r="E1884" s="115"/>
      <c r="F1884" s="115"/>
      <c r="G1884" s="116"/>
      <c r="I1884" s="118"/>
      <c r="J1884" s="118"/>
      <c r="L1884" s="125"/>
    </row>
    <row r="1885" spans="1:12" x14ac:dyDescent="0.25">
      <c r="A1885" s="115"/>
      <c r="B1885" s="115"/>
      <c r="C1885" s="115"/>
      <c r="D1885" s="115"/>
      <c r="E1885" s="115"/>
      <c r="F1885" s="115"/>
      <c r="G1885" s="116"/>
      <c r="I1885" s="118"/>
      <c r="J1885" s="118"/>
      <c r="L1885" s="125"/>
    </row>
    <row r="1886" spans="1:12" x14ac:dyDescent="0.25">
      <c r="A1886" s="115"/>
      <c r="B1886" s="115"/>
      <c r="C1886" s="115"/>
      <c r="D1886" s="115"/>
      <c r="E1886" s="115"/>
      <c r="F1886" s="115"/>
      <c r="G1886" s="116"/>
      <c r="I1886" s="118"/>
      <c r="J1886" s="118"/>
      <c r="L1886" s="125"/>
    </row>
    <row r="1887" spans="1:12" x14ac:dyDescent="0.25">
      <c r="A1887" s="115"/>
      <c r="B1887" s="115"/>
      <c r="C1887" s="115"/>
      <c r="D1887" s="115"/>
      <c r="E1887" s="115"/>
      <c r="F1887" s="115"/>
      <c r="G1887" s="116"/>
      <c r="I1887" s="118"/>
      <c r="J1887" s="118"/>
      <c r="L1887" s="125"/>
    </row>
    <row r="1888" spans="1:12" x14ac:dyDescent="0.25">
      <c r="A1888" s="115"/>
      <c r="B1888" s="115"/>
      <c r="C1888" s="115"/>
      <c r="D1888" s="115"/>
      <c r="E1888" s="115"/>
      <c r="F1888" s="115"/>
      <c r="G1888" s="116"/>
      <c r="I1888" s="118"/>
      <c r="J1888" s="118"/>
      <c r="L1888" s="125"/>
    </row>
    <row r="1889" spans="1:12" x14ac:dyDescent="0.25">
      <c r="A1889" s="115"/>
      <c r="B1889" s="115"/>
      <c r="C1889" s="115"/>
      <c r="D1889" s="115"/>
      <c r="E1889" s="115"/>
      <c r="F1889" s="115"/>
      <c r="G1889" s="116"/>
      <c r="I1889" s="118"/>
      <c r="J1889" s="118"/>
      <c r="L1889" s="125"/>
    </row>
    <row r="1890" spans="1:12" x14ac:dyDescent="0.25">
      <c r="A1890" s="115"/>
      <c r="B1890" s="115"/>
      <c r="C1890" s="115"/>
      <c r="D1890" s="115"/>
      <c r="E1890" s="115"/>
      <c r="F1890" s="115"/>
      <c r="G1890" s="116"/>
      <c r="I1890" s="118"/>
      <c r="J1890" s="118"/>
      <c r="L1890" s="125"/>
    </row>
    <row r="1891" spans="1:12" x14ac:dyDescent="0.25">
      <c r="A1891" s="115"/>
      <c r="B1891" s="115"/>
      <c r="C1891" s="115"/>
      <c r="D1891" s="115"/>
      <c r="E1891" s="115"/>
      <c r="F1891" s="115"/>
      <c r="G1891" s="116"/>
      <c r="I1891" s="118"/>
      <c r="J1891" s="118"/>
      <c r="L1891" s="125"/>
    </row>
    <row r="1892" spans="1:12" x14ac:dyDescent="0.25">
      <c r="A1892" s="115"/>
      <c r="B1892" s="115"/>
      <c r="C1892" s="115"/>
      <c r="D1892" s="115"/>
      <c r="E1892" s="115"/>
      <c r="F1892" s="115"/>
      <c r="G1892" s="116"/>
      <c r="I1892" s="118"/>
      <c r="J1892" s="118"/>
      <c r="L1892" s="125"/>
    </row>
    <row r="1893" spans="1:12" x14ac:dyDescent="0.25">
      <c r="A1893" s="115"/>
      <c r="B1893" s="115"/>
      <c r="C1893" s="115"/>
      <c r="D1893" s="115"/>
      <c r="E1893" s="115"/>
      <c r="F1893" s="115"/>
      <c r="G1893" s="116"/>
      <c r="I1893" s="118"/>
      <c r="J1893" s="118"/>
      <c r="L1893" s="125"/>
    </row>
    <row r="1894" spans="1:12" x14ac:dyDescent="0.25">
      <c r="A1894" s="115"/>
      <c r="B1894" s="115"/>
      <c r="C1894" s="115"/>
      <c r="D1894" s="115"/>
      <c r="E1894" s="115"/>
      <c r="F1894" s="115"/>
      <c r="G1894" s="116"/>
      <c r="I1894" s="118"/>
      <c r="J1894" s="118"/>
      <c r="L1894" s="125"/>
    </row>
    <row r="1895" spans="1:12" x14ac:dyDescent="0.25">
      <c r="A1895" s="115"/>
      <c r="B1895" s="115"/>
      <c r="C1895" s="115"/>
      <c r="D1895" s="115"/>
      <c r="E1895" s="115"/>
      <c r="F1895" s="115"/>
      <c r="G1895" s="116"/>
      <c r="I1895" s="118"/>
      <c r="J1895" s="118"/>
      <c r="L1895" s="125"/>
    </row>
    <row r="1896" spans="1:12" x14ac:dyDescent="0.25">
      <c r="A1896" s="115"/>
      <c r="B1896" s="115"/>
      <c r="C1896" s="115"/>
      <c r="D1896" s="115"/>
      <c r="E1896" s="115"/>
      <c r="F1896" s="115"/>
      <c r="G1896" s="116"/>
      <c r="I1896" s="118"/>
      <c r="J1896" s="118"/>
      <c r="L1896" s="125"/>
    </row>
    <row r="1897" spans="1:12" x14ac:dyDescent="0.25">
      <c r="A1897" s="115"/>
      <c r="B1897" s="115"/>
      <c r="C1897" s="115"/>
      <c r="D1897" s="115"/>
      <c r="E1897" s="115"/>
      <c r="F1897" s="115"/>
      <c r="G1897" s="116"/>
      <c r="I1897" s="118"/>
      <c r="J1897" s="118"/>
      <c r="L1897" s="125"/>
    </row>
    <row r="1898" spans="1:12" x14ac:dyDescent="0.25">
      <c r="A1898" s="115"/>
      <c r="B1898" s="115"/>
      <c r="C1898" s="115"/>
      <c r="D1898" s="115"/>
      <c r="E1898" s="115"/>
      <c r="F1898" s="115"/>
      <c r="G1898" s="116"/>
      <c r="I1898" s="118"/>
      <c r="J1898" s="118"/>
      <c r="L1898" s="125"/>
    </row>
    <row r="1899" spans="1:12" x14ac:dyDescent="0.25">
      <c r="A1899" s="115"/>
      <c r="B1899" s="115"/>
      <c r="C1899" s="115"/>
      <c r="D1899" s="115"/>
      <c r="E1899" s="115"/>
      <c r="F1899" s="115"/>
      <c r="G1899" s="116"/>
      <c r="I1899" s="118"/>
      <c r="J1899" s="118"/>
      <c r="L1899" s="125"/>
    </row>
    <row r="1900" spans="1:12" x14ac:dyDescent="0.25">
      <c r="A1900" s="115"/>
      <c r="B1900" s="115"/>
      <c r="C1900" s="115"/>
      <c r="D1900" s="115"/>
      <c r="E1900" s="115"/>
      <c r="F1900" s="115"/>
      <c r="G1900" s="116"/>
      <c r="I1900" s="118"/>
      <c r="J1900" s="118"/>
      <c r="L1900" s="125"/>
    </row>
    <row r="1901" spans="1:12" x14ac:dyDescent="0.25">
      <c r="A1901" s="115"/>
      <c r="B1901" s="115"/>
      <c r="C1901" s="115"/>
      <c r="D1901" s="115"/>
      <c r="E1901" s="115"/>
      <c r="F1901" s="115"/>
      <c r="G1901" s="116"/>
      <c r="I1901" s="118"/>
      <c r="J1901" s="118"/>
      <c r="L1901" s="125"/>
    </row>
    <row r="1902" spans="1:12" x14ac:dyDescent="0.25">
      <c r="A1902" s="115"/>
      <c r="B1902" s="115"/>
      <c r="C1902" s="115"/>
      <c r="D1902" s="115"/>
      <c r="E1902" s="115"/>
      <c r="F1902" s="115"/>
      <c r="G1902" s="116"/>
      <c r="I1902" s="118"/>
      <c r="J1902" s="118"/>
      <c r="L1902" s="125"/>
    </row>
    <row r="1903" spans="1:12" x14ac:dyDescent="0.25">
      <c r="A1903" s="115"/>
      <c r="B1903" s="115"/>
      <c r="C1903" s="115"/>
      <c r="D1903" s="115"/>
      <c r="E1903" s="115"/>
      <c r="F1903" s="115"/>
      <c r="G1903" s="116"/>
      <c r="I1903" s="118"/>
      <c r="J1903" s="118"/>
      <c r="L1903" s="125"/>
    </row>
    <row r="1904" spans="1:12" x14ac:dyDescent="0.25">
      <c r="A1904" s="115"/>
      <c r="B1904" s="115"/>
      <c r="C1904" s="115"/>
      <c r="D1904" s="115"/>
      <c r="E1904" s="115"/>
      <c r="F1904" s="115"/>
      <c r="G1904" s="116"/>
      <c r="I1904" s="118"/>
      <c r="J1904" s="118"/>
      <c r="L1904" s="125"/>
    </row>
    <row r="1905" spans="1:12" x14ac:dyDescent="0.25">
      <c r="A1905" s="115"/>
      <c r="B1905" s="115"/>
      <c r="C1905" s="115"/>
      <c r="D1905" s="115"/>
      <c r="E1905" s="115"/>
      <c r="F1905" s="115"/>
      <c r="G1905" s="116"/>
      <c r="I1905" s="118"/>
      <c r="J1905" s="118"/>
      <c r="L1905" s="125"/>
    </row>
    <row r="1906" spans="1:12" x14ac:dyDescent="0.25">
      <c r="A1906" s="115"/>
      <c r="B1906" s="115"/>
      <c r="C1906" s="115"/>
      <c r="D1906" s="115"/>
      <c r="E1906" s="115"/>
      <c r="F1906" s="115"/>
      <c r="G1906" s="116"/>
      <c r="I1906" s="118"/>
      <c r="J1906" s="118"/>
      <c r="L1906" s="125"/>
    </row>
    <row r="1907" spans="1:12" x14ac:dyDescent="0.25">
      <c r="A1907" s="115"/>
      <c r="B1907" s="115"/>
      <c r="C1907" s="115"/>
      <c r="D1907" s="115"/>
      <c r="E1907" s="115"/>
      <c r="F1907" s="115"/>
      <c r="G1907" s="116"/>
      <c r="I1907" s="118"/>
      <c r="J1907" s="118"/>
      <c r="L1907" s="125"/>
    </row>
    <row r="1908" spans="1:12" x14ac:dyDescent="0.25">
      <c r="A1908" s="115"/>
      <c r="B1908" s="115"/>
      <c r="C1908" s="115"/>
      <c r="D1908" s="115"/>
      <c r="E1908" s="115"/>
      <c r="F1908" s="115"/>
      <c r="G1908" s="116"/>
      <c r="I1908" s="118"/>
      <c r="J1908" s="118"/>
      <c r="L1908" s="125"/>
    </row>
    <row r="1909" spans="1:12" x14ac:dyDescent="0.25">
      <c r="A1909" s="115"/>
      <c r="B1909" s="115"/>
      <c r="C1909" s="115"/>
      <c r="D1909" s="115"/>
      <c r="E1909" s="115"/>
      <c r="F1909" s="115"/>
      <c r="G1909" s="116"/>
      <c r="I1909" s="118"/>
      <c r="J1909" s="118"/>
      <c r="L1909" s="125"/>
    </row>
    <row r="1910" spans="1:12" x14ac:dyDescent="0.25">
      <c r="A1910" s="115"/>
      <c r="B1910" s="115"/>
      <c r="C1910" s="115"/>
      <c r="D1910" s="115"/>
      <c r="E1910" s="115"/>
      <c r="F1910" s="115"/>
      <c r="G1910" s="116"/>
      <c r="I1910" s="118"/>
      <c r="J1910" s="118"/>
      <c r="L1910" s="125"/>
    </row>
    <row r="1911" spans="1:12" x14ac:dyDescent="0.25">
      <c r="A1911" s="115"/>
      <c r="B1911" s="115"/>
      <c r="C1911" s="115"/>
      <c r="D1911" s="115"/>
      <c r="E1911" s="115"/>
      <c r="F1911" s="115"/>
      <c r="G1911" s="116"/>
      <c r="I1911" s="118"/>
      <c r="J1911" s="118"/>
      <c r="L1911" s="125"/>
    </row>
    <row r="1912" spans="1:12" x14ac:dyDescent="0.25">
      <c r="A1912" s="115"/>
      <c r="B1912" s="115"/>
      <c r="C1912" s="115"/>
      <c r="D1912" s="115"/>
      <c r="E1912" s="115"/>
      <c r="F1912" s="115"/>
      <c r="G1912" s="116"/>
      <c r="I1912" s="118"/>
      <c r="J1912" s="118"/>
      <c r="L1912" s="125"/>
    </row>
    <row r="1913" spans="1:12" x14ac:dyDescent="0.25">
      <c r="A1913" s="115"/>
      <c r="B1913" s="115"/>
      <c r="C1913" s="115"/>
      <c r="D1913" s="115"/>
      <c r="E1913" s="115"/>
      <c r="F1913" s="115"/>
      <c r="G1913" s="116"/>
      <c r="I1913" s="118"/>
      <c r="J1913" s="118"/>
      <c r="L1913" s="125"/>
    </row>
    <row r="1914" spans="1:12" x14ac:dyDescent="0.25">
      <c r="A1914" s="115"/>
      <c r="B1914" s="115"/>
      <c r="C1914" s="115"/>
      <c r="D1914" s="115"/>
      <c r="E1914" s="115"/>
      <c r="F1914" s="115"/>
      <c r="G1914" s="116"/>
      <c r="I1914" s="118"/>
      <c r="J1914" s="118"/>
      <c r="L1914" s="125"/>
    </row>
    <row r="1915" spans="1:12" x14ac:dyDescent="0.25">
      <c r="A1915" s="115"/>
      <c r="B1915" s="115"/>
      <c r="C1915" s="115"/>
      <c r="D1915" s="115"/>
      <c r="E1915" s="115"/>
      <c r="F1915" s="115"/>
      <c r="G1915" s="116"/>
      <c r="I1915" s="118"/>
      <c r="J1915" s="118"/>
      <c r="L1915" s="125"/>
    </row>
    <row r="1916" spans="1:12" x14ac:dyDescent="0.25">
      <c r="A1916" s="115"/>
      <c r="B1916" s="115"/>
      <c r="C1916" s="115"/>
      <c r="D1916" s="115"/>
      <c r="E1916" s="115"/>
      <c r="F1916" s="115"/>
      <c r="G1916" s="116"/>
      <c r="I1916" s="118"/>
      <c r="J1916" s="118"/>
      <c r="L1916" s="125"/>
    </row>
    <row r="1917" spans="1:12" x14ac:dyDescent="0.25">
      <c r="A1917" s="115"/>
      <c r="B1917" s="115"/>
      <c r="C1917" s="115"/>
      <c r="D1917" s="115"/>
      <c r="E1917" s="115"/>
      <c r="F1917" s="115"/>
      <c r="G1917" s="116"/>
      <c r="I1917" s="118"/>
      <c r="J1917" s="118"/>
      <c r="L1917" s="125"/>
    </row>
    <row r="1918" spans="1:12" x14ac:dyDescent="0.25">
      <c r="A1918" s="115"/>
      <c r="B1918" s="115"/>
      <c r="C1918" s="115"/>
      <c r="D1918" s="115"/>
      <c r="E1918" s="115"/>
      <c r="F1918" s="115"/>
      <c r="G1918" s="116"/>
      <c r="I1918" s="118"/>
      <c r="J1918" s="118"/>
      <c r="L1918" s="125"/>
    </row>
    <row r="1919" spans="1:12" x14ac:dyDescent="0.25">
      <c r="A1919" s="115"/>
      <c r="B1919" s="115"/>
      <c r="C1919" s="115"/>
      <c r="D1919" s="115"/>
      <c r="E1919" s="115"/>
      <c r="F1919" s="115"/>
      <c r="G1919" s="116"/>
      <c r="I1919" s="118"/>
      <c r="J1919" s="118"/>
      <c r="L1919" s="125"/>
    </row>
    <row r="1920" spans="1:12" x14ac:dyDescent="0.25">
      <c r="A1920" s="115"/>
      <c r="B1920" s="115"/>
      <c r="C1920" s="115"/>
      <c r="D1920" s="115"/>
      <c r="E1920" s="115"/>
      <c r="F1920" s="115"/>
      <c r="G1920" s="116"/>
      <c r="I1920" s="118"/>
      <c r="J1920" s="118"/>
      <c r="L1920" s="125"/>
    </row>
    <row r="1921" spans="1:12" x14ac:dyDescent="0.25">
      <c r="A1921" s="115"/>
      <c r="B1921" s="115"/>
      <c r="C1921" s="115"/>
      <c r="D1921" s="115"/>
      <c r="E1921" s="115"/>
      <c r="F1921" s="115"/>
      <c r="G1921" s="116"/>
      <c r="I1921" s="118"/>
      <c r="J1921" s="118"/>
      <c r="L1921" s="125"/>
    </row>
    <row r="1922" spans="1:12" x14ac:dyDescent="0.25">
      <c r="A1922" s="115"/>
      <c r="B1922" s="115"/>
      <c r="C1922" s="115"/>
      <c r="D1922" s="115"/>
      <c r="E1922" s="115"/>
      <c r="F1922" s="115"/>
      <c r="G1922" s="116"/>
      <c r="I1922" s="118"/>
      <c r="J1922" s="118"/>
      <c r="L1922" s="125"/>
    </row>
    <row r="1923" spans="1:12" x14ac:dyDescent="0.25">
      <c r="A1923" s="115"/>
      <c r="B1923" s="115"/>
      <c r="C1923" s="115"/>
      <c r="D1923" s="115"/>
      <c r="E1923" s="115"/>
      <c r="F1923" s="115"/>
      <c r="G1923" s="116"/>
      <c r="I1923" s="118"/>
      <c r="J1923" s="118"/>
      <c r="L1923" s="125"/>
    </row>
    <row r="1924" spans="1:12" x14ac:dyDescent="0.25">
      <c r="A1924" s="115"/>
      <c r="B1924" s="115"/>
      <c r="C1924" s="115"/>
      <c r="D1924" s="115"/>
      <c r="E1924" s="115"/>
      <c r="F1924" s="115"/>
      <c r="G1924" s="116"/>
      <c r="I1924" s="118"/>
      <c r="J1924" s="118"/>
      <c r="L1924" s="125"/>
    </row>
    <row r="1925" spans="1:12" x14ac:dyDescent="0.25">
      <c r="A1925" s="115"/>
      <c r="B1925" s="115"/>
      <c r="C1925" s="115"/>
      <c r="D1925" s="115"/>
      <c r="E1925" s="115"/>
      <c r="F1925" s="115"/>
      <c r="G1925" s="116"/>
      <c r="I1925" s="118"/>
      <c r="J1925" s="118"/>
      <c r="L1925" s="125"/>
    </row>
    <row r="1926" spans="1:12" x14ac:dyDescent="0.25">
      <c r="A1926" s="115"/>
      <c r="B1926" s="115"/>
      <c r="C1926" s="115"/>
      <c r="D1926" s="115"/>
      <c r="E1926" s="115"/>
      <c r="F1926" s="115"/>
      <c r="G1926" s="116"/>
      <c r="I1926" s="118"/>
      <c r="J1926" s="118"/>
      <c r="L1926" s="125"/>
    </row>
    <row r="1927" spans="1:12" x14ac:dyDescent="0.25">
      <c r="A1927" s="115"/>
      <c r="B1927" s="115"/>
      <c r="C1927" s="115"/>
      <c r="D1927" s="115"/>
      <c r="E1927" s="115"/>
      <c r="F1927" s="115"/>
      <c r="G1927" s="116"/>
      <c r="I1927" s="118"/>
      <c r="J1927" s="118"/>
      <c r="L1927" s="125"/>
    </row>
    <row r="1928" spans="1:12" x14ac:dyDescent="0.25">
      <c r="A1928" s="115"/>
      <c r="B1928" s="115"/>
      <c r="C1928" s="115"/>
      <c r="D1928" s="115"/>
      <c r="E1928" s="115"/>
      <c r="F1928" s="115"/>
      <c r="G1928" s="116"/>
      <c r="I1928" s="118"/>
      <c r="J1928" s="118"/>
      <c r="L1928" s="125"/>
    </row>
    <row r="1929" spans="1:12" x14ac:dyDescent="0.25">
      <c r="A1929" s="115"/>
      <c r="B1929" s="115"/>
      <c r="C1929" s="115"/>
      <c r="D1929" s="115"/>
      <c r="E1929" s="115"/>
      <c r="F1929" s="115"/>
      <c r="G1929" s="116"/>
      <c r="I1929" s="118"/>
      <c r="J1929" s="118"/>
      <c r="L1929" s="125"/>
    </row>
    <row r="1930" spans="1:12" x14ac:dyDescent="0.25">
      <c r="A1930" s="115"/>
      <c r="B1930" s="115"/>
      <c r="C1930" s="115"/>
      <c r="D1930" s="115"/>
      <c r="E1930" s="115"/>
      <c r="F1930" s="115"/>
      <c r="G1930" s="116"/>
      <c r="I1930" s="118"/>
      <c r="J1930" s="118"/>
      <c r="L1930" s="125"/>
    </row>
    <row r="1931" spans="1:12" x14ac:dyDescent="0.25">
      <c r="A1931" s="115"/>
      <c r="B1931" s="115"/>
      <c r="C1931" s="115"/>
      <c r="D1931" s="115"/>
      <c r="E1931" s="115"/>
      <c r="F1931" s="115"/>
      <c r="G1931" s="116"/>
      <c r="I1931" s="118"/>
      <c r="J1931" s="118"/>
      <c r="L1931" s="125"/>
    </row>
    <row r="1932" spans="1:12" x14ac:dyDescent="0.25">
      <c r="A1932" s="115"/>
      <c r="B1932" s="115"/>
      <c r="C1932" s="115"/>
      <c r="D1932" s="115"/>
      <c r="E1932" s="115"/>
      <c r="F1932" s="115"/>
      <c r="G1932" s="116"/>
      <c r="I1932" s="118"/>
      <c r="J1932" s="118"/>
      <c r="L1932" s="125"/>
    </row>
    <row r="1933" spans="1:12" x14ac:dyDescent="0.25">
      <c r="A1933" s="115"/>
      <c r="B1933" s="115"/>
      <c r="C1933" s="115"/>
      <c r="D1933" s="115"/>
      <c r="E1933" s="115"/>
      <c r="F1933" s="115"/>
      <c r="G1933" s="116"/>
      <c r="I1933" s="118"/>
      <c r="J1933" s="118"/>
      <c r="L1933" s="125"/>
    </row>
    <row r="1934" spans="1:12" x14ac:dyDescent="0.25">
      <c r="A1934" s="115"/>
      <c r="B1934" s="115"/>
      <c r="C1934" s="115"/>
      <c r="D1934" s="115"/>
      <c r="E1934" s="115"/>
      <c r="F1934" s="115"/>
      <c r="G1934" s="116"/>
      <c r="I1934" s="118"/>
      <c r="J1934" s="118"/>
      <c r="L1934" s="125"/>
    </row>
    <row r="1935" spans="1:12" x14ac:dyDescent="0.25">
      <c r="A1935" s="115"/>
      <c r="B1935" s="115"/>
      <c r="C1935" s="115"/>
      <c r="D1935" s="115"/>
      <c r="E1935" s="115"/>
      <c r="F1935" s="115"/>
      <c r="G1935" s="116"/>
      <c r="I1935" s="118"/>
      <c r="J1935" s="118"/>
      <c r="L1935" s="125"/>
    </row>
    <row r="1936" spans="1:12" x14ac:dyDescent="0.25">
      <c r="A1936" s="115"/>
      <c r="B1936" s="115"/>
      <c r="C1936" s="115"/>
      <c r="D1936" s="115"/>
      <c r="E1936" s="115"/>
      <c r="F1936" s="115"/>
      <c r="G1936" s="116"/>
      <c r="I1936" s="118"/>
      <c r="J1936" s="118"/>
      <c r="L1936" s="125"/>
    </row>
    <row r="1937" spans="1:12" x14ac:dyDescent="0.25">
      <c r="A1937" s="115"/>
      <c r="B1937" s="115"/>
      <c r="C1937" s="115"/>
      <c r="D1937" s="115"/>
      <c r="E1937" s="115"/>
      <c r="F1937" s="115"/>
      <c r="G1937" s="116"/>
      <c r="I1937" s="118"/>
      <c r="J1937" s="118"/>
      <c r="L1937" s="125"/>
    </row>
    <row r="1938" spans="1:12" x14ac:dyDescent="0.25">
      <c r="A1938" s="115"/>
      <c r="B1938" s="115"/>
      <c r="C1938" s="115"/>
      <c r="D1938" s="115"/>
      <c r="E1938" s="115"/>
      <c r="F1938" s="115"/>
      <c r="G1938" s="116"/>
      <c r="I1938" s="118"/>
      <c r="J1938" s="118"/>
      <c r="L1938" s="125"/>
    </row>
    <row r="1939" spans="1:12" x14ac:dyDescent="0.25">
      <c r="A1939" s="115"/>
      <c r="B1939" s="115"/>
      <c r="C1939" s="115"/>
      <c r="D1939" s="115"/>
      <c r="E1939" s="115"/>
      <c r="F1939" s="115"/>
      <c r="G1939" s="116"/>
      <c r="I1939" s="118"/>
      <c r="J1939" s="118"/>
      <c r="L1939" s="125"/>
    </row>
    <row r="1940" spans="1:12" x14ac:dyDescent="0.25">
      <c r="A1940" s="115"/>
      <c r="B1940" s="115"/>
      <c r="C1940" s="115"/>
      <c r="D1940" s="115"/>
      <c r="E1940" s="115"/>
      <c r="F1940" s="115"/>
      <c r="G1940" s="116"/>
      <c r="I1940" s="118"/>
      <c r="J1940" s="118"/>
      <c r="L1940" s="125"/>
    </row>
    <row r="1941" spans="1:12" x14ac:dyDescent="0.25">
      <c r="A1941" s="115"/>
      <c r="B1941" s="115"/>
      <c r="C1941" s="115"/>
      <c r="D1941" s="115"/>
      <c r="E1941" s="115"/>
      <c r="F1941" s="115"/>
      <c r="G1941" s="116"/>
      <c r="I1941" s="118"/>
      <c r="J1941" s="118"/>
      <c r="L1941" s="125"/>
    </row>
    <row r="1942" spans="1:12" x14ac:dyDescent="0.25">
      <c r="A1942" s="115"/>
      <c r="B1942" s="115"/>
      <c r="C1942" s="115"/>
      <c r="D1942" s="115"/>
      <c r="E1942" s="115"/>
      <c r="F1942" s="115"/>
      <c r="G1942" s="116"/>
      <c r="I1942" s="118"/>
      <c r="J1942" s="118"/>
      <c r="L1942" s="125"/>
    </row>
    <row r="1943" spans="1:12" x14ac:dyDescent="0.25">
      <c r="A1943" s="115"/>
      <c r="B1943" s="115"/>
      <c r="C1943" s="115"/>
      <c r="D1943" s="115"/>
      <c r="E1943" s="115"/>
      <c r="F1943" s="115"/>
      <c r="G1943" s="116"/>
      <c r="I1943" s="118"/>
      <c r="J1943" s="118"/>
      <c r="L1943" s="125"/>
    </row>
    <row r="1944" spans="1:12" x14ac:dyDescent="0.25">
      <c r="A1944" s="115"/>
      <c r="B1944" s="115"/>
      <c r="C1944" s="115"/>
      <c r="D1944" s="115"/>
      <c r="E1944" s="115"/>
      <c r="F1944" s="115"/>
      <c r="G1944" s="116"/>
      <c r="I1944" s="118"/>
      <c r="J1944" s="118"/>
      <c r="L1944" s="125"/>
    </row>
    <row r="1945" spans="1:12" x14ac:dyDescent="0.25">
      <c r="A1945" s="115"/>
      <c r="B1945" s="115"/>
      <c r="C1945" s="115"/>
      <c r="D1945" s="115"/>
      <c r="E1945" s="115"/>
      <c r="F1945" s="115"/>
      <c r="G1945" s="116"/>
      <c r="I1945" s="118"/>
      <c r="J1945" s="118"/>
      <c r="L1945" s="125"/>
    </row>
    <row r="1946" spans="1:12" x14ac:dyDescent="0.25">
      <c r="A1946" s="115"/>
      <c r="B1946" s="115"/>
      <c r="C1946" s="115"/>
      <c r="D1946" s="115"/>
      <c r="E1946" s="115"/>
      <c r="F1946" s="115"/>
      <c r="G1946" s="116"/>
      <c r="I1946" s="118"/>
      <c r="J1946" s="118"/>
      <c r="L1946" s="125"/>
    </row>
    <row r="1947" spans="1:12" x14ac:dyDescent="0.25">
      <c r="A1947" s="115"/>
      <c r="B1947" s="115"/>
      <c r="C1947" s="115"/>
      <c r="D1947" s="115"/>
      <c r="E1947" s="115"/>
      <c r="F1947" s="115"/>
      <c r="G1947" s="116"/>
      <c r="I1947" s="118"/>
      <c r="J1947" s="118"/>
      <c r="L1947" s="125"/>
    </row>
    <row r="1948" spans="1:12" x14ac:dyDescent="0.25">
      <c r="A1948" s="115"/>
      <c r="B1948" s="115"/>
      <c r="C1948" s="115"/>
      <c r="D1948" s="115"/>
      <c r="E1948" s="115"/>
      <c r="F1948" s="115"/>
      <c r="G1948" s="116"/>
      <c r="I1948" s="118"/>
      <c r="J1948" s="118"/>
      <c r="L1948" s="125"/>
    </row>
    <row r="1949" spans="1:12" x14ac:dyDescent="0.25">
      <c r="A1949" s="115"/>
      <c r="B1949" s="115"/>
      <c r="C1949" s="115"/>
      <c r="D1949" s="115"/>
      <c r="E1949" s="115"/>
      <c r="F1949" s="115"/>
      <c r="G1949" s="116"/>
      <c r="I1949" s="118"/>
      <c r="J1949" s="118"/>
      <c r="L1949" s="125"/>
    </row>
    <row r="1950" spans="1:12" x14ac:dyDescent="0.25">
      <c r="A1950" s="115"/>
      <c r="B1950" s="115"/>
      <c r="C1950" s="115"/>
      <c r="D1950" s="115"/>
      <c r="E1950" s="115"/>
      <c r="F1950" s="115"/>
      <c r="G1950" s="116"/>
      <c r="I1950" s="118"/>
      <c r="J1950" s="118"/>
      <c r="L1950" s="125"/>
    </row>
    <row r="1951" spans="1:12" x14ac:dyDescent="0.25">
      <c r="A1951" s="115"/>
      <c r="B1951" s="115"/>
      <c r="C1951" s="115"/>
      <c r="D1951" s="115"/>
      <c r="E1951" s="115"/>
      <c r="F1951" s="115"/>
      <c r="G1951" s="116"/>
      <c r="I1951" s="118"/>
      <c r="J1951" s="118"/>
      <c r="L1951" s="125"/>
    </row>
    <row r="1952" spans="1:12" x14ac:dyDescent="0.25">
      <c r="A1952" s="115"/>
      <c r="B1952" s="115"/>
      <c r="C1952" s="115"/>
      <c r="D1952" s="115"/>
      <c r="E1952" s="115"/>
      <c r="F1952" s="115"/>
      <c r="G1952" s="116"/>
      <c r="I1952" s="118"/>
      <c r="J1952" s="118"/>
      <c r="L1952" s="125"/>
    </row>
    <row r="1953" spans="1:12" x14ac:dyDescent="0.25">
      <c r="A1953" s="115"/>
      <c r="B1953" s="115"/>
      <c r="C1953" s="115"/>
      <c r="D1953" s="115"/>
      <c r="E1953" s="115"/>
      <c r="F1953" s="115"/>
      <c r="G1953" s="116"/>
      <c r="I1953" s="118"/>
      <c r="J1953" s="118"/>
      <c r="L1953" s="125"/>
    </row>
    <row r="1954" spans="1:12" x14ac:dyDescent="0.25">
      <c r="A1954" s="115"/>
      <c r="B1954" s="115"/>
      <c r="C1954" s="115"/>
      <c r="D1954" s="115"/>
      <c r="E1954" s="115"/>
      <c r="F1954" s="115"/>
      <c r="G1954" s="116"/>
      <c r="I1954" s="118"/>
      <c r="J1954" s="118"/>
      <c r="L1954" s="125"/>
    </row>
    <row r="1955" spans="1:12" x14ac:dyDescent="0.25">
      <c r="A1955" s="115"/>
      <c r="B1955" s="115"/>
      <c r="C1955" s="115"/>
      <c r="D1955" s="115"/>
      <c r="E1955" s="115"/>
      <c r="F1955" s="115"/>
      <c r="G1955" s="116"/>
      <c r="I1955" s="118"/>
      <c r="J1955" s="118"/>
      <c r="L1955" s="125"/>
    </row>
    <row r="1956" spans="1:12" x14ac:dyDescent="0.25">
      <c r="A1956" s="115"/>
      <c r="B1956" s="115"/>
      <c r="C1956" s="115"/>
      <c r="D1956" s="115"/>
      <c r="E1956" s="115"/>
      <c r="F1956" s="115"/>
      <c r="G1956" s="116"/>
      <c r="I1956" s="118"/>
      <c r="J1956" s="118"/>
      <c r="L1956" s="125"/>
    </row>
    <row r="1957" spans="1:12" x14ac:dyDescent="0.25">
      <c r="A1957" s="115"/>
      <c r="B1957" s="115"/>
      <c r="C1957" s="115"/>
      <c r="D1957" s="115"/>
      <c r="E1957" s="115"/>
      <c r="F1957" s="115"/>
      <c r="G1957" s="116"/>
      <c r="I1957" s="118"/>
      <c r="J1957" s="118"/>
      <c r="L1957" s="125"/>
    </row>
    <row r="1958" spans="1:12" x14ac:dyDescent="0.25">
      <c r="A1958" s="115"/>
      <c r="B1958" s="115"/>
      <c r="C1958" s="115"/>
      <c r="D1958" s="115"/>
      <c r="E1958" s="115"/>
      <c r="F1958" s="115"/>
      <c r="G1958" s="116"/>
      <c r="I1958" s="118"/>
      <c r="J1958" s="118"/>
      <c r="L1958" s="125"/>
    </row>
    <row r="1959" spans="1:12" x14ac:dyDescent="0.25">
      <c r="A1959" s="115"/>
      <c r="B1959" s="115"/>
      <c r="C1959" s="115"/>
      <c r="D1959" s="115"/>
      <c r="E1959" s="115"/>
      <c r="F1959" s="115"/>
      <c r="G1959" s="116"/>
      <c r="I1959" s="118"/>
      <c r="J1959" s="118"/>
      <c r="L1959" s="125"/>
    </row>
    <row r="1960" spans="1:12" x14ac:dyDescent="0.25">
      <c r="A1960" s="115"/>
      <c r="B1960" s="115"/>
      <c r="C1960" s="115"/>
      <c r="D1960" s="115"/>
      <c r="E1960" s="115"/>
      <c r="F1960" s="115"/>
      <c r="G1960" s="116"/>
      <c r="I1960" s="118"/>
      <c r="J1960" s="118"/>
      <c r="L1960" s="125"/>
    </row>
    <row r="1961" spans="1:12" x14ac:dyDescent="0.25">
      <c r="A1961" s="115"/>
      <c r="B1961" s="115"/>
      <c r="C1961" s="115"/>
      <c r="D1961" s="115"/>
      <c r="E1961" s="115"/>
      <c r="F1961" s="115"/>
      <c r="G1961" s="116"/>
      <c r="I1961" s="118"/>
      <c r="J1961" s="118"/>
      <c r="L1961" s="125"/>
    </row>
    <row r="1962" spans="1:12" x14ac:dyDescent="0.25">
      <c r="A1962" s="115"/>
      <c r="B1962" s="115"/>
      <c r="C1962" s="115"/>
      <c r="D1962" s="115"/>
      <c r="E1962" s="115"/>
      <c r="F1962" s="115"/>
      <c r="G1962" s="116"/>
      <c r="I1962" s="118"/>
      <c r="J1962" s="118"/>
      <c r="L1962" s="125"/>
    </row>
    <row r="1963" spans="1:12" x14ac:dyDescent="0.25">
      <c r="A1963" s="115"/>
      <c r="B1963" s="115"/>
      <c r="C1963" s="115"/>
      <c r="D1963" s="115"/>
      <c r="E1963" s="115"/>
      <c r="F1963" s="115"/>
      <c r="G1963" s="116"/>
      <c r="I1963" s="118"/>
      <c r="J1963" s="118"/>
      <c r="L1963" s="125"/>
    </row>
    <row r="1964" spans="1:12" x14ac:dyDescent="0.25">
      <c r="A1964" s="115"/>
      <c r="B1964" s="115"/>
      <c r="C1964" s="115"/>
      <c r="D1964" s="115"/>
      <c r="E1964" s="115"/>
      <c r="F1964" s="115"/>
      <c r="G1964" s="116"/>
      <c r="I1964" s="118"/>
      <c r="J1964" s="118"/>
      <c r="L1964" s="125"/>
    </row>
    <row r="1965" spans="1:12" x14ac:dyDescent="0.25">
      <c r="A1965" s="115"/>
      <c r="B1965" s="115"/>
      <c r="C1965" s="115"/>
      <c r="D1965" s="115"/>
      <c r="E1965" s="115"/>
      <c r="F1965" s="115"/>
      <c r="G1965" s="116"/>
      <c r="I1965" s="118"/>
      <c r="J1965" s="118"/>
      <c r="L1965" s="125"/>
    </row>
    <row r="1966" spans="1:12" x14ac:dyDescent="0.25">
      <c r="A1966" s="115"/>
      <c r="B1966" s="115"/>
      <c r="C1966" s="115"/>
      <c r="D1966" s="115"/>
      <c r="E1966" s="115"/>
      <c r="F1966" s="115"/>
      <c r="G1966" s="116"/>
      <c r="I1966" s="118"/>
      <c r="J1966" s="118"/>
      <c r="L1966" s="125"/>
    </row>
    <row r="1967" spans="1:12" x14ac:dyDescent="0.25">
      <c r="A1967" s="115"/>
      <c r="B1967" s="115"/>
      <c r="C1967" s="115"/>
      <c r="D1967" s="115"/>
      <c r="E1967" s="115"/>
      <c r="F1967" s="115"/>
      <c r="G1967" s="116"/>
      <c r="I1967" s="118"/>
      <c r="J1967" s="118"/>
      <c r="L1967" s="125"/>
    </row>
    <row r="1968" spans="1:12" x14ac:dyDescent="0.25">
      <c r="A1968" s="115"/>
      <c r="B1968" s="115"/>
      <c r="C1968" s="115"/>
      <c r="D1968" s="115"/>
      <c r="E1968" s="115"/>
      <c r="F1968" s="115"/>
      <c r="G1968" s="116"/>
      <c r="I1968" s="118"/>
      <c r="J1968" s="118"/>
      <c r="L1968" s="125"/>
    </row>
    <row r="1969" spans="1:12" x14ac:dyDescent="0.25">
      <c r="A1969" s="115"/>
      <c r="B1969" s="115"/>
      <c r="C1969" s="115"/>
      <c r="D1969" s="115"/>
      <c r="E1969" s="115"/>
      <c r="F1969" s="115"/>
      <c r="G1969" s="116"/>
      <c r="I1969" s="118"/>
      <c r="J1969" s="118"/>
      <c r="L1969" s="125"/>
    </row>
    <row r="1970" spans="1:12" x14ac:dyDescent="0.25">
      <c r="A1970" s="115"/>
      <c r="B1970" s="115"/>
      <c r="C1970" s="115"/>
      <c r="D1970" s="115"/>
      <c r="E1970" s="115"/>
      <c r="F1970" s="115"/>
      <c r="G1970" s="116"/>
      <c r="I1970" s="118"/>
      <c r="J1970" s="118"/>
      <c r="L1970" s="125"/>
    </row>
    <row r="1971" spans="1:12" x14ac:dyDescent="0.25">
      <c r="A1971" s="115"/>
      <c r="B1971" s="115"/>
      <c r="C1971" s="115"/>
      <c r="D1971" s="115"/>
      <c r="E1971" s="115"/>
      <c r="F1971" s="115"/>
      <c r="G1971" s="116"/>
      <c r="I1971" s="118"/>
      <c r="J1971" s="118"/>
      <c r="L1971" s="125"/>
    </row>
    <row r="1972" spans="1:12" x14ac:dyDescent="0.25">
      <c r="A1972" s="115"/>
      <c r="B1972" s="115"/>
      <c r="C1972" s="115"/>
      <c r="D1972" s="115"/>
      <c r="E1972" s="115"/>
      <c r="F1972" s="115"/>
      <c r="G1972" s="116"/>
      <c r="I1972" s="118"/>
      <c r="J1972" s="118"/>
      <c r="L1972" s="125"/>
    </row>
    <row r="1973" spans="1:12" x14ac:dyDescent="0.25">
      <c r="A1973" s="115"/>
      <c r="B1973" s="115"/>
      <c r="C1973" s="115"/>
      <c r="D1973" s="115"/>
      <c r="E1973" s="115"/>
      <c r="F1973" s="115"/>
      <c r="G1973" s="116"/>
      <c r="I1973" s="118"/>
      <c r="J1973" s="118"/>
      <c r="L1973" s="125"/>
    </row>
    <row r="1974" spans="1:12" x14ac:dyDescent="0.25">
      <c r="A1974" s="115"/>
      <c r="B1974" s="115"/>
      <c r="C1974" s="115"/>
      <c r="D1974" s="115"/>
      <c r="E1974" s="115"/>
      <c r="F1974" s="115"/>
      <c r="G1974" s="116"/>
      <c r="I1974" s="118"/>
      <c r="J1974" s="118"/>
      <c r="L1974" s="125"/>
    </row>
    <row r="1975" spans="1:12" x14ac:dyDescent="0.25">
      <c r="A1975" s="115"/>
      <c r="B1975" s="115"/>
      <c r="C1975" s="115"/>
      <c r="D1975" s="115"/>
      <c r="E1975" s="115"/>
      <c r="F1975" s="115"/>
      <c r="G1975" s="116"/>
      <c r="I1975" s="118"/>
      <c r="J1975" s="118"/>
      <c r="L1975" s="125"/>
    </row>
    <row r="1976" spans="1:12" x14ac:dyDescent="0.25">
      <c r="A1976" s="115"/>
      <c r="B1976" s="115"/>
      <c r="C1976" s="115"/>
      <c r="D1976" s="115"/>
      <c r="E1976" s="115"/>
      <c r="F1976" s="115"/>
      <c r="G1976" s="116"/>
      <c r="I1976" s="118"/>
      <c r="J1976" s="118"/>
      <c r="L1976" s="125"/>
    </row>
    <row r="1977" spans="1:12" x14ac:dyDescent="0.25">
      <c r="A1977" s="115"/>
      <c r="B1977" s="115"/>
      <c r="C1977" s="115"/>
      <c r="D1977" s="115"/>
      <c r="E1977" s="115"/>
      <c r="F1977" s="115"/>
      <c r="G1977" s="116"/>
      <c r="I1977" s="118"/>
      <c r="J1977" s="118"/>
      <c r="L1977" s="125"/>
    </row>
    <row r="1978" spans="1:12" x14ac:dyDescent="0.25">
      <c r="A1978" s="115"/>
      <c r="B1978" s="115"/>
      <c r="C1978" s="115"/>
      <c r="D1978" s="115"/>
      <c r="E1978" s="115"/>
      <c r="F1978" s="115"/>
      <c r="G1978" s="116"/>
      <c r="I1978" s="118"/>
      <c r="J1978" s="118"/>
      <c r="L1978" s="125"/>
    </row>
    <row r="1979" spans="1:12" x14ac:dyDescent="0.25">
      <c r="A1979" s="115"/>
      <c r="B1979" s="115"/>
      <c r="C1979" s="115"/>
      <c r="D1979" s="115"/>
      <c r="E1979" s="115"/>
      <c r="F1979" s="115"/>
      <c r="G1979" s="116"/>
      <c r="I1979" s="118"/>
      <c r="J1979" s="118"/>
      <c r="L1979" s="125"/>
    </row>
    <row r="1980" spans="1:12" x14ac:dyDescent="0.25">
      <c r="A1980" s="115"/>
      <c r="B1980" s="115"/>
      <c r="C1980" s="115"/>
      <c r="D1980" s="115"/>
      <c r="E1980" s="115"/>
      <c r="F1980" s="115"/>
      <c r="G1980" s="116"/>
      <c r="I1980" s="118"/>
      <c r="J1980" s="118"/>
      <c r="L1980" s="125"/>
    </row>
    <row r="1981" spans="1:12" x14ac:dyDescent="0.25">
      <c r="A1981" s="115"/>
      <c r="B1981" s="115"/>
      <c r="C1981" s="115"/>
      <c r="D1981" s="115"/>
      <c r="E1981" s="115"/>
      <c r="F1981" s="115"/>
      <c r="G1981" s="116"/>
      <c r="I1981" s="118"/>
      <c r="J1981" s="118"/>
      <c r="L1981" s="125"/>
    </row>
    <row r="1982" spans="1:12" x14ac:dyDescent="0.25">
      <c r="A1982" s="115"/>
      <c r="B1982" s="115"/>
      <c r="C1982" s="115"/>
      <c r="D1982" s="115"/>
      <c r="E1982" s="115"/>
      <c r="F1982" s="115"/>
      <c r="G1982" s="116"/>
      <c r="I1982" s="118"/>
      <c r="J1982" s="118"/>
      <c r="L1982" s="125"/>
    </row>
    <row r="1983" spans="1:12" x14ac:dyDescent="0.25">
      <c r="A1983" s="115"/>
      <c r="B1983" s="115"/>
      <c r="C1983" s="115"/>
      <c r="D1983" s="115"/>
      <c r="E1983" s="115"/>
      <c r="F1983" s="115"/>
      <c r="G1983" s="116"/>
      <c r="I1983" s="118"/>
      <c r="J1983" s="118"/>
      <c r="L1983" s="125"/>
    </row>
    <row r="1984" spans="1:12" x14ac:dyDescent="0.25">
      <c r="A1984" s="115"/>
      <c r="B1984" s="115"/>
      <c r="C1984" s="115"/>
      <c r="D1984" s="115"/>
      <c r="E1984" s="115"/>
      <c r="F1984" s="115"/>
      <c r="G1984" s="116"/>
      <c r="I1984" s="118"/>
      <c r="J1984" s="118"/>
      <c r="L1984" s="125"/>
    </row>
    <row r="1985" spans="1:12" x14ac:dyDescent="0.25">
      <c r="A1985" s="115"/>
      <c r="B1985" s="115"/>
      <c r="C1985" s="115"/>
      <c r="D1985" s="115"/>
      <c r="E1985" s="115"/>
      <c r="F1985" s="115"/>
      <c r="G1985" s="116"/>
      <c r="I1985" s="118"/>
      <c r="J1985" s="118"/>
      <c r="L1985" s="125"/>
    </row>
    <row r="1986" spans="1:12" x14ac:dyDescent="0.25">
      <c r="A1986" s="115"/>
      <c r="B1986" s="115"/>
      <c r="C1986" s="115"/>
      <c r="D1986" s="115"/>
      <c r="E1986" s="115"/>
      <c r="F1986" s="115"/>
      <c r="G1986" s="116"/>
      <c r="I1986" s="118"/>
      <c r="J1986" s="118"/>
      <c r="L1986" s="125"/>
    </row>
    <row r="1987" spans="1:12" x14ac:dyDescent="0.25">
      <c r="A1987" s="115"/>
      <c r="B1987" s="115"/>
      <c r="C1987" s="115"/>
      <c r="D1987" s="115"/>
      <c r="E1987" s="115"/>
      <c r="F1987" s="115"/>
      <c r="G1987" s="116"/>
      <c r="I1987" s="118"/>
      <c r="J1987" s="118"/>
      <c r="L1987" s="125"/>
    </row>
    <row r="1988" spans="1:12" x14ac:dyDescent="0.25">
      <c r="A1988" s="115"/>
      <c r="B1988" s="115"/>
      <c r="C1988" s="115"/>
      <c r="D1988" s="115"/>
      <c r="E1988" s="115"/>
      <c r="F1988" s="115"/>
      <c r="G1988" s="116"/>
      <c r="I1988" s="118"/>
      <c r="J1988" s="118"/>
      <c r="L1988" s="125"/>
    </row>
    <row r="1989" spans="1:12" x14ac:dyDescent="0.25">
      <c r="A1989" s="115"/>
      <c r="B1989" s="115"/>
      <c r="C1989" s="115"/>
      <c r="D1989" s="115"/>
      <c r="E1989" s="115"/>
      <c r="F1989" s="115"/>
      <c r="G1989" s="116"/>
      <c r="I1989" s="118"/>
      <c r="J1989" s="118"/>
      <c r="L1989" s="125"/>
    </row>
    <row r="1990" spans="1:12" x14ac:dyDescent="0.25">
      <c r="A1990" s="115"/>
      <c r="B1990" s="115"/>
      <c r="C1990" s="115"/>
      <c r="D1990" s="115"/>
      <c r="E1990" s="115"/>
      <c r="F1990" s="115"/>
      <c r="G1990" s="116"/>
      <c r="I1990" s="118"/>
      <c r="J1990" s="118"/>
      <c r="L1990" s="125"/>
    </row>
    <row r="1991" spans="1:12" x14ac:dyDescent="0.25">
      <c r="A1991" s="115"/>
      <c r="B1991" s="115"/>
      <c r="C1991" s="115"/>
      <c r="D1991" s="115"/>
      <c r="E1991" s="115"/>
      <c r="F1991" s="115"/>
      <c r="G1991" s="116"/>
      <c r="I1991" s="118"/>
      <c r="J1991" s="118"/>
      <c r="L1991" s="125"/>
    </row>
    <row r="1992" spans="1:12" x14ac:dyDescent="0.25">
      <c r="A1992" s="115"/>
      <c r="B1992" s="115"/>
      <c r="C1992" s="115"/>
      <c r="D1992" s="115"/>
      <c r="E1992" s="115"/>
      <c r="F1992" s="115"/>
      <c r="G1992" s="116"/>
      <c r="I1992" s="118"/>
      <c r="J1992" s="118"/>
      <c r="L1992" s="125"/>
    </row>
    <row r="1993" spans="1:12" x14ac:dyDescent="0.25">
      <c r="A1993" s="115"/>
      <c r="B1993" s="115"/>
      <c r="C1993" s="115"/>
      <c r="D1993" s="115"/>
      <c r="E1993" s="115"/>
      <c r="F1993" s="115"/>
      <c r="G1993" s="116"/>
      <c r="I1993" s="118"/>
      <c r="J1993" s="118"/>
      <c r="L1993" s="125"/>
    </row>
    <row r="1994" spans="1:12" x14ac:dyDescent="0.25">
      <c r="A1994" s="115"/>
      <c r="B1994" s="115"/>
      <c r="C1994" s="115"/>
      <c r="D1994" s="115"/>
      <c r="E1994" s="115"/>
      <c r="F1994" s="115"/>
      <c r="G1994" s="116"/>
      <c r="I1994" s="118"/>
      <c r="J1994" s="118"/>
      <c r="L1994" s="125"/>
    </row>
    <row r="1995" spans="1:12" x14ac:dyDescent="0.25">
      <c r="A1995" s="115"/>
      <c r="B1995" s="115"/>
      <c r="C1995" s="115"/>
      <c r="D1995" s="115"/>
      <c r="E1995" s="115"/>
      <c r="F1995" s="115"/>
      <c r="G1995" s="116"/>
      <c r="I1995" s="118"/>
      <c r="J1995" s="118"/>
      <c r="L1995" s="125"/>
    </row>
    <row r="1996" spans="1:12" x14ac:dyDescent="0.25">
      <c r="A1996" s="115"/>
      <c r="B1996" s="115"/>
      <c r="C1996" s="115"/>
      <c r="D1996" s="115"/>
      <c r="E1996" s="115"/>
      <c r="F1996" s="115"/>
      <c r="G1996" s="116"/>
      <c r="I1996" s="118"/>
      <c r="J1996" s="118"/>
      <c r="L1996" s="125"/>
    </row>
    <row r="1997" spans="1:12" x14ac:dyDescent="0.25">
      <c r="A1997" s="115"/>
      <c r="B1997" s="115"/>
      <c r="C1997" s="115"/>
      <c r="D1997" s="115"/>
      <c r="E1997" s="115"/>
      <c r="F1997" s="115"/>
      <c r="G1997" s="116"/>
      <c r="I1997" s="118"/>
      <c r="J1997" s="118"/>
      <c r="L1997" s="125"/>
    </row>
    <row r="1998" spans="1:12" x14ac:dyDescent="0.25">
      <c r="A1998" s="115"/>
      <c r="B1998" s="115"/>
      <c r="C1998" s="115"/>
      <c r="D1998" s="115"/>
      <c r="E1998" s="115"/>
      <c r="F1998" s="115"/>
      <c r="G1998" s="116"/>
      <c r="I1998" s="118"/>
      <c r="J1998" s="118"/>
      <c r="L1998" s="125"/>
    </row>
    <row r="1999" spans="1:12" x14ac:dyDescent="0.25">
      <c r="A1999" s="115"/>
      <c r="B1999" s="115"/>
      <c r="C1999" s="115"/>
      <c r="D1999" s="115"/>
      <c r="E1999" s="115"/>
      <c r="F1999" s="115"/>
      <c r="G1999" s="116"/>
      <c r="I1999" s="118"/>
      <c r="J1999" s="118"/>
      <c r="L1999" s="125"/>
    </row>
    <row r="2000" spans="1:12" x14ac:dyDescent="0.25">
      <c r="A2000" s="115"/>
      <c r="B2000" s="115"/>
      <c r="C2000" s="115"/>
      <c r="D2000" s="115"/>
      <c r="E2000" s="115"/>
      <c r="F2000" s="115"/>
      <c r="G2000" s="116"/>
      <c r="I2000" s="118"/>
      <c r="J2000" s="118"/>
      <c r="L2000" s="125"/>
    </row>
    <row r="2001" spans="1:12" x14ac:dyDescent="0.25">
      <c r="A2001" s="115"/>
      <c r="B2001" s="115"/>
      <c r="C2001" s="115"/>
      <c r="D2001" s="115"/>
      <c r="E2001" s="115"/>
      <c r="F2001" s="115"/>
      <c r="G2001" s="116"/>
      <c r="I2001" s="118"/>
      <c r="J2001" s="118"/>
      <c r="L2001" s="125"/>
    </row>
    <row r="2002" spans="1:12" x14ac:dyDescent="0.25">
      <c r="A2002" s="115"/>
      <c r="B2002" s="115"/>
      <c r="C2002" s="115"/>
      <c r="D2002" s="115"/>
      <c r="E2002" s="115"/>
      <c r="F2002" s="115"/>
      <c r="G2002" s="116"/>
      <c r="I2002" s="118"/>
      <c r="J2002" s="118"/>
      <c r="L2002" s="125"/>
    </row>
    <row r="2003" spans="1:12" x14ac:dyDescent="0.25">
      <c r="A2003" s="115"/>
      <c r="B2003" s="115"/>
      <c r="C2003" s="115"/>
      <c r="D2003" s="115"/>
      <c r="E2003" s="115"/>
      <c r="F2003" s="115"/>
      <c r="G2003" s="116"/>
      <c r="I2003" s="118"/>
      <c r="J2003" s="118"/>
      <c r="L2003" s="125"/>
    </row>
    <row r="2004" spans="1:12" x14ac:dyDescent="0.25">
      <c r="A2004" s="115"/>
      <c r="B2004" s="115"/>
      <c r="C2004" s="115"/>
      <c r="D2004" s="115"/>
      <c r="E2004" s="115"/>
      <c r="F2004" s="115"/>
      <c r="G2004" s="116"/>
      <c r="I2004" s="118"/>
      <c r="J2004" s="118"/>
      <c r="L2004" s="125"/>
    </row>
    <row r="2005" spans="1:12" x14ac:dyDescent="0.25">
      <c r="A2005" s="115"/>
      <c r="B2005" s="115"/>
      <c r="C2005" s="115"/>
      <c r="D2005" s="115"/>
      <c r="E2005" s="115"/>
      <c r="F2005" s="115"/>
      <c r="G2005" s="116"/>
      <c r="I2005" s="118"/>
      <c r="J2005" s="118"/>
      <c r="L2005" s="125"/>
    </row>
    <row r="2006" spans="1:12" x14ac:dyDescent="0.25">
      <c r="A2006" s="115"/>
      <c r="B2006" s="115"/>
      <c r="C2006" s="115"/>
      <c r="D2006" s="115"/>
      <c r="E2006" s="115"/>
      <c r="F2006" s="115"/>
      <c r="G2006" s="116"/>
      <c r="I2006" s="118"/>
      <c r="J2006" s="118"/>
      <c r="L2006" s="125"/>
    </row>
    <row r="2007" spans="1:12" x14ac:dyDescent="0.25">
      <c r="A2007" s="115"/>
      <c r="B2007" s="115"/>
      <c r="C2007" s="115"/>
      <c r="D2007" s="115"/>
      <c r="E2007" s="115"/>
      <c r="F2007" s="115"/>
      <c r="G2007" s="116"/>
      <c r="I2007" s="118"/>
      <c r="J2007" s="118"/>
      <c r="L2007" s="125"/>
    </row>
    <row r="2008" spans="1:12" x14ac:dyDescent="0.25">
      <c r="A2008" s="115"/>
      <c r="B2008" s="115"/>
      <c r="C2008" s="115"/>
      <c r="D2008" s="115"/>
      <c r="E2008" s="115"/>
      <c r="F2008" s="115"/>
      <c r="G2008" s="116"/>
      <c r="I2008" s="118"/>
      <c r="J2008" s="118"/>
      <c r="L2008" s="125"/>
    </row>
    <row r="2009" spans="1:12" x14ac:dyDescent="0.25">
      <c r="A2009" s="115"/>
      <c r="B2009" s="115"/>
      <c r="C2009" s="115"/>
      <c r="D2009" s="115"/>
      <c r="E2009" s="115"/>
      <c r="F2009" s="115"/>
      <c r="G2009" s="116"/>
      <c r="I2009" s="118"/>
      <c r="J2009" s="118"/>
      <c r="L2009" s="125"/>
    </row>
    <row r="2010" spans="1:12" x14ac:dyDescent="0.25">
      <c r="A2010" s="115"/>
      <c r="B2010" s="115"/>
      <c r="C2010" s="115"/>
      <c r="D2010" s="115"/>
      <c r="E2010" s="115"/>
      <c r="F2010" s="115"/>
      <c r="G2010" s="116"/>
      <c r="I2010" s="118"/>
      <c r="J2010" s="118"/>
      <c r="L2010" s="125"/>
    </row>
    <row r="2011" spans="1:12" x14ac:dyDescent="0.25">
      <c r="A2011" s="115"/>
      <c r="B2011" s="115"/>
      <c r="C2011" s="115"/>
      <c r="D2011" s="115"/>
      <c r="E2011" s="115"/>
      <c r="F2011" s="115"/>
      <c r="G2011" s="116"/>
      <c r="I2011" s="118"/>
      <c r="J2011" s="118"/>
      <c r="L2011" s="125"/>
    </row>
    <row r="2012" spans="1:12" x14ac:dyDescent="0.25">
      <c r="A2012" s="115"/>
      <c r="B2012" s="115"/>
      <c r="C2012" s="115"/>
      <c r="D2012" s="115"/>
      <c r="E2012" s="115"/>
      <c r="F2012" s="115"/>
      <c r="G2012" s="116"/>
      <c r="I2012" s="118"/>
      <c r="J2012" s="118"/>
      <c r="L2012" s="125"/>
    </row>
    <row r="2013" spans="1:12" x14ac:dyDescent="0.25">
      <c r="A2013" s="115"/>
      <c r="B2013" s="115"/>
      <c r="C2013" s="115"/>
      <c r="D2013" s="115"/>
      <c r="E2013" s="115"/>
      <c r="F2013" s="115"/>
      <c r="G2013" s="116"/>
      <c r="I2013" s="118"/>
      <c r="J2013" s="118"/>
      <c r="L2013" s="125"/>
    </row>
    <row r="2014" spans="1:12" x14ac:dyDescent="0.25">
      <c r="A2014" s="115"/>
      <c r="B2014" s="115"/>
      <c r="C2014" s="115"/>
      <c r="D2014" s="115"/>
      <c r="E2014" s="115"/>
      <c r="F2014" s="115"/>
      <c r="G2014" s="116"/>
      <c r="I2014" s="118"/>
      <c r="J2014" s="118"/>
      <c r="L2014" s="125"/>
    </row>
    <row r="2015" spans="1:12" x14ac:dyDescent="0.25">
      <c r="A2015" s="115"/>
      <c r="B2015" s="115"/>
      <c r="C2015" s="115"/>
      <c r="D2015" s="115"/>
      <c r="E2015" s="115"/>
      <c r="F2015" s="115"/>
      <c r="G2015" s="116"/>
      <c r="I2015" s="118"/>
      <c r="J2015" s="118"/>
      <c r="L2015" s="125"/>
    </row>
    <row r="2016" spans="1:12" x14ac:dyDescent="0.25">
      <c r="A2016" s="115"/>
      <c r="B2016" s="115"/>
      <c r="C2016" s="115"/>
      <c r="D2016" s="115"/>
      <c r="E2016" s="115"/>
      <c r="F2016" s="115"/>
      <c r="G2016" s="116"/>
      <c r="I2016" s="118"/>
      <c r="J2016" s="118"/>
      <c r="L2016" s="125"/>
    </row>
    <row r="2017" spans="1:12" x14ac:dyDescent="0.25">
      <c r="A2017" s="115"/>
      <c r="B2017" s="115"/>
      <c r="C2017" s="115"/>
      <c r="D2017" s="115"/>
      <c r="E2017" s="115"/>
      <c r="F2017" s="115"/>
      <c r="G2017" s="116"/>
      <c r="I2017" s="118"/>
      <c r="J2017" s="118"/>
      <c r="L2017" s="125"/>
    </row>
    <row r="2018" spans="1:12" x14ac:dyDescent="0.25">
      <c r="A2018" s="115"/>
      <c r="B2018" s="115"/>
      <c r="C2018" s="115"/>
      <c r="D2018" s="115"/>
      <c r="E2018" s="115"/>
      <c r="F2018" s="115"/>
      <c r="G2018" s="116"/>
      <c r="I2018" s="118"/>
      <c r="J2018" s="118"/>
      <c r="L2018" s="125"/>
    </row>
    <row r="2019" spans="1:12" x14ac:dyDescent="0.25">
      <c r="A2019" s="115"/>
      <c r="B2019" s="115"/>
      <c r="C2019" s="115"/>
      <c r="D2019" s="115"/>
      <c r="E2019" s="115"/>
      <c r="F2019" s="115"/>
      <c r="G2019" s="116"/>
      <c r="I2019" s="118"/>
      <c r="J2019" s="118"/>
      <c r="L2019" s="125"/>
    </row>
    <row r="2020" spans="1:12" x14ac:dyDescent="0.25">
      <c r="A2020" s="115"/>
      <c r="B2020" s="115"/>
      <c r="C2020" s="115"/>
      <c r="D2020" s="115"/>
      <c r="E2020" s="115"/>
      <c r="F2020" s="115"/>
      <c r="G2020" s="116"/>
      <c r="I2020" s="118"/>
      <c r="J2020" s="118"/>
      <c r="L2020" s="125"/>
    </row>
    <row r="2021" spans="1:12" x14ac:dyDescent="0.25">
      <c r="A2021" s="115"/>
      <c r="B2021" s="115"/>
      <c r="C2021" s="115"/>
      <c r="D2021" s="115"/>
      <c r="E2021" s="115"/>
      <c r="F2021" s="115"/>
      <c r="G2021" s="116"/>
      <c r="I2021" s="118"/>
      <c r="J2021" s="118"/>
      <c r="L2021" s="125"/>
    </row>
    <row r="2022" spans="1:12" x14ac:dyDescent="0.25">
      <c r="A2022" s="115"/>
      <c r="B2022" s="115"/>
      <c r="C2022" s="115"/>
      <c r="D2022" s="115"/>
      <c r="E2022" s="115"/>
      <c r="F2022" s="115"/>
      <c r="G2022" s="116"/>
      <c r="I2022" s="118"/>
      <c r="J2022" s="118"/>
      <c r="L2022" s="125"/>
    </row>
    <row r="2023" spans="1:12" x14ac:dyDescent="0.25">
      <c r="A2023" s="115"/>
      <c r="B2023" s="115"/>
      <c r="C2023" s="115"/>
      <c r="D2023" s="115"/>
      <c r="E2023" s="115"/>
      <c r="F2023" s="115"/>
      <c r="G2023" s="116"/>
      <c r="I2023" s="118"/>
      <c r="J2023" s="118"/>
      <c r="L2023" s="125"/>
    </row>
    <row r="2024" spans="1:12" x14ac:dyDescent="0.25">
      <c r="A2024" s="115"/>
      <c r="B2024" s="115"/>
      <c r="C2024" s="115"/>
      <c r="D2024" s="115"/>
      <c r="E2024" s="115"/>
      <c r="F2024" s="115"/>
      <c r="G2024" s="116"/>
      <c r="I2024" s="118"/>
      <c r="J2024" s="118"/>
      <c r="L2024" s="125"/>
    </row>
    <row r="2025" spans="1:12" x14ac:dyDescent="0.25">
      <c r="A2025" s="115"/>
      <c r="B2025" s="115"/>
      <c r="C2025" s="115"/>
      <c r="D2025" s="115"/>
      <c r="E2025" s="115"/>
      <c r="F2025" s="115"/>
      <c r="G2025" s="116"/>
      <c r="I2025" s="118"/>
      <c r="J2025" s="118"/>
      <c r="L2025" s="125"/>
    </row>
    <row r="2026" spans="1:12" x14ac:dyDescent="0.25">
      <c r="A2026" s="115"/>
      <c r="B2026" s="115"/>
      <c r="C2026" s="115"/>
      <c r="D2026" s="115"/>
      <c r="E2026" s="115"/>
      <c r="F2026" s="115"/>
      <c r="G2026" s="116"/>
      <c r="I2026" s="118"/>
      <c r="J2026" s="118"/>
      <c r="L2026" s="125"/>
    </row>
    <row r="2027" spans="1:12" x14ac:dyDescent="0.25">
      <c r="A2027" s="115"/>
      <c r="B2027" s="115"/>
      <c r="C2027" s="115"/>
      <c r="D2027" s="115"/>
      <c r="E2027" s="115"/>
      <c r="F2027" s="115"/>
      <c r="G2027" s="116"/>
      <c r="I2027" s="118"/>
      <c r="J2027" s="118"/>
      <c r="L2027" s="125"/>
    </row>
    <row r="2028" spans="1:12" x14ac:dyDescent="0.25">
      <c r="A2028" s="115"/>
      <c r="B2028" s="115"/>
      <c r="C2028" s="115"/>
      <c r="D2028" s="115"/>
      <c r="E2028" s="115"/>
      <c r="F2028" s="115"/>
      <c r="G2028" s="116"/>
      <c r="I2028" s="118"/>
      <c r="J2028" s="118"/>
      <c r="L2028" s="125"/>
    </row>
    <row r="2029" spans="1:12" x14ac:dyDescent="0.25">
      <c r="A2029" s="115"/>
      <c r="B2029" s="115"/>
      <c r="C2029" s="115"/>
      <c r="D2029" s="115"/>
      <c r="E2029" s="115"/>
      <c r="F2029" s="115"/>
      <c r="G2029" s="116"/>
      <c r="I2029" s="118"/>
      <c r="J2029" s="118"/>
      <c r="L2029" s="125"/>
    </row>
    <row r="2030" spans="1:12" x14ac:dyDescent="0.25">
      <c r="A2030" s="115"/>
      <c r="B2030" s="115"/>
      <c r="C2030" s="115"/>
      <c r="D2030" s="115"/>
      <c r="E2030" s="115"/>
      <c r="F2030" s="115"/>
      <c r="G2030" s="116"/>
      <c r="I2030" s="118"/>
      <c r="J2030" s="118"/>
      <c r="L2030" s="125"/>
    </row>
    <row r="2031" spans="1:12" x14ac:dyDescent="0.25">
      <c r="A2031" s="115"/>
      <c r="B2031" s="115"/>
      <c r="C2031" s="115"/>
      <c r="D2031" s="115"/>
      <c r="E2031" s="115"/>
      <c r="F2031" s="115"/>
      <c r="G2031" s="116"/>
      <c r="I2031" s="118"/>
      <c r="J2031" s="118"/>
      <c r="L2031" s="125"/>
    </row>
    <row r="2032" spans="1:12" x14ac:dyDescent="0.25">
      <c r="A2032" s="115"/>
      <c r="B2032" s="115"/>
      <c r="C2032" s="115"/>
      <c r="D2032" s="115"/>
      <c r="E2032" s="115"/>
      <c r="F2032" s="115"/>
      <c r="G2032" s="116"/>
      <c r="I2032" s="118"/>
      <c r="J2032" s="118"/>
      <c r="L2032" s="125"/>
    </row>
    <row r="2033" spans="1:12" x14ac:dyDescent="0.25">
      <c r="A2033" s="115"/>
      <c r="B2033" s="115"/>
      <c r="C2033" s="115"/>
      <c r="D2033" s="115"/>
      <c r="E2033" s="115"/>
      <c r="F2033" s="115"/>
      <c r="G2033" s="116"/>
      <c r="I2033" s="118"/>
      <c r="J2033" s="118"/>
      <c r="L2033" s="125"/>
    </row>
    <row r="2034" spans="1:12" x14ac:dyDescent="0.25">
      <c r="A2034" s="115"/>
      <c r="B2034" s="115"/>
      <c r="C2034" s="115"/>
      <c r="D2034" s="115"/>
      <c r="E2034" s="115"/>
      <c r="F2034" s="115"/>
      <c r="G2034" s="116"/>
      <c r="I2034" s="118"/>
      <c r="J2034" s="118"/>
      <c r="L2034" s="125"/>
    </row>
    <row r="2035" spans="1:12" x14ac:dyDescent="0.25">
      <c r="A2035" s="115"/>
      <c r="B2035" s="115"/>
      <c r="C2035" s="115"/>
      <c r="D2035" s="115"/>
      <c r="E2035" s="115"/>
      <c r="F2035" s="115"/>
      <c r="G2035" s="116"/>
      <c r="I2035" s="118"/>
      <c r="J2035" s="118"/>
      <c r="L2035" s="125"/>
    </row>
    <row r="2036" spans="1:12" x14ac:dyDescent="0.25">
      <c r="A2036" s="115"/>
      <c r="B2036" s="115"/>
      <c r="C2036" s="115"/>
      <c r="D2036" s="115"/>
      <c r="E2036" s="115"/>
      <c r="F2036" s="115"/>
      <c r="G2036" s="116"/>
      <c r="I2036" s="118"/>
      <c r="J2036" s="118"/>
      <c r="L2036" s="125"/>
    </row>
    <row r="2037" spans="1:12" x14ac:dyDescent="0.25">
      <c r="A2037" s="115"/>
      <c r="B2037" s="115"/>
      <c r="C2037" s="115"/>
      <c r="D2037" s="115"/>
      <c r="E2037" s="115"/>
      <c r="F2037" s="115"/>
      <c r="G2037" s="116"/>
      <c r="I2037" s="118"/>
      <c r="J2037" s="118"/>
      <c r="L2037" s="125"/>
    </row>
    <row r="2038" spans="1:12" x14ac:dyDescent="0.25">
      <c r="A2038" s="115"/>
      <c r="B2038" s="115"/>
      <c r="C2038" s="115"/>
      <c r="D2038" s="115"/>
      <c r="E2038" s="115"/>
      <c r="F2038" s="115"/>
      <c r="G2038" s="116"/>
      <c r="I2038" s="118"/>
      <c r="J2038" s="118"/>
      <c r="L2038" s="125"/>
    </row>
    <row r="2039" spans="1:12" x14ac:dyDescent="0.25">
      <c r="A2039" s="115"/>
      <c r="B2039" s="115"/>
      <c r="C2039" s="115"/>
      <c r="D2039" s="115"/>
      <c r="E2039" s="115"/>
      <c r="F2039" s="115"/>
      <c r="G2039" s="116"/>
      <c r="I2039" s="118"/>
      <c r="J2039" s="118"/>
      <c r="L2039" s="125"/>
    </row>
    <row r="2040" spans="1:12" x14ac:dyDescent="0.25">
      <c r="A2040" s="115"/>
      <c r="B2040" s="115"/>
      <c r="C2040" s="115"/>
      <c r="D2040" s="115"/>
      <c r="E2040" s="115"/>
      <c r="F2040" s="115"/>
      <c r="G2040" s="116"/>
      <c r="I2040" s="118"/>
      <c r="J2040" s="118"/>
      <c r="L2040" s="125"/>
    </row>
    <row r="2041" spans="1:12" x14ac:dyDescent="0.25">
      <c r="A2041" s="115"/>
      <c r="B2041" s="115"/>
      <c r="C2041" s="115"/>
      <c r="D2041" s="115"/>
      <c r="E2041" s="115"/>
      <c r="F2041" s="115"/>
      <c r="G2041" s="116"/>
      <c r="I2041" s="118"/>
      <c r="J2041" s="118"/>
      <c r="L2041" s="125"/>
    </row>
    <row r="2042" spans="1:12" x14ac:dyDescent="0.25">
      <c r="A2042" s="115"/>
      <c r="B2042" s="115"/>
      <c r="C2042" s="115"/>
      <c r="D2042" s="115"/>
      <c r="E2042" s="115"/>
      <c r="F2042" s="115"/>
      <c r="G2042" s="116"/>
      <c r="I2042" s="118"/>
      <c r="J2042" s="118"/>
      <c r="L2042" s="125"/>
    </row>
    <row r="2043" spans="1:12" x14ac:dyDescent="0.25">
      <c r="A2043" s="115"/>
      <c r="B2043" s="115"/>
      <c r="C2043" s="115"/>
      <c r="D2043" s="115"/>
      <c r="E2043" s="115"/>
      <c r="F2043" s="115"/>
      <c r="G2043" s="116"/>
      <c r="I2043" s="118"/>
      <c r="J2043" s="118"/>
      <c r="L2043" s="125"/>
    </row>
    <row r="2044" spans="1:12" x14ac:dyDescent="0.25">
      <c r="A2044" s="115"/>
      <c r="B2044" s="115"/>
      <c r="C2044" s="115"/>
      <c r="D2044" s="115"/>
      <c r="E2044" s="115"/>
      <c r="F2044" s="115"/>
      <c r="G2044" s="116"/>
      <c r="I2044" s="118"/>
      <c r="J2044" s="118"/>
      <c r="L2044" s="125"/>
    </row>
    <row r="2045" spans="1:12" x14ac:dyDescent="0.25">
      <c r="A2045" s="115"/>
      <c r="B2045" s="115"/>
      <c r="C2045" s="115"/>
      <c r="D2045" s="115"/>
      <c r="E2045" s="115"/>
      <c r="F2045" s="115"/>
      <c r="G2045" s="116"/>
      <c r="I2045" s="118"/>
      <c r="J2045" s="118"/>
      <c r="L2045" s="125"/>
    </row>
    <row r="2046" spans="1:12" x14ac:dyDescent="0.25">
      <c r="A2046" s="115"/>
      <c r="B2046" s="115"/>
      <c r="C2046" s="115"/>
      <c r="D2046" s="115"/>
      <c r="E2046" s="115"/>
      <c r="F2046" s="115"/>
      <c r="G2046" s="116"/>
      <c r="I2046" s="118"/>
      <c r="J2046" s="118"/>
      <c r="L2046" s="125"/>
    </row>
    <row r="2047" spans="1:12" x14ac:dyDescent="0.25">
      <c r="A2047" s="115"/>
      <c r="B2047" s="115"/>
      <c r="C2047" s="115"/>
      <c r="D2047" s="115"/>
      <c r="E2047" s="115"/>
      <c r="F2047" s="115"/>
      <c r="G2047" s="116"/>
      <c r="I2047" s="118"/>
      <c r="J2047" s="118"/>
      <c r="L2047" s="125"/>
    </row>
    <row r="2048" spans="1:12" x14ac:dyDescent="0.25">
      <c r="A2048" s="115"/>
      <c r="B2048" s="115"/>
      <c r="C2048" s="115"/>
      <c r="D2048" s="115"/>
      <c r="E2048" s="115"/>
      <c r="F2048" s="115"/>
      <c r="G2048" s="116"/>
      <c r="I2048" s="118"/>
      <c r="J2048" s="118"/>
      <c r="L2048" s="125"/>
    </row>
    <row r="2049" spans="1:12" x14ac:dyDescent="0.25">
      <c r="A2049" s="115"/>
      <c r="B2049" s="115"/>
      <c r="C2049" s="115"/>
      <c r="D2049" s="115"/>
      <c r="E2049" s="115"/>
      <c r="F2049" s="115"/>
      <c r="G2049" s="116"/>
      <c r="I2049" s="118"/>
      <c r="J2049" s="118"/>
      <c r="L2049" s="125"/>
    </row>
    <row r="2050" spans="1:12" x14ac:dyDescent="0.25">
      <c r="A2050" s="115"/>
      <c r="B2050" s="115"/>
      <c r="C2050" s="115"/>
      <c r="D2050" s="115"/>
      <c r="E2050" s="115"/>
      <c r="F2050" s="115"/>
      <c r="G2050" s="116"/>
      <c r="I2050" s="118"/>
      <c r="J2050" s="118"/>
      <c r="L2050" s="125"/>
    </row>
    <row r="2051" spans="1:12" x14ac:dyDescent="0.25">
      <c r="A2051" s="115"/>
      <c r="B2051" s="115"/>
      <c r="C2051" s="115"/>
      <c r="D2051" s="115"/>
      <c r="E2051" s="115"/>
      <c r="F2051" s="115"/>
      <c r="G2051" s="116"/>
      <c r="I2051" s="118"/>
      <c r="J2051" s="118"/>
      <c r="L2051" s="125"/>
    </row>
    <row r="2052" spans="1:12" x14ac:dyDescent="0.25">
      <c r="A2052" s="115"/>
      <c r="B2052" s="115"/>
      <c r="C2052" s="115"/>
      <c r="D2052" s="115"/>
      <c r="E2052" s="115"/>
      <c r="F2052" s="115"/>
      <c r="G2052" s="116"/>
      <c r="I2052" s="118"/>
      <c r="J2052" s="118"/>
      <c r="L2052" s="125"/>
    </row>
    <row r="2053" spans="1:12" x14ac:dyDescent="0.25">
      <c r="A2053" s="115"/>
      <c r="B2053" s="115"/>
      <c r="C2053" s="115"/>
      <c r="D2053" s="115"/>
      <c r="E2053" s="115"/>
      <c r="F2053" s="115"/>
      <c r="G2053" s="116"/>
      <c r="I2053" s="118"/>
      <c r="J2053" s="118"/>
      <c r="L2053" s="125"/>
    </row>
    <row r="2054" spans="1:12" x14ac:dyDescent="0.25">
      <c r="A2054" s="115"/>
      <c r="B2054" s="115"/>
      <c r="C2054" s="115"/>
      <c r="D2054" s="115"/>
      <c r="E2054" s="115"/>
      <c r="F2054" s="115"/>
      <c r="G2054" s="116"/>
      <c r="I2054" s="118"/>
      <c r="J2054" s="118"/>
      <c r="L2054" s="125"/>
    </row>
    <row r="2055" spans="1:12" x14ac:dyDescent="0.25">
      <c r="A2055" s="115"/>
      <c r="B2055" s="115"/>
      <c r="C2055" s="115"/>
      <c r="D2055" s="115"/>
      <c r="E2055" s="115"/>
      <c r="F2055" s="115"/>
      <c r="G2055" s="116"/>
      <c r="I2055" s="118"/>
      <c r="J2055" s="118"/>
      <c r="L2055" s="125"/>
    </row>
    <row r="2056" spans="1:12" x14ac:dyDescent="0.25">
      <c r="A2056" s="115"/>
      <c r="B2056" s="115"/>
      <c r="C2056" s="115"/>
      <c r="D2056" s="115"/>
      <c r="E2056" s="115"/>
      <c r="F2056" s="115"/>
      <c r="G2056" s="116"/>
      <c r="I2056" s="118"/>
      <c r="J2056" s="118"/>
      <c r="L2056" s="125"/>
    </row>
    <row r="2057" spans="1:12" x14ac:dyDescent="0.25">
      <c r="A2057" s="115"/>
      <c r="B2057" s="115"/>
      <c r="C2057" s="115"/>
      <c r="D2057" s="115"/>
      <c r="E2057" s="115"/>
      <c r="F2057" s="115"/>
      <c r="G2057" s="116"/>
      <c r="I2057" s="118"/>
      <c r="J2057" s="118"/>
      <c r="L2057" s="125"/>
    </row>
    <row r="2058" spans="1:12" x14ac:dyDescent="0.25">
      <c r="A2058" s="115"/>
      <c r="B2058" s="115"/>
      <c r="C2058" s="115"/>
      <c r="D2058" s="115"/>
      <c r="E2058" s="115"/>
      <c r="F2058" s="115"/>
      <c r="G2058" s="116"/>
      <c r="I2058" s="118"/>
      <c r="J2058" s="118"/>
      <c r="L2058" s="125"/>
    </row>
    <row r="2059" spans="1:12" x14ac:dyDescent="0.25">
      <c r="A2059" s="115"/>
      <c r="B2059" s="115"/>
      <c r="C2059" s="115"/>
      <c r="D2059" s="115"/>
      <c r="E2059" s="115"/>
      <c r="F2059" s="115"/>
      <c r="G2059" s="116"/>
      <c r="I2059" s="118"/>
      <c r="J2059" s="118"/>
      <c r="L2059" s="125"/>
    </row>
    <row r="2060" spans="1:12" x14ac:dyDescent="0.25">
      <c r="A2060" s="115"/>
      <c r="B2060" s="115"/>
      <c r="C2060" s="115"/>
      <c r="D2060" s="115"/>
      <c r="E2060" s="115"/>
      <c r="F2060" s="115"/>
      <c r="G2060" s="116"/>
      <c r="I2060" s="118"/>
      <c r="J2060" s="118"/>
      <c r="L2060" s="125"/>
    </row>
    <row r="2061" spans="1:12" x14ac:dyDescent="0.25">
      <c r="A2061" s="115"/>
      <c r="B2061" s="115"/>
      <c r="C2061" s="115"/>
      <c r="D2061" s="115"/>
      <c r="E2061" s="115"/>
      <c r="F2061" s="115"/>
      <c r="G2061" s="116"/>
      <c r="I2061" s="118"/>
      <c r="J2061" s="118"/>
      <c r="L2061" s="125"/>
    </row>
    <row r="2062" spans="1:12" x14ac:dyDescent="0.25">
      <c r="A2062" s="115"/>
      <c r="B2062" s="115"/>
      <c r="C2062" s="115"/>
      <c r="D2062" s="115"/>
      <c r="E2062" s="115"/>
      <c r="F2062" s="115"/>
      <c r="G2062" s="116"/>
      <c r="I2062" s="118"/>
      <c r="J2062" s="118"/>
      <c r="L2062" s="125"/>
    </row>
    <row r="2063" spans="1:12" x14ac:dyDescent="0.25">
      <c r="A2063" s="115"/>
      <c r="B2063" s="115"/>
      <c r="C2063" s="115"/>
      <c r="D2063" s="115"/>
      <c r="E2063" s="115"/>
      <c r="F2063" s="115"/>
      <c r="G2063" s="116"/>
      <c r="I2063" s="118"/>
      <c r="J2063" s="118"/>
      <c r="L2063" s="125"/>
    </row>
    <row r="2064" spans="1:12" x14ac:dyDescent="0.25">
      <c r="A2064" s="115"/>
      <c r="B2064" s="115"/>
      <c r="C2064" s="115"/>
      <c r="D2064" s="115"/>
      <c r="E2064" s="115"/>
      <c r="F2064" s="115"/>
      <c r="G2064" s="116"/>
      <c r="I2064" s="118"/>
      <c r="J2064" s="118"/>
      <c r="L2064" s="125"/>
    </row>
    <row r="2065" spans="1:12" x14ac:dyDescent="0.25">
      <c r="A2065" s="115"/>
      <c r="B2065" s="115"/>
      <c r="C2065" s="115"/>
      <c r="D2065" s="115"/>
      <c r="E2065" s="115"/>
      <c r="F2065" s="115"/>
      <c r="G2065" s="116"/>
      <c r="I2065" s="118"/>
      <c r="J2065" s="118"/>
      <c r="L2065" s="125"/>
    </row>
    <row r="2066" spans="1:12" x14ac:dyDescent="0.25">
      <c r="A2066" s="115"/>
      <c r="B2066" s="115"/>
      <c r="C2066" s="115"/>
      <c r="D2066" s="115"/>
      <c r="E2066" s="115"/>
      <c r="F2066" s="115"/>
      <c r="G2066" s="116"/>
      <c r="I2066" s="118"/>
      <c r="J2066" s="118"/>
      <c r="L2066" s="125"/>
    </row>
    <row r="2067" spans="1:12" x14ac:dyDescent="0.25">
      <c r="A2067" s="115"/>
      <c r="B2067" s="115"/>
      <c r="C2067" s="115"/>
      <c r="D2067" s="115"/>
      <c r="E2067" s="115"/>
      <c r="F2067" s="115"/>
      <c r="G2067" s="116"/>
      <c r="I2067" s="118"/>
      <c r="J2067" s="118"/>
      <c r="L2067" s="125"/>
    </row>
    <row r="2068" spans="1:12" x14ac:dyDescent="0.25">
      <c r="A2068" s="115"/>
      <c r="B2068" s="115"/>
      <c r="C2068" s="115"/>
      <c r="D2068" s="115"/>
      <c r="E2068" s="115"/>
      <c r="F2068" s="115"/>
      <c r="G2068" s="116"/>
      <c r="I2068" s="118"/>
      <c r="J2068" s="118"/>
      <c r="L2068" s="125"/>
    </row>
    <row r="2069" spans="1:12" x14ac:dyDescent="0.25">
      <c r="A2069" s="115"/>
      <c r="B2069" s="115"/>
      <c r="C2069" s="115"/>
      <c r="D2069" s="115"/>
      <c r="E2069" s="115"/>
      <c r="F2069" s="115"/>
      <c r="G2069" s="116"/>
      <c r="I2069" s="118"/>
      <c r="J2069" s="118"/>
      <c r="L2069" s="125"/>
    </row>
    <row r="2070" spans="1:12" x14ac:dyDescent="0.25">
      <c r="A2070" s="115"/>
      <c r="B2070" s="115"/>
      <c r="C2070" s="115"/>
      <c r="D2070" s="115"/>
      <c r="E2070" s="115"/>
      <c r="F2070" s="115"/>
      <c r="G2070" s="116"/>
      <c r="I2070" s="118"/>
      <c r="J2070" s="118"/>
      <c r="L2070" s="125"/>
    </row>
    <row r="2071" spans="1:12" x14ac:dyDescent="0.25">
      <c r="A2071" s="115"/>
      <c r="B2071" s="115"/>
      <c r="C2071" s="115"/>
      <c r="D2071" s="115"/>
      <c r="E2071" s="115"/>
      <c r="F2071" s="115"/>
      <c r="G2071" s="116"/>
      <c r="I2071" s="118"/>
      <c r="J2071" s="118"/>
      <c r="L2071" s="125"/>
    </row>
    <row r="2072" spans="1:12" x14ac:dyDescent="0.25">
      <c r="A2072" s="115"/>
      <c r="B2072" s="115"/>
      <c r="C2072" s="115"/>
      <c r="D2072" s="115"/>
      <c r="E2072" s="115"/>
      <c r="F2072" s="115"/>
      <c r="G2072" s="116"/>
      <c r="I2072" s="118"/>
      <c r="J2072" s="118"/>
      <c r="L2072" s="125"/>
    </row>
    <row r="2073" spans="1:12" x14ac:dyDescent="0.25">
      <c r="A2073" s="115"/>
      <c r="B2073" s="115"/>
      <c r="C2073" s="115"/>
      <c r="D2073" s="115"/>
      <c r="E2073" s="115"/>
      <c r="F2073" s="115"/>
      <c r="G2073" s="116"/>
      <c r="I2073" s="118"/>
      <c r="J2073" s="118"/>
      <c r="L2073" s="125"/>
    </row>
    <row r="2074" spans="1:12" x14ac:dyDescent="0.25">
      <c r="A2074" s="115"/>
      <c r="B2074" s="115"/>
      <c r="C2074" s="115"/>
      <c r="D2074" s="115"/>
      <c r="E2074" s="115"/>
      <c r="F2074" s="115"/>
      <c r="G2074" s="116"/>
      <c r="I2074" s="118"/>
      <c r="J2074" s="118"/>
      <c r="L2074" s="125"/>
    </row>
    <row r="2075" spans="1:12" x14ac:dyDescent="0.25">
      <c r="A2075" s="115"/>
      <c r="B2075" s="115"/>
      <c r="C2075" s="115"/>
      <c r="D2075" s="115"/>
      <c r="E2075" s="115"/>
      <c r="F2075" s="115"/>
      <c r="G2075" s="116"/>
      <c r="I2075" s="118"/>
      <c r="J2075" s="118"/>
      <c r="L2075" s="125"/>
    </row>
    <row r="2076" spans="1:12" x14ac:dyDescent="0.25">
      <c r="A2076" s="115"/>
      <c r="B2076" s="115"/>
      <c r="C2076" s="115"/>
      <c r="D2076" s="115"/>
      <c r="E2076" s="115"/>
      <c r="F2076" s="115"/>
      <c r="G2076" s="116"/>
      <c r="I2076" s="118"/>
      <c r="J2076" s="118"/>
      <c r="L2076" s="125"/>
    </row>
    <row r="2077" spans="1:12" x14ac:dyDescent="0.25">
      <c r="A2077" s="115"/>
      <c r="B2077" s="115"/>
      <c r="C2077" s="115"/>
      <c r="D2077" s="115"/>
      <c r="E2077" s="115"/>
      <c r="F2077" s="115"/>
      <c r="G2077" s="116"/>
      <c r="I2077" s="118"/>
      <c r="J2077" s="118"/>
      <c r="L2077" s="125"/>
    </row>
    <row r="2078" spans="1:12" x14ac:dyDescent="0.25">
      <c r="A2078" s="115"/>
      <c r="B2078" s="115"/>
      <c r="C2078" s="115"/>
      <c r="D2078" s="115"/>
      <c r="E2078" s="115"/>
      <c r="F2078" s="115"/>
      <c r="G2078" s="116"/>
      <c r="I2078" s="118"/>
      <c r="J2078" s="118"/>
      <c r="L2078" s="125"/>
    </row>
    <row r="2079" spans="1:12" x14ac:dyDescent="0.25">
      <c r="A2079" s="115"/>
      <c r="B2079" s="115"/>
      <c r="C2079" s="115"/>
      <c r="D2079" s="115"/>
      <c r="E2079" s="115"/>
      <c r="F2079" s="115"/>
      <c r="G2079" s="116"/>
      <c r="I2079" s="118"/>
      <c r="J2079" s="118"/>
      <c r="L2079" s="125"/>
    </row>
    <row r="2080" spans="1:12" x14ac:dyDescent="0.25">
      <c r="A2080" s="115"/>
      <c r="B2080" s="115"/>
      <c r="C2080" s="115"/>
      <c r="D2080" s="115"/>
      <c r="E2080" s="115"/>
      <c r="F2080" s="115"/>
      <c r="G2080" s="116"/>
      <c r="I2080" s="118"/>
      <c r="J2080" s="118"/>
      <c r="L2080" s="125"/>
    </row>
    <row r="2081" spans="1:12" x14ac:dyDescent="0.25">
      <c r="A2081" s="115"/>
      <c r="B2081" s="115"/>
      <c r="C2081" s="115"/>
      <c r="D2081" s="115"/>
      <c r="E2081" s="115"/>
      <c r="F2081" s="115"/>
      <c r="G2081" s="116"/>
      <c r="I2081" s="118"/>
      <c r="J2081" s="118"/>
      <c r="L2081" s="125"/>
    </row>
    <row r="2082" spans="1:12" x14ac:dyDescent="0.25">
      <c r="A2082" s="115"/>
      <c r="B2082" s="115"/>
      <c r="C2082" s="115"/>
      <c r="D2082" s="115"/>
      <c r="E2082" s="115"/>
      <c r="F2082" s="115"/>
      <c r="G2082" s="116"/>
      <c r="I2082" s="118"/>
      <c r="J2082" s="118"/>
      <c r="L2082" s="125"/>
    </row>
    <row r="2083" spans="1:12" x14ac:dyDescent="0.25">
      <c r="A2083" s="115"/>
      <c r="B2083" s="115"/>
      <c r="C2083" s="115"/>
      <c r="D2083" s="115"/>
      <c r="E2083" s="115"/>
      <c r="F2083" s="115"/>
      <c r="G2083" s="116"/>
      <c r="I2083" s="118"/>
      <c r="J2083" s="118"/>
      <c r="L2083" s="125"/>
    </row>
    <row r="2084" spans="1:12" x14ac:dyDescent="0.25">
      <c r="A2084" s="115"/>
      <c r="B2084" s="115"/>
      <c r="C2084" s="115"/>
      <c r="D2084" s="115"/>
      <c r="E2084" s="115"/>
      <c r="F2084" s="115"/>
      <c r="G2084" s="116"/>
      <c r="I2084" s="118"/>
      <c r="J2084" s="118"/>
      <c r="L2084" s="125"/>
    </row>
    <row r="2085" spans="1:12" x14ac:dyDescent="0.25">
      <c r="A2085" s="115"/>
      <c r="B2085" s="115"/>
      <c r="C2085" s="115"/>
      <c r="D2085" s="115"/>
      <c r="E2085" s="115"/>
      <c r="F2085" s="115"/>
      <c r="G2085" s="116"/>
      <c r="I2085" s="118"/>
      <c r="J2085" s="118"/>
      <c r="L2085" s="125"/>
    </row>
    <row r="2086" spans="1:12" x14ac:dyDescent="0.25">
      <c r="A2086" s="115"/>
      <c r="B2086" s="115"/>
      <c r="C2086" s="115"/>
      <c r="D2086" s="115"/>
      <c r="E2086" s="115"/>
      <c r="F2086" s="115"/>
      <c r="G2086" s="116"/>
      <c r="I2086" s="118"/>
      <c r="J2086" s="118"/>
      <c r="L2086" s="125"/>
    </row>
    <row r="2087" spans="1:12" x14ac:dyDescent="0.25">
      <c r="A2087" s="115"/>
      <c r="B2087" s="115"/>
      <c r="C2087" s="115"/>
      <c r="D2087" s="115"/>
      <c r="E2087" s="115"/>
      <c r="F2087" s="115"/>
      <c r="G2087" s="116"/>
      <c r="I2087" s="118"/>
      <c r="J2087" s="118"/>
      <c r="L2087" s="125"/>
    </row>
    <row r="2088" spans="1:12" x14ac:dyDescent="0.25">
      <c r="A2088" s="115"/>
      <c r="B2088" s="115"/>
      <c r="C2088" s="115"/>
      <c r="D2088" s="115"/>
      <c r="E2088" s="115"/>
      <c r="F2088" s="115"/>
      <c r="G2088" s="116"/>
      <c r="I2088" s="118"/>
      <c r="J2088" s="118"/>
      <c r="L2088" s="125"/>
    </row>
    <row r="2089" spans="1:12" x14ac:dyDescent="0.25">
      <c r="A2089" s="115"/>
      <c r="B2089" s="115"/>
      <c r="C2089" s="115"/>
      <c r="D2089" s="115"/>
      <c r="E2089" s="115"/>
      <c r="F2089" s="115"/>
      <c r="G2089" s="116"/>
      <c r="I2089" s="118"/>
      <c r="J2089" s="118"/>
      <c r="L2089" s="125"/>
    </row>
    <row r="2090" spans="1:12" x14ac:dyDescent="0.25">
      <c r="A2090" s="115"/>
      <c r="B2090" s="115"/>
      <c r="C2090" s="115"/>
      <c r="D2090" s="115"/>
      <c r="E2090" s="115"/>
      <c r="F2090" s="115"/>
      <c r="G2090" s="116"/>
      <c r="I2090" s="118"/>
      <c r="J2090" s="118"/>
      <c r="L2090" s="125"/>
    </row>
    <row r="2091" spans="1:12" x14ac:dyDescent="0.25">
      <c r="A2091" s="115"/>
      <c r="B2091" s="115"/>
      <c r="C2091" s="115"/>
      <c r="D2091" s="115"/>
      <c r="E2091" s="115"/>
      <c r="F2091" s="115"/>
      <c r="G2091" s="116"/>
      <c r="I2091" s="118"/>
      <c r="J2091" s="118"/>
      <c r="L2091" s="125"/>
    </row>
    <row r="2092" spans="1:12" x14ac:dyDescent="0.25">
      <c r="A2092" s="115"/>
      <c r="B2092" s="115"/>
      <c r="C2092" s="115"/>
      <c r="D2092" s="115"/>
      <c r="E2092" s="115"/>
      <c r="F2092" s="115"/>
      <c r="G2092" s="116"/>
      <c r="I2092" s="118"/>
      <c r="J2092" s="118"/>
      <c r="L2092" s="125"/>
    </row>
    <row r="2093" spans="1:12" x14ac:dyDescent="0.25">
      <c r="A2093" s="115"/>
      <c r="B2093" s="115"/>
      <c r="C2093" s="115"/>
      <c r="D2093" s="115"/>
      <c r="E2093" s="115"/>
      <c r="F2093" s="115"/>
      <c r="G2093" s="116"/>
      <c r="I2093" s="118"/>
      <c r="J2093" s="118"/>
      <c r="L2093" s="125"/>
    </row>
    <row r="2094" spans="1:12" x14ac:dyDescent="0.25">
      <c r="A2094" s="115"/>
      <c r="B2094" s="115"/>
      <c r="C2094" s="115"/>
      <c r="D2094" s="115"/>
      <c r="E2094" s="115"/>
      <c r="F2094" s="115"/>
      <c r="G2094" s="116"/>
      <c r="I2094" s="118"/>
      <c r="J2094" s="118"/>
      <c r="L2094" s="125"/>
    </row>
    <row r="2095" spans="1:12" x14ac:dyDescent="0.25">
      <c r="A2095" s="115"/>
      <c r="B2095" s="115"/>
      <c r="C2095" s="115"/>
      <c r="D2095" s="115"/>
      <c r="E2095" s="115"/>
      <c r="F2095" s="115"/>
      <c r="G2095" s="116"/>
      <c r="I2095" s="118"/>
      <c r="J2095" s="118"/>
      <c r="L2095" s="125"/>
    </row>
    <row r="2096" spans="1:12" x14ac:dyDescent="0.25">
      <c r="A2096" s="115"/>
      <c r="B2096" s="115"/>
      <c r="C2096" s="115"/>
      <c r="D2096" s="115"/>
      <c r="E2096" s="115"/>
      <c r="F2096" s="115"/>
      <c r="G2096" s="116"/>
      <c r="I2096" s="118"/>
      <c r="J2096" s="118"/>
      <c r="L2096" s="125"/>
    </row>
    <row r="2097" spans="1:12" x14ac:dyDescent="0.25">
      <c r="A2097" s="115"/>
      <c r="B2097" s="115"/>
      <c r="C2097" s="115"/>
      <c r="D2097" s="115"/>
      <c r="E2097" s="115"/>
      <c r="F2097" s="115"/>
      <c r="G2097" s="116"/>
      <c r="I2097" s="118"/>
      <c r="J2097" s="118"/>
      <c r="L2097" s="125"/>
    </row>
    <row r="2098" spans="1:12" x14ac:dyDescent="0.25">
      <c r="A2098" s="115"/>
      <c r="B2098" s="115"/>
      <c r="C2098" s="115"/>
      <c r="D2098" s="115"/>
      <c r="E2098" s="115"/>
      <c r="F2098" s="115"/>
      <c r="G2098" s="116"/>
      <c r="I2098" s="118"/>
      <c r="J2098" s="118"/>
      <c r="L2098" s="125"/>
    </row>
    <row r="2099" spans="1:12" x14ac:dyDescent="0.25">
      <c r="A2099" s="115"/>
      <c r="B2099" s="115"/>
      <c r="C2099" s="115"/>
      <c r="D2099" s="115"/>
      <c r="E2099" s="115"/>
      <c r="F2099" s="115"/>
      <c r="G2099" s="116"/>
      <c r="I2099" s="118"/>
      <c r="J2099" s="118"/>
      <c r="L2099" s="125"/>
    </row>
    <row r="2100" spans="1:12" x14ac:dyDescent="0.25">
      <c r="A2100" s="115"/>
      <c r="B2100" s="115"/>
      <c r="C2100" s="115"/>
      <c r="D2100" s="115"/>
      <c r="E2100" s="115"/>
      <c r="F2100" s="115"/>
      <c r="G2100" s="116"/>
      <c r="I2100" s="118"/>
      <c r="J2100" s="118"/>
      <c r="L2100" s="125"/>
    </row>
    <row r="2101" spans="1:12" x14ac:dyDescent="0.25">
      <c r="A2101" s="115"/>
      <c r="B2101" s="115"/>
      <c r="C2101" s="115"/>
      <c r="D2101" s="115"/>
      <c r="E2101" s="115"/>
      <c r="F2101" s="115"/>
      <c r="G2101" s="116"/>
      <c r="I2101" s="118"/>
      <c r="J2101" s="118"/>
      <c r="L2101" s="125"/>
    </row>
    <row r="2102" spans="1:12" x14ac:dyDescent="0.25">
      <c r="A2102" s="115"/>
      <c r="B2102" s="115"/>
      <c r="C2102" s="115"/>
      <c r="D2102" s="115"/>
      <c r="E2102" s="115"/>
      <c r="F2102" s="115"/>
      <c r="G2102" s="116"/>
      <c r="I2102" s="118"/>
      <c r="J2102" s="118"/>
      <c r="L2102" s="125"/>
    </row>
    <row r="2103" spans="1:12" x14ac:dyDescent="0.25">
      <c r="A2103" s="115"/>
      <c r="B2103" s="115"/>
      <c r="C2103" s="115"/>
      <c r="D2103" s="115"/>
      <c r="E2103" s="115"/>
      <c r="F2103" s="115"/>
      <c r="G2103" s="116"/>
      <c r="I2103" s="118"/>
      <c r="J2103" s="118"/>
      <c r="L2103" s="125"/>
    </row>
    <row r="2104" spans="1:12" x14ac:dyDescent="0.25">
      <c r="A2104" s="115"/>
      <c r="B2104" s="115"/>
      <c r="C2104" s="115"/>
      <c r="D2104" s="115"/>
      <c r="E2104" s="115"/>
      <c r="F2104" s="115"/>
      <c r="G2104" s="116"/>
      <c r="I2104" s="118"/>
      <c r="J2104" s="118"/>
      <c r="L2104" s="125"/>
    </row>
    <row r="2105" spans="1:12" x14ac:dyDescent="0.25">
      <c r="A2105" s="115"/>
      <c r="B2105" s="115"/>
      <c r="C2105" s="115"/>
      <c r="D2105" s="115"/>
      <c r="E2105" s="115"/>
      <c r="F2105" s="115"/>
      <c r="G2105" s="116"/>
      <c r="I2105" s="118"/>
      <c r="J2105" s="118"/>
      <c r="L2105" s="125"/>
    </row>
    <row r="2106" spans="1:12" x14ac:dyDescent="0.25">
      <c r="A2106" s="115"/>
      <c r="B2106" s="115"/>
      <c r="C2106" s="115"/>
      <c r="D2106" s="115"/>
      <c r="E2106" s="115"/>
      <c r="F2106" s="115"/>
      <c r="G2106" s="116"/>
      <c r="I2106" s="118"/>
      <c r="J2106" s="118"/>
      <c r="L2106" s="125"/>
    </row>
    <row r="2107" spans="1:12" x14ac:dyDescent="0.25">
      <c r="A2107" s="115"/>
      <c r="B2107" s="115"/>
      <c r="C2107" s="115"/>
      <c r="D2107" s="115"/>
      <c r="E2107" s="115"/>
      <c r="F2107" s="115"/>
      <c r="G2107" s="116"/>
      <c r="I2107" s="118"/>
      <c r="J2107" s="118"/>
      <c r="L2107" s="125"/>
    </row>
    <row r="2108" spans="1:12" x14ac:dyDescent="0.25">
      <c r="A2108" s="115"/>
      <c r="B2108" s="115"/>
      <c r="C2108" s="115"/>
      <c r="D2108" s="115"/>
      <c r="E2108" s="115"/>
      <c r="F2108" s="115"/>
      <c r="G2108" s="116"/>
      <c r="I2108" s="118"/>
      <c r="J2108" s="118"/>
      <c r="L2108" s="125"/>
    </row>
    <row r="2109" spans="1:12" x14ac:dyDescent="0.25">
      <c r="A2109" s="115"/>
      <c r="B2109" s="115"/>
      <c r="C2109" s="115"/>
      <c r="D2109" s="115"/>
      <c r="E2109" s="115"/>
      <c r="F2109" s="115"/>
      <c r="G2109" s="116"/>
      <c r="I2109" s="118"/>
      <c r="J2109" s="118"/>
      <c r="L2109" s="125"/>
    </row>
    <row r="2110" spans="1:12" x14ac:dyDescent="0.25">
      <c r="A2110" s="115"/>
      <c r="B2110" s="115"/>
      <c r="C2110" s="115"/>
      <c r="D2110" s="115"/>
      <c r="E2110" s="115"/>
      <c r="F2110" s="115"/>
      <c r="G2110" s="116"/>
      <c r="I2110" s="118"/>
      <c r="J2110" s="118"/>
      <c r="L2110" s="125"/>
    </row>
    <row r="2111" spans="1:12" x14ac:dyDescent="0.25">
      <c r="A2111" s="115"/>
      <c r="B2111" s="115"/>
      <c r="C2111" s="115"/>
      <c r="D2111" s="115"/>
      <c r="E2111" s="115"/>
      <c r="F2111" s="115"/>
      <c r="G2111" s="116"/>
      <c r="I2111" s="118"/>
      <c r="J2111" s="118"/>
      <c r="L2111" s="125"/>
    </row>
    <row r="2112" spans="1:12" x14ac:dyDescent="0.25">
      <c r="A2112" s="115"/>
      <c r="B2112" s="115"/>
      <c r="C2112" s="115"/>
      <c r="D2112" s="115"/>
      <c r="E2112" s="115"/>
      <c r="F2112" s="115"/>
      <c r="G2112" s="116"/>
      <c r="I2112" s="118"/>
      <c r="J2112" s="118"/>
      <c r="L2112" s="125"/>
    </row>
    <row r="2113" spans="1:12" x14ac:dyDescent="0.25">
      <c r="A2113" s="115"/>
      <c r="B2113" s="115"/>
      <c r="C2113" s="115"/>
      <c r="D2113" s="115"/>
      <c r="E2113" s="115"/>
      <c r="F2113" s="115"/>
      <c r="G2113" s="116"/>
      <c r="I2113" s="118"/>
      <c r="J2113" s="118"/>
      <c r="L2113" s="125"/>
    </row>
    <row r="2114" spans="1:12" x14ac:dyDescent="0.25">
      <c r="A2114" s="115"/>
      <c r="B2114" s="115"/>
      <c r="C2114" s="115"/>
      <c r="D2114" s="115"/>
      <c r="E2114" s="115"/>
      <c r="F2114" s="115"/>
      <c r="G2114" s="116"/>
      <c r="I2114" s="118"/>
      <c r="J2114" s="118"/>
      <c r="L2114" s="125"/>
    </row>
    <row r="2115" spans="1:12" x14ac:dyDescent="0.25">
      <c r="A2115" s="115"/>
      <c r="B2115" s="115"/>
      <c r="C2115" s="115"/>
      <c r="D2115" s="115"/>
      <c r="E2115" s="115"/>
      <c r="F2115" s="115"/>
      <c r="G2115" s="116"/>
      <c r="I2115" s="118"/>
      <c r="J2115" s="118"/>
      <c r="L2115" s="125"/>
    </row>
    <row r="2116" spans="1:12" x14ac:dyDescent="0.25">
      <c r="A2116" s="115"/>
      <c r="B2116" s="115"/>
      <c r="C2116" s="115"/>
      <c r="D2116" s="115"/>
      <c r="E2116" s="115"/>
      <c r="F2116" s="115"/>
      <c r="G2116" s="116"/>
      <c r="I2116" s="118"/>
      <c r="J2116" s="118"/>
      <c r="L2116" s="125"/>
    </row>
    <row r="2117" spans="1:12" x14ac:dyDescent="0.25">
      <c r="A2117" s="115"/>
      <c r="B2117" s="115"/>
      <c r="C2117" s="115"/>
      <c r="D2117" s="115"/>
      <c r="E2117" s="115"/>
      <c r="F2117" s="115"/>
      <c r="G2117" s="116"/>
      <c r="I2117" s="118"/>
      <c r="J2117" s="118"/>
      <c r="L2117" s="125"/>
    </row>
    <row r="2118" spans="1:12" x14ac:dyDescent="0.25">
      <c r="A2118" s="115"/>
      <c r="B2118" s="115"/>
      <c r="C2118" s="115"/>
      <c r="D2118" s="115"/>
      <c r="E2118" s="115"/>
      <c r="F2118" s="115"/>
      <c r="G2118" s="116"/>
      <c r="I2118" s="118"/>
      <c r="J2118" s="118"/>
      <c r="L2118" s="125"/>
    </row>
    <row r="2119" spans="1:12" x14ac:dyDescent="0.25">
      <c r="A2119" s="115"/>
      <c r="B2119" s="115"/>
      <c r="C2119" s="115"/>
      <c r="D2119" s="115"/>
      <c r="E2119" s="115"/>
      <c r="F2119" s="115"/>
      <c r="G2119" s="116"/>
      <c r="I2119" s="118"/>
      <c r="J2119" s="118"/>
      <c r="L2119" s="125"/>
    </row>
    <row r="2120" spans="1:12" x14ac:dyDescent="0.25">
      <c r="A2120" s="115"/>
      <c r="B2120" s="115"/>
      <c r="C2120" s="115"/>
      <c r="D2120" s="115"/>
      <c r="E2120" s="115"/>
      <c r="F2120" s="115"/>
      <c r="G2120" s="116"/>
      <c r="I2120" s="118"/>
      <c r="J2120" s="118"/>
      <c r="L2120" s="125"/>
    </row>
    <row r="2121" spans="1:12" x14ac:dyDescent="0.25">
      <c r="A2121" s="115"/>
      <c r="B2121" s="115"/>
      <c r="C2121" s="115"/>
      <c r="D2121" s="115"/>
      <c r="E2121" s="115"/>
      <c r="F2121" s="115"/>
      <c r="G2121" s="116"/>
      <c r="I2121" s="118"/>
      <c r="J2121" s="118"/>
      <c r="L2121" s="125"/>
    </row>
    <row r="2122" spans="1:12" x14ac:dyDescent="0.25">
      <c r="A2122" s="115"/>
      <c r="B2122" s="115"/>
      <c r="C2122" s="115"/>
      <c r="D2122" s="115"/>
      <c r="E2122" s="115"/>
      <c r="F2122" s="115"/>
      <c r="G2122" s="116"/>
      <c r="I2122" s="118"/>
      <c r="J2122" s="118"/>
      <c r="L2122" s="125"/>
    </row>
    <row r="2123" spans="1:12" x14ac:dyDescent="0.25">
      <c r="A2123" s="115"/>
      <c r="B2123" s="115"/>
      <c r="C2123" s="115"/>
      <c r="D2123" s="115"/>
      <c r="E2123" s="115"/>
      <c r="F2123" s="115"/>
      <c r="G2123" s="116"/>
      <c r="I2123" s="118"/>
      <c r="J2123" s="118"/>
      <c r="L2123" s="125"/>
    </row>
    <row r="2124" spans="1:12" x14ac:dyDescent="0.25">
      <c r="A2124" s="115"/>
      <c r="B2124" s="115"/>
      <c r="C2124" s="115"/>
      <c r="D2124" s="115"/>
      <c r="E2124" s="115"/>
      <c r="F2124" s="115"/>
      <c r="G2124" s="116"/>
      <c r="I2124" s="118"/>
      <c r="J2124" s="118"/>
      <c r="L2124" s="125"/>
    </row>
    <row r="2125" spans="1:12" x14ac:dyDescent="0.25">
      <c r="A2125" s="115"/>
      <c r="B2125" s="115"/>
      <c r="C2125" s="115"/>
      <c r="D2125" s="115"/>
      <c r="E2125" s="115"/>
      <c r="F2125" s="115"/>
      <c r="G2125" s="116"/>
      <c r="I2125" s="118"/>
      <c r="J2125" s="118"/>
      <c r="L2125" s="125"/>
    </row>
    <row r="2126" spans="1:12" x14ac:dyDescent="0.25">
      <c r="A2126" s="115"/>
      <c r="B2126" s="115"/>
      <c r="C2126" s="115"/>
      <c r="D2126" s="115"/>
      <c r="E2126" s="115"/>
      <c r="F2126" s="115"/>
      <c r="G2126" s="116"/>
      <c r="I2126" s="118"/>
      <c r="J2126" s="118"/>
      <c r="L2126" s="125"/>
    </row>
    <row r="2127" spans="1:12" x14ac:dyDescent="0.25">
      <c r="A2127" s="115"/>
      <c r="B2127" s="115"/>
      <c r="C2127" s="115"/>
      <c r="D2127" s="115"/>
      <c r="E2127" s="115"/>
      <c r="F2127" s="115"/>
      <c r="G2127" s="116"/>
      <c r="I2127" s="118"/>
      <c r="J2127" s="118"/>
      <c r="L2127" s="125"/>
    </row>
    <row r="2128" spans="1:12" x14ac:dyDescent="0.25">
      <c r="A2128" s="115"/>
      <c r="B2128" s="115"/>
      <c r="C2128" s="115"/>
      <c r="D2128" s="115"/>
      <c r="E2128" s="115"/>
      <c r="F2128" s="115"/>
      <c r="G2128" s="116"/>
      <c r="I2128" s="118"/>
      <c r="J2128" s="118"/>
      <c r="L2128" s="125"/>
    </row>
    <row r="2129" spans="1:12" x14ac:dyDescent="0.25">
      <c r="A2129" s="115"/>
      <c r="B2129" s="115"/>
      <c r="C2129" s="115"/>
      <c r="D2129" s="115"/>
      <c r="E2129" s="115"/>
      <c r="F2129" s="115"/>
      <c r="G2129" s="116"/>
      <c r="I2129" s="118"/>
      <c r="J2129" s="118"/>
      <c r="L2129" s="125"/>
    </row>
    <row r="2130" spans="1:12" x14ac:dyDescent="0.25">
      <c r="A2130" s="115"/>
      <c r="B2130" s="115"/>
      <c r="C2130" s="115"/>
      <c r="D2130" s="115"/>
      <c r="E2130" s="115"/>
      <c r="F2130" s="115"/>
      <c r="G2130" s="116"/>
      <c r="I2130" s="118"/>
      <c r="J2130" s="118"/>
      <c r="L2130" s="125"/>
    </row>
    <row r="2131" spans="1:12" x14ac:dyDescent="0.25">
      <c r="A2131" s="115"/>
      <c r="B2131" s="115"/>
      <c r="C2131" s="115"/>
      <c r="D2131" s="115"/>
      <c r="E2131" s="115"/>
      <c r="F2131" s="115"/>
      <c r="G2131" s="116"/>
      <c r="I2131" s="118"/>
      <c r="J2131" s="118"/>
      <c r="L2131" s="125"/>
    </row>
    <row r="2132" spans="1:12" x14ac:dyDescent="0.25">
      <c r="A2132" s="115"/>
      <c r="B2132" s="115"/>
      <c r="C2132" s="115"/>
      <c r="D2132" s="115"/>
      <c r="E2132" s="115"/>
      <c r="F2132" s="115"/>
      <c r="G2132" s="116"/>
      <c r="I2132" s="118"/>
      <c r="J2132" s="118"/>
      <c r="L2132" s="125"/>
    </row>
    <row r="2133" spans="1:12" x14ac:dyDescent="0.25">
      <c r="A2133" s="115"/>
      <c r="B2133" s="115"/>
      <c r="C2133" s="115"/>
      <c r="D2133" s="115"/>
      <c r="E2133" s="115"/>
      <c r="F2133" s="115"/>
      <c r="G2133" s="116"/>
      <c r="I2133" s="118"/>
      <c r="J2133" s="118"/>
      <c r="L2133" s="125"/>
    </row>
    <row r="2134" spans="1:12" x14ac:dyDescent="0.25">
      <c r="A2134" s="115"/>
      <c r="B2134" s="115"/>
      <c r="C2134" s="115"/>
      <c r="D2134" s="115"/>
      <c r="E2134" s="115"/>
      <c r="F2134" s="115"/>
      <c r="G2134" s="116"/>
      <c r="I2134" s="118"/>
      <c r="J2134" s="118"/>
      <c r="L2134" s="125"/>
    </row>
    <row r="2135" spans="1:12" x14ac:dyDescent="0.25">
      <c r="A2135" s="115"/>
      <c r="B2135" s="115"/>
      <c r="C2135" s="115"/>
      <c r="D2135" s="115"/>
      <c r="E2135" s="115"/>
      <c r="F2135" s="115"/>
      <c r="G2135" s="116"/>
      <c r="I2135" s="118"/>
      <c r="J2135" s="118"/>
      <c r="L2135" s="125"/>
    </row>
    <row r="2136" spans="1:12" x14ac:dyDescent="0.25">
      <c r="A2136" s="115"/>
      <c r="B2136" s="115"/>
      <c r="C2136" s="115"/>
      <c r="D2136" s="115"/>
      <c r="E2136" s="115"/>
      <c r="F2136" s="115"/>
      <c r="G2136" s="116"/>
      <c r="I2136" s="118"/>
      <c r="J2136" s="118"/>
      <c r="L2136" s="125"/>
    </row>
    <row r="2137" spans="1:12" x14ac:dyDescent="0.25">
      <c r="A2137" s="115"/>
      <c r="B2137" s="115"/>
      <c r="C2137" s="115"/>
      <c r="D2137" s="115"/>
      <c r="E2137" s="115"/>
      <c r="F2137" s="115"/>
      <c r="G2137" s="116"/>
      <c r="I2137" s="118"/>
      <c r="J2137" s="118"/>
      <c r="L2137" s="125"/>
    </row>
    <row r="2138" spans="1:12" x14ac:dyDescent="0.25">
      <c r="A2138" s="115"/>
      <c r="B2138" s="115"/>
      <c r="C2138" s="115"/>
      <c r="D2138" s="115"/>
      <c r="E2138" s="115"/>
      <c r="F2138" s="115"/>
      <c r="G2138" s="116"/>
      <c r="I2138" s="118"/>
      <c r="J2138" s="118"/>
      <c r="L2138" s="125"/>
    </row>
    <row r="2139" spans="1:12" x14ac:dyDescent="0.25">
      <c r="A2139" s="115"/>
      <c r="B2139" s="115"/>
      <c r="C2139" s="115"/>
      <c r="D2139" s="115"/>
      <c r="E2139" s="115"/>
      <c r="F2139" s="115"/>
      <c r="G2139" s="116"/>
      <c r="I2139" s="118"/>
      <c r="J2139" s="118"/>
      <c r="L2139" s="125"/>
    </row>
    <row r="2140" spans="1:12" x14ac:dyDescent="0.25">
      <c r="A2140" s="115"/>
      <c r="B2140" s="115"/>
      <c r="C2140" s="115"/>
      <c r="D2140" s="115"/>
      <c r="E2140" s="115"/>
      <c r="F2140" s="115"/>
      <c r="G2140" s="116"/>
      <c r="I2140" s="118"/>
      <c r="J2140" s="118"/>
      <c r="L2140" s="125"/>
    </row>
    <row r="2141" spans="1:12" x14ac:dyDescent="0.25">
      <c r="A2141" s="115"/>
      <c r="B2141" s="115"/>
      <c r="C2141" s="115"/>
      <c r="D2141" s="115"/>
      <c r="E2141" s="115"/>
      <c r="F2141" s="115"/>
      <c r="G2141" s="116"/>
      <c r="I2141" s="118"/>
      <c r="J2141" s="118"/>
      <c r="L2141" s="125"/>
    </row>
    <row r="2142" spans="1:12" x14ac:dyDescent="0.25">
      <c r="A2142" s="115"/>
      <c r="B2142" s="115"/>
      <c r="C2142" s="115"/>
      <c r="D2142" s="115"/>
      <c r="E2142" s="115"/>
      <c r="F2142" s="115"/>
      <c r="G2142" s="116"/>
      <c r="I2142" s="118"/>
      <c r="J2142" s="118"/>
      <c r="L2142" s="125"/>
    </row>
    <row r="2143" spans="1:12" x14ac:dyDescent="0.25">
      <c r="A2143" s="115"/>
      <c r="B2143" s="115"/>
      <c r="C2143" s="115"/>
      <c r="D2143" s="115"/>
      <c r="E2143" s="115"/>
      <c r="F2143" s="115"/>
      <c r="G2143" s="116"/>
      <c r="I2143" s="118"/>
      <c r="J2143" s="118"/>
      <c r="L2143" s="125"/>
    </row>
    <row r="2144" spans="1:12" x14ac:dyDescent="0.25">
      <c r="A2144" s="115"/>
      <c r="B2144" s="115"/>
      <c r="C2144" s="115"/>
      <c r="D2144" s="115"/>
      <c r="E2144" s="115"/>
      <c r="F2144" s="115"/>
      <c r="G2144" s="116"/>
      <c r="I2144" s="118"/>
      <c r="J2144" s="118"/>
      <c r="L2144" s="125"/>
    </row>
    <row r="2145" spans="1:12" x14ac:dyDescent="0.25">
      <c r="A2145" s="115"/>
      <c r="B2145" s="115"/>
      <c r="C2145" s="115"/>
      <c r="D2145" s="115"/>
      <c r="E2145" s="115"/>
      <c r="F2145" s="115"/>
      <c r="G2145" s="116"/>
      <c r="I2145" s="118"/>
      <c r="J2145" s="118"/>
      <c r="L2145" s="125"/>
    </row>
    <row r="2146" spans="1:12" x14ac:dyDescent="0.25">
      <c r="A2146" s="115"/>
      <c r="B2146" s="115"/>
      <c r="C2146" s="115"/>
      <c r="D2146" s="115"/>
      <c r="E2146" s="115"/>
      <c r="F2146" s="115"/>
      <c r="G2146" s="116"/>
      <c r="I2146" s="118"/>
      <c r="J2146" s="118"/>
      <c r="L2146" s="125"/>
    </row>
    <row r="2147" spans="1:12" x14ac:dyDescent="0.25">
      <c r="A2147" s="115"/>
      <c r="B2147" s="115"/>
      <c r="C2147" s="115"/>
      <c r="D2147" s="115"/>
      <c r="E2147" s="115"/>
      <c r="F2147" s="115"/>
      <c r="G2147" s="116"/>
      <c r="I2147" s="118"/>
      <c r="J2147" s="118"/>
      <c r="L2147" s="125"/>
    </row>
    <row r="2148" spans="1:12" x14ac:dyDescent="0.25">
      <c r="A2148" s="115"/>
      <c r="B2148" s="115"/>
      <c r="C2148" s="115"/>
      <c r="D2148" s="115"/>
      <c r="E2148" s="115"/>
      <c r="F2148" s="115"/>
      <c r="G2148" s="116"/>
      <c r="I2148" s="118"/>
      <c r="J2148" s="118"/>
      <c r="L2148" s="125"/>
    </row>
    <row r="2149" spans="1:12" x14ac:dyDescent="0.25">
      <c r="A2149" s="115"/>
      <c r="B2149" s="115"/>
      <c r="C2149" s="115"/>
      <c r="D2149" s="115"/>
      <c r="E2149" s="115"/>
      <c r="F2149" s="115"/>
      <c r="G2149" s="116"/>
      <c r="I2149" s="118"/>
      <c r="J2149" s="118"/>
      <c r="L2149" s="125"/>
    </row>
    <row r="2150" spans="1:12" x14ac:dyDescent="0.25">
      <c r="A2150" s="115"/>
      <c r="B2150" s="115"/>
      <c r="C2150" s="115"/>
      <c r="D2150" s="115"/>
      <c r="E2150" s="115"/>
      <c r="F2150" s="115"/>
      <c r="G2150" s="116"/>
      <c r="I2150" s="118"/>
      <c r="J2150" s="118"/>
      <c r="L2150" s="125"/>
    </row>
    <row r="2151" spans="1:12" x14ac:dyDescent="0.25">
      <c r="A2151" s="115"/>
      <c r="B2151" s="115"/>
      <c r="C2151" s="115"/>
      <c r="D2151" s="115"/>
      <c r="E2151" s="115"/>
      <c r="F2151" s="115"/>
      <c r="G2151" s="116"/>
      <c r="I2151" s="118"/>
      <c r="J2151" s="118"/>
      <c r="L2151" s="125"/>
    </row>
    <row r="2152" spans="1:12" x14ac:dyDescent="0.25">
      <c r="A2152" s="115"/>
      <c r="B2152" s="115"/>
      <c r="C2152" s="115"/>
      <c r="D2152" s="115"/>
      <c r="E2152" s="115"/>
      <c r="F2152" s="115"/>
      <c r="G2152" s="116"/>
      <c r="I2152" s="118"/>
      <c r="J2152" s="118"/>
      <c r="L2152" s="125"/>
    </row>
    <row r="2153" spans="1:12" x14ac:dyDescent="0.25">
      <c r="A2153" s="115"/>
      <c r="B2153" s="115"/>
      <c r="C2153" s="115"/>
      <c r="D2153" s="115"/>
      <c r="E2153" s="115"/>
      <c r="F2153" s="115"/>
      <c r="G2153" s="116"/>
      <c r="I2153" s="118"/>
      <c r="J2153" s="118"/>
      <c r="L2153" s="125"/>
    </row>
    <row r="2154" spans="1:12" x14ac:dyDescent="0.25">
      <c r="A2154" s="115"/>
      <c r="B2154" s="115"/>
      <c r="C2154" s="115"/>
      <c r="D2154" s="115"/>
      <c r="E2154" s="115"/>
      <c r="F2154" s="115"/>
      <c r="G2154" s="116"/>
      <c r="I2154" s="118"/>
      <c r="J2154" s="118"/>
      <c r="L2154" s="125"/>
    </row>
    <row r="2155" spans="1:12" x14ac:dyDescent="0.25">
      <c r="A2155" s="115"/>
      <c r="B2155" s="115"/>
      <c r="C2155" s="115"/>
      <c r="D2155" s="115"/>
      <c r="E2155" s="115"/>
      <c r="F2155" s="115"/>
      <c r="G2155" s="116"/>
      <c r="I2155" s="118"/>
      <c r="J2155" s="118"/>
      <c r="L2155" s="125"/>
    </row>
    <row r="2156" spans="1:12" x14ac:dyDescent="0.25">
      <c r="A2156" s="115"/>
      <c r="B2156" s="115"/>
      <c r="C2156" s="115"/>
      <c r="D2156" s="115"/>
      <c r="E2156" s="115"/>
      <c r="F2156" s="115"/>
      <c r="G2156" s="116"/>
      <c r="I2156" s="118"/>
      <c r="J2156" s="118"/>
      <c r="L2156" s="125"/>
    </row>
    <row r="2157" spans="1:12" x14ac:dyDescent="0.25">
      <c r="A2157" s="115"/>
      <c r="B2157" s="115"/>
      <c r="C2157" s="115"/>
      <c r="D2157" s="115"/>
      <c r="E2157" s="115"/>
      <c r="F2157" s="115"/>
      <c r="G2157" s="116"/>
      <c r="I2157" s="118"/>
      <c r="J2157" s="118"/>
      <c r="L2157" s="125"/>
    </row>
    <row r="2158" spans="1:12" x14ac:dyDescent="0.25">
      <c r="A2158" s="115"/>
      <c r="B2158" s="115"/>
      <c r="C2158" s="115"/>
      <c r="D2158" s="115"/>
      <c r="E2158" s="115"/>
      <c r="F2158" s="115"/>
      <c r="G2158" s="116"/>
      <c r="I2158" s="118"/>
      <c r="J2158" s="118"/>
      <c r="L2158" s="125"/>
    </row>
    <row r="2159" spans="1:12" x14ac:dyDescent="0.25">
      <c r="A2159" s="115"/>
      <c r="B2159" s="115"/>
      <c r="C2159" s="115"/>
      <c r="D2159" s="115"/>
      <c r="E2159" s="115"/>
      <c r="F2159" s="115"/>
      <c r="G2159" s="116"/>
      <c r="I2159" s="118"/>
      <c r="J2159" s="118"/>
      <c r="L2159" s="125"/>
    </row>
    <row r="2160" spans="1:12" x14ac:dyDescent="0.25">
      <c r="A2160" s="115"/>
      <c r="B2160" s="115"/>
      <c r="C2160" s="115"/>
      <c r="D2160" s="115"/>
      <c r="E2160" s="115"/>
      <c r="F2160" s="115"/>
      <c r="G2160" s="116"/>
      <c r="I2160" s="118"/>
      <c r="J2160" s="118"/>
      <c r="L2160" s="125"/>
    </row>
    <row r="2161" spans="1:12" x14ac:dyDescent="0.25">
      <c r="A2161" s="115"/>
      <c r="B2161" s="115"/>
      <c r="C2161" s="115"/>
      <c r="D2161" s="115"/>
      <c r="E2161" s="115"/>
      <c r="F2161" s="115"/>
      <c r="G2161" s="116"/>
      <c r="I2161" s="118"/>
      <c r="J2161" s="118"/>
      <c r="L2161" s="125"/>
    </row>
    <row r="2162" spans="1:12" x14ac:dyDescent="0.25">
      <c r="A2162" s="115"/>
      <c r="B2162" s="115"/>
      <c r="C2162" s="115"/>
      <c r="D2162" s="115"/>
      <c r="E2162" s="115"/>
      <c r="F2162" s="115"/>
      <c r="G2162" s="116"/>
      <c r="I2162" s="118"/>
      <c r="J2162" s="118"/>
      <c r="L2162" s="125"/>
    </row>
    <row r="2163" spans="1:12" x14ac:dyDescent="0.25">
      <c r="A2163" s="115"/>
      <c r="B2163" s="115"/>
      <c r="C2163" s="115"/>
      <c r="D2163" s="115"/>
      <c r="E2163" s="115"/>
      <c r="F2163" s="115"/>
      <c r="G2163" s="116"/>
      <c r="I2163" s="118"/>
      <c r="J2163" s="118"/>
      <c r="L2163" s="125"/>
    </row>
    <row r="2164" spans="1:12" x14ac:dyDescent="0.25">
      <c r="A2164" s="115"/>
      <c r="B2164" s="115"/>
      <c r="C2164" s="115"/>
      <c r="D2164" s="115"/>
      <c r="E2164" s="115"/>
      <c r="F2164" s="115"/>
      <c r="G2164" s="116"/>
      <c r="I2164" s="118"/>
      <c r="J2164" s="118"/>
      <c r="L2164" s="125"/>
    </row>
    <row r="2165" spans="1:12" x14ac:dyDescent="0.25">
      <c r="A2165" s="115"/>
      <c r="B2165" s="115"/>
      <c r="C2165" s="115"/>
      <c r="D2165" s="115"/>
      <c r="E2165" s="115"/>
      <c r="F2165" s="115"/>
      <c r="G2165" s="116"/>
      <c r="I2165" s="118"/>
      <c r="J2165" s="118"/>
      <c r="L2165" s="125"/>
    </row>
    <row r="2166" spans="1:12" x14ac:dyDescent="0.25">
      <c r="A2166" s="115"/>
      <c r="B2166" s="115"/>
      <c r="C2166" s="115"/>
      <c r="D2166" s="115"/>
      <c r="E2166" s="115"/>
      <c r="F2166" s="115"/>
      <c r="G2166" s="116"/>
      <c r="I2166" s="118"/>
      <c r="J2166" s="118"/>
      <c r="L2166" s="125"/>
    </row>
    <row r="2167" spans="1:12" x14ac:dyDescent="0.25">
      <c r="A2167" s="115"/>
      <c r="B2167" s="115"/>
      <c r="C2167" s="115"/>
      <c r="D2167" s="115"/>
      <c r="E2167" s="115"/>
      <c r="F2167" s="115"/>
      <c r="G2167" s="116"/>
      <c r="I2167" s="118"/>
      <c r="J2167" s="118"/>
      <c r="L2167" s="125"/>
    </row>
    <row r="2168" spans="1:12" x14ac:dyDescent="0.25">
      <c r="A2168" s="115"/>
      <c r="B2168" s="115"/>
      <c r="C2168" s="115"/>
      <c r="D2168" s="115"/>
      <c r="E2168" s="115"/>
      <c r="F2168" s="115"/>
      <c r="G2168" s="116"/>
      <c r="I2168" s="118"/>
      <c r="J2168" s="118"/>
      <c r="L2168" s="125"/>
    </row>
    <row r="2169" spans="1:12" x14ac:dyDescent="0.25">
      <c r="A2169" s="115"/>
      <c r="B2169" s="115"/>
      <c r="C2169" s="115"/>
      <c r="D2169" s="115"/>
      <c r="E2169" s="115"/>
      <c r="F2169" s="115"/>
      <c r="G2169" s="116"/>
      <c r="I2169" s="118"/>
      <c r="J2169" s="118"/>
      <c r="L2169" s="125"/>
    </row>
    <row r="2170" spans="1:12" x14ac:dyDescent="0.25">
      <c r="A2170" s="115"/>
      <c r="B2170" s="115"/>
      <c r="C2170" s="115"/>
      <c r="D2170" s="115"/>
      <c r="E2170" s="115"/>
      <c r="F2170" s="115"/>
      <c r="G2170" s="116"/>
      <c r="I2170" s="118"/>
      <c r="J2170" s="118"/>
      <c r="L2170" s="125"/>
    </row>
    <row r="2171" spans="1:12" x14ac:dyDescent="0.25">
      <c r="A2171" s="115"/>
      <c r="B2171" s="115"/>
      <c r="C2171" s="115"/>
      <c r="D2171" s="115"/>
      <c r="E2171" s="115"/>
      <c r="F2171" s="115"/>
      <c r="G2171" s="116"/>
      <c r="I2171" s="118"/>
      <c r="J2171" s="118"/>
      <c r="L2171" s="125"/>
    </row>
    <row r="2172" spans="1:12" x14ac:dyDescent="0.25">
      <c r="A2172" s="115"/>
      <c r="B2172" s="115"/>
      <c r="C2172" s="115"/>
      <c r="D2172" s="115"/>
      <c r="E2172" s="115"/>
      <c r="F2172" s="115"/>
      <c r="G2172" s="116"/>
      <c r="I2172" s="118"/>
      <c r="J2172" s="118"/>
      <c r="L2172" s="125"/>
    </row>
    <row r="2173" spans="1:12" x14ac:dyDescent="0.25">
      <c r="A2173" s="115"/>
      <c r="B2173" s="115"/>
      <c r="C2173" s="115"/>
      <c r="D2173" s="115"/>
      <c r="E2173" s="115"/>
      <c r="F2173" s="115"/>
      <c r="G2173" s="116"/>
      <c r="I2173" s="118"/>
      <c r="J2173" s="118"/>
      <c r="L2173" s="125"/>
    </row>
    <row r="2174" spans="1:12" x14ac:dyDescent="0.25">
      <c r="A2174" s="115"/>
      <c r="B2174" s="115"/>
      <c r="C2174" s="115"/>
      <c r="D2174" s="115"/>
      <c r="E2174" s="115"/>
      <c r="F2174" s="115"/>
      <c r="G2174" s="116"/>
      <c r="I2174" s="118"/>
      <c r="J2174" s="118"/>
      <c r="L2174" s="125"/>
    </row>
    <row r="2175" spans="1:12" x14ac:dyDescent="0.25">
      <c r="A2175" s="115"/>
      <c r="B2175" s="115"/>
      <c r="C2175" s="115"/>
      <c r="D2175" s="115"/>
      <c r="E2175" s="115"/>
      <c r="F2175" s="115"/>
      <c r="G2175" s="116"/>
      <c r="I2175" s="118"/>
      <c r="J2175" s="118"/>
      <c r="L2175" s="125"/>
    </row>
    <row r="2176" spans="1:12" x14ac:dyDescent="0.25">
      <c r="A2176" s="115"/>
      <c r="B2176" s="115"/>
      <c r="C2176" s="115"/>
      <c r="D2176" s="115"/>
      <c r="E2176" s="115"/>
      <c r="F2176" s="115"/>
      <c r="G2176" s="116"/>
      <c r="I2176" s="118"/>
      <c r="J2176" s="118"/>
      <c r="L2176" s="125"/>
    </row>
    <row r="2177" spans="1:12" x14ac:dyDescent="0.25">
      <c r="A2177" s="115"/>
      <c r="B2177" s="115"/>
      <c r="C2177" s="115"/>
      <c r="D2177" s="115"/>
      <c r="E2177" s="115"/>
      <c r="F2177" s="115"/>
      <c r="G2177" s="116"/>
      <c r="I2177" s="118"/>
      <c r="J2177" s="118"/>
      <c r="L2177" s="125"/>
    </row>
    <row r="2178" spans="1:12" x14ac:dyDescent="0.25">
      <c r="A2178" s="115"/>
      <c r="B2178" s="115"/>
      <c r="C2178" s="115"/>
      <c r="D2178" s="115"/>
      <c r="E2178" s="115"/>
      <c r="F2178" s="115"/>
      <c r="G2178" s="116"/>
      <c r="I2178" s="118"/>
      <c r="J2178" s="118"/>
      <c r="L2178" s="125"/>
    </row>
    <row r="2179" spans="1:12" x14ac:dyDescent="0.25">
      <c r="A2179" s="115"/>
      <c r="B2179" s="115"/>
      <c r="C2179" s="115"/>
      <c r="D2179" s="115"/>
      <c r="E2179" s="115"/>
      <c r="F2179" s="115"/>
      <c r="G2179" s="116"/>
      <c r="I2179" s="118"/>
      <c r="J2179" s="118"/>
      <c r="L2179" s="125"/>
    </row>
    <row r="2180" spans="1:12" x14ac:dyDescent="0.25">
      <c r="A2180" s="115"/>
      <c r="B2180" s="115"/>
      <c r="C2180" s="115"/>
      <c r="D2180" s="115"/>
      <c r="E2180" s="115"/>
      <c r="F2180" s="115"/>
      <c r="G2180" s="116"/>
      <c r="I2180" s="118"/>
      <c r="J2180" s="118"/>
      <c r="L2180" s="125"/>
    </row>
    <row r="2181" spans="1:12" x14ac:dyDescent="0.25">
      <c r="A2181" s="115"/>
      <c r="B2181" s="115"/>
      <c r="C2181" s="115"/>
      <c r="D2181" s="115"/>
      <c r="E2181" s="115"/>
      <c r="F2181" s="115"/>
      <c r="G2181" s="116"/>
      <c r="I2181" s="118"/>
      <c r="J2181" s="118"/>
      <c r="L2181" s="125"/>
    </row>
    <row r="2182" spans="1:12" x14ac:dyDescent="0.25">
      <c r="A2182" s="115"/>
      <c r="B2182" s="115"/>
      <c r="C2182" s="115"/>
      <c r="D2182" s="115"/>
      <c r="E2182" s="115"/>
      <c r="F2182" s="115"/>
      <c r="G2182" s="116"/>
      <c r="I2182" s="118"/>
      <c r="J2182" s="118"/>
      <c r="L2182" s="125"/>
    </row>
    <row r="2183" spans="1:12" x14ac:dyDescent="0.25">
      <c r="A2183" s="115"/>
      <c r="B2183" s="115"/>
      <c r="C2183" s="115"/>
      <c r="D2183" s="115"/>
      <c r="E2183" s="115"/>
      <c r="F2183" s="115"/>
      <c r="G2183" s="116"/>
      <c r="I2183" s="118"/>
      <c r="J2183" s="118"/>
      <c r="L2183" s="125"/>
    </row>
    <row r="2184" spans="1:12" x14ac:dyDescent="0.25">
      <c r="A2184" s="115"/>
      <c r="B2184" s="115"/>
      <c r="C2184" s="115"/>
      <c r="D2184" s="115"/>
      <c r="E2184" s="115"/>
      <c r="F2184" s="115"/>
      <c r="G2184" s="116"/>
      <c r="I2184" s="118"/>
      <c r="J2184" s="118"/>
      <c r="L2184" s="125"/>
    </row>
    <row r="2185" spans="1:12" x14ac:dyDescent="0.25">
      <c r="A2185" s="115"/>
      <c r="B2185" s="115"/>
      <c r="C2185" s="115"/>
      <c r="D2185" s="115"/>
      <c r="E2185" s="115"/>
      <c r="F2185" s="115"/>
      <c r="G2185" s="116"/>
      <c r="I2185" s="118"/>
      <c r="J2185" s="118"/>
      <c r="L2185" s="125"/>
    </row>
    <row r="2186" spans="1:12" x14ac:dyDescent="0.25">
      <c r="A2186" s="115"/>
      <c r="B2186" s="115"/>
      <c r="C2186" s="115"/>
      <c r="D2186" s="115"/>
      <c r="E2186" s="115"/>
      <c r="F2186" s="115"/>
      <c r="G2186" s="116"/>
      <c r="I2186" s="118"/>
      <c r="J2186" s="118"/>
      <c r="L2186" s="125"/>
    </row>
    <row r="2187" spans="1:12" x14ac:dyDescent="0.25">
      <c r="A2187" s="115"/>
      <c r="B2187" s="115"/>
      <c r="C2187" s="115"/>
      <c r="D2187" s="115"/>
      <c r="E2187" s="115"/>
      <c r="F2187" s="115"/>
      <c r="G2187" s="116"/>
      <c r="I2187" s="118"/>
      <c r="J2187" s="118"/>
      <c r="L2187" s="125"/>
    </row>
    <row r="2188" spans="1:12" x14ac:dyDescent="0.25">
      <c r="A2188" s="115"/>
      <c r="B2188" s="115"/>
      <c r="C2188" s="115"/>
      <c r="D2188" s="115"/>
      <c r="E2188" s="115"/>
      <c r="F2188" s="115"/>
      <c r="G2188" s="116"/>
      <c r="I2188" s="118"/>
      <c r="J2188" s="118"/>
      <c r="L2188" s="125"/>
    </row>
    <row r="2189" spans="1:12" x14ac:dyDescent="0.25">
      <c r="A2189" s="115"/>
      <c r="B2189" s="115"/>
      <c r="C2189" s="115"/>
      <c r="D2189" s="115"/>
      <c r="E2189" s="115"/>
      <c r="F2189" s="115"/>
      <c r="G2189" s="116"/>
      <c r="I2189" s="118"/>
      <c r="J2189" s="118"/>
      <c r="L2189" s="125"/>
    </row>
    <row r="2190" spans="1:12" x14ac:dyDescent="0.25">
      <c r="A2190" s="115"/>
      <c r="B2190" s="115"/>
      <c r="C2190" s="115"/>
      <c r="D2190" s="115"/>
      <c r="E2190" s="115"/>
      <c r="F2190" s="115"/>
      <c r="G2190" s="116"/>
      <c r="I2190" s="118"/>
      <c r="J2190" s="118"/>
      <c r="L2190" s="125"/>
    </row>
    <row r="2191" spans="1:12" x14ac:dyDescent="0.25">
      <c r="A2191" s="115"/>
      <c r="B2191" s="115"/>
      <c r="C2191" s="115"/>
      <c r="D2191" s="115"/>
      <c r="E2191" s="115"/>
      <c r="F2191" s="115"/>
      <c r="G2191" s="116"/>
      <c r="I2191" s="118"/>
      <c r="J2191" s="118"/>
      <c r="L2191" s="125"/>
    </row>
    <row r="2192" spans="1:12" x14ac:dyDescent="0.25">
      <c r="A2192" s="115"/>
      <c r="B2192" s="115"/>
      <c r="C2192" s="115"/>
      <c r="D2192" s="115"/>
      <c r="E2192" s="115"/>
      <c r="F2192" s="115"/>
      <c r="G2192" s="116"/>
      <c r="I2192" s="118"/>
      <c r="J2192" s="118"/>
      <c r="L2192" s="125"/>
    </row>
    <row r="2193" spans="1:12" x14ac:dyDescent="0.25">
      <c r="A2193" s="115"/>
      <c r="B2193" s="115"/>
      <c r="C2193" s="115"/>
      <c r="D2193" s="115"/>
      <c r="E2193" s="115"/>
      <c r="F2193" s="115"/>
      <c r="G2193" s="116"/>
      <c r="I2193" s="118"/>
      <c r="J2193" s="118"/>
      <c r="L2193" s="125"/>
    </row>
    <row r="2194" spans="1:12" x14ac:dyDescent="0.25">
      <c r="A2194" s="115"/>
      <c r="B2194" s="115"/>
      <c r="C2194" s="115"/>
      <c r="D2194" s="115"/>
      <c r="E2194" s="115"/>
      <c r="F2194" s="115"/>
      <c r="G2194" s="116"/>
      <c r="I2194" s="118"/>
      <c r="J2194" s="118"/>
      <c r="L2194" s="125"/>
    </row>
    <row r="2195" spans="1:12" x14ac:dyDescent="0.25">
      <c r="A2195" s="115"/>
      <c r="B2195" s="115"/>
      <c r="C2195" s="115"/>
      <c r="D2195" s="115"/>
      <c r="E2195" s="115"/>
      <c r="F2195" s="115"/>
      <c r="G2195" s="116"/>
      <c r="I2195" s="118"/>
      <c r="J2195" s="118"/>
      <c r="L2195" s="125"/>
    </row>
    <row r="2196" spans="1:12" x14ac:dyDescent="0.25">
      <c r="A2196" s="115"/>
      <c r="B2196" s="115"/>
      <c r="C2196" s="115"/>
      <c r="D2196" s="115"/>
      <c r="E2196" s="115"/>
      <c r="F2196" s="115"/>
      <c r="G2196" s="116"/>
      <c r="I2196" s="118"/>
      <c r="J2196" s="118"/>
      <c r="L2196" s="125"/>
    </row>
    <row r="2197" spans="1:12" x14ac:dyDescent="0.25">
      <c r="A2197" s="115"/>
      <c r="B2197" s="115"/>
      <c r="C2197" s="115"/>
      <c r="D2197" s="115"/>
      <c r="E2197" s="115"/>
      <c r="F2197" s="115"/>
      <c r="G2197" s="116"/>
      <c r="I2197" s="118"/>
      <c r="J2197" s="118"/>
      <c r="L2197" s="125"/>
    </row>
    <row r="2198" spans="1:12" x14ac:dyDescent="0.25">
      <c r="A2198" s="115"/>
      <c r="B2198" s="115"/>
      <c r="C2198" s="115"/>
      <c r="D2198" s="115"/>
      <c r="E2198" s="115"/>
      <c r="F2198" s="115"/>
      <c r="G2198" s="116"/>
      <c r="I2198" s="118"/>
      <c r="J2198" s="118"/>
      <c r="L2198" s="125"/>
    </row>
    <row r="2199" spans="1:12" x14ac:dyDescent="0.25">
      <c r="A2199" s="115"/>
      <c r="B2199" s="115"/>
      <c r="C2199" s="115"/>
      <c r="D2199" s="115"/>
      <c r="E2199" s="115"/>
      <c r="F2199" s="115"/>
      <c r="G2199" s="116"/>
      <c r="I2199" s="118"/>
      <c r="J2199" s="118"/>
      <c r="L2199" s="125"/>
    </row>
    <row r="2200" spans="1:12" x14ac:dyDescent="0.25">
      <c r="A2200" s="115"/>
      <c r="B2200" s="115"/>
      <c r="C2200" s="115"/>
      <c r="D2200" s="115"/>
      <c r="E2200" s="115"/>
      <c r="F2200" s="115"/>
      <c r="G2200" s="116"/>
      <c r="I2200" s="118"/>
      <c r="J2200" s="118"/>
      <c r="L2200" s="125"/>
    </row>
    <row r="2201" spans="1:12" x14ac:dyDescent="0.25">
      <c r="A2201" s="115"/>
      <c r="B2201" s="115"/>
      <c r="C2201" s="115"/>
      <c r="D2201" s="115"/>
      <c r="E2201" s="115"/>
      <c r="F2201" s="115"/>
      <c r="G2201" s="116"/>
      <c r="I2201" s="118"/>
      <c r="J2201" s="118"/>
      <c r="L2201" s="125"/>
    </row>
    <row r="2202" spans="1:12" x14ac:dyDescent="0.25">
      <c r="A2202" s="115"/>
      <c r="B2202" s="115"/>
      <c r="C2202" s="115"/>
      <c r="D2202" s="115"/>
      <c r="E2202" s="115"/>
      <c r="F2202" s="115"/>
      <c r="G2202" s="116"/>
      <c r="I2202" s="118"/>
      <c r="J2202" s="118"/>
      <c r="L2202" s="125"/>
    </row>
    <row r="2203" spans="1:12" x14ac:dyDescent="0.25">
      <c r="A2203" s="115"/>
      <c r="B2203" s="115"/>
      <c r="C2203" s="115"/>
      <c r="D2203" s="115"/>
      <c r="E2203" s="115"/>
      <c r="F2203" s="115"/>
      <c r="G2203" s="116"/>
      <c r="I2203" s="118"/>
      <c r="J2203" s="118"/>
      <c r="L2203" s="125"/>
    </row>
    <row r="2204" spans="1:12" x14ac:dyDescent="0.25">
      <c r="A2204" s="115"/>
      <c r="B2204" s="115"/>
      <c r="C2204" s="115"/>
      <c r="D2204" s="115"/>
      <c r="E2204" s="115"/>
      <c r="F2204" s="115"/>
      <c r="G2204" s="116"/>
      <c r="I2204" s="118"/>
      <c r="J2204" s="118"/>
      <c r="L2204" s="125"/>
    </row>
    <row r="2205" spans="1:12" x14ac:dyDescent="0.25">
      <c r="A2205" s="115"/>
      <c r="B2205" s="115"/>
      <c r="C2205" s="115"/>
      <c r="D2205" s="115"/>
      <c r="E2205" s="115"/>
      <c r="F2205" s="115"/>
      <c r="G2205" s="116"/>
      <c r="I2205" s="118"/>
      <c r="J2205" s="118"/>
      <c r="L2205" s="125"/>
    </row>
    <row r="2206" spans="1:12" x14ac:dyDescent="0.25">
      <c r="A2206" s="115"/>
      <c r="B2206" s="115"/>
      <c r="C2206" s="115"/>
      <c r="D2206" s="115"/>
      <c r="E2206" s="115"/>
      <c r="F2206" s="115"/>
      <c r="G2206" s="116"/>
      <c r="I2206" s="118"/>
      <c r="J2206" s="118"/>
      <c r="L2206" s="125"/>
    </row>
    <row r="2207" spans="1:12" x14ac:dyDescent="0.25">
      <c r="A2207" s="115"/>
      <c r="B2207" s="115"/>
      <c r="C2207" s="115"/>
      <c r="D2207" s="115"/>
      <c r="E2207" s="115"/>
      <c r="F2207" s="115"/>
      <c r="G2207" s="116"/>
      <c r="I2207" s="118"/>
      <c r="J2207" s="118"/>
      <c r="L2207" s="125"/>
    </row>
    <row r="2208" spans="1:12" x14ac:dyDescent="0.25">
      <c r="A2208" s="115"/>
      <c r="B2208" s="115"/>
      <c r="C2208" s="115"/>
      <c r="D2208" s="115"/>
      <c r="E2208" s="115"/>
      <c r="F2208" s="115"/>
      <c r="G2208" s="116"/>
      <c r="I2208" s="118"/>
      <c r="J2208" s="118"/>
      <c r="L2208" s="125"/>
    </row>
    <row r="2209" spans="1:12" x14ac:dyDescent="0.25">
      <c r="A2209" s="115"/>
      <c r="B2209" s="115"/>
      <c r="C2209" s="115"/>
      <c r="D2209" s="115"/>
      <c r="E2209" s="115"/>
      <c r="F2209" s="115"/>
      <c r="G2209" s="116"/>
      <c r="I2209" s="118"/>
      <c r="J2209" s="118"/>
      <c r="L2209" s="125"/>
    </row>
    <row r="2210" spans="1:12" x14ac:dyDescent="0.25">
      <c r="A2210" s="115"/>
      <c r="B2210" s="115"/>
      <c r="C2210" s="115"/>
      <c r="D2210" s="115"/>
      <c r="E2210" s="115"/>
      <c r="F2210" s="115"/>
      <c r="G2210" s="116"/>
      <c r="I2210" s="118"/>
      <c r="J2210" s="118"/>
      <c r="L2210" s="125"/>
    </row>
    <row r="2211" spans="1:12" x14ac:dyDescent="0.25">
      <c r="A2211" s="115"/>
      <c r="B2211" s="115"/>
      <c r="C2211" s="115"/>
      <c r="D2211" s="115"/>
      <c r="E2211" s="115"/>
      <c r="F2211" s="115"/>
      <c r="G2211" s="116"/>
      <c r="I2211" s="118"/>
      <c r="J2211" s="118"/>
      <c r="L2211" s="125"/>
    </row>
    <row r="2212" spans="1:12" x14ac:dyDescent="0.25">
      <c r="A2212" s="115"/>
      <c r="B2212" s="115"/>
      <c r="C2212" s="115"/>
      <c r="D2212" s="115"/>
      <c r="E2212" s="115"/>
      <c r="F2212" s="115"/>
      <c r="G2212" s="116"/>
      <c r="I2212" s="118"/>
      <c r="J2212" s="118"/>
      <c r="L2212" s="125"/>
    </row>
    <row r="2213" spans="1:12" x14ac:dyDescent="0.25">
      <c r="A2213" s="115"/>
      <c r="B2213" s="115"/>
      <c r="C2213" s="115"/>
      <c r="D2213" s="115"/>
      <c r="E2213" s="115"/>
      <c r="F2213" s="115"/>
      <c r="G2213" s="116"/>
      <c r="I2213" s="118"/>
      <c r="J2213" s="118"/>
      <c r="L2213" s="125"/>
    </row>
    <row r="2214" spans="1:12" x14ac:dyDescent="0.25">
      <c r="A2214" s="115"/>
      <c r="B2214" s="115"/>
      <c r="C2214" s="115"/>
      <c r="D2214" s="115"/>
      <c r="E2214" s="115"/>
      <c r="F2214" s="115"/>
      <c r="G2214" s="116"/>
      <c r="I2214" s="118"/>
      <c r="J2214" s="118"/>
      <c r="L2214" s="125"/>
    </row>
    <row r="2215" spans="1:12" x14ac:dyDescent="0.25">
      <c r="A2215" s="115"/>
      <c r="B2215" s="115"/>
      <c r="C2215" s="115"/>
      <c r="D2215" s="115"/>
      <c r="E2215" s="115"/>
      <c r="F2215" s="115"/>
      <c r="G2215" s="116"/>
      <c r="I2215" s="118"/>
      <c r="J2215" s="118"/>
      <c r="L2215" s="125"/>
    </row>
    <row r="2216" spans="1:12" x14ac:dyDescent="0.25">
      <c r="A2216" s="115"/>
      <c r="B2216" s="115"/>
      <c r="C2216" s="115"/>
      <c r="D2216" s="115"/>
      <c r="E2216" s="115"/>
      <c r="F2216" s="115"/>
      <c r="G2216" s="116"/>
      <c r="I2216" s="118"/>
      <c r="J2216" s="118"/>
      <c r="L2216" s="125"/>
    </row>
    <row r="2217" spans="1:12" x14ac:dyDescent="0.25">
      <c r="A2217" s="115"/>
      <c r="B2217" s="115"/>
      <c r="C2217" s="115"/>
      <c r="D2217" s="115"/>
      <c r="E2217" s="115"/>
      <c r="F2217" s="115"/>
      <c r="G2217" s="116"/>
      <c r="I2217" s="118"/>
      <c r="J2217" s="118"/>
      <c r="L2217" s="125"/>
    </row>
    <row r="2218" spans="1:12" x14ac:dyDescent="0.25">
      <c r="A2218" s="115"/>
      <c r="B2218" s="115"/>
      <c r="C2218" s="115"/>
      <c r="D2218" s="115"/>
      <c r="E2218" s="115"/>
      <c r="F2218" s="115"/>
      <c r="G2218" s="116"/>
      <c r="I2218" s="118"/>
      <c r="J2218" s="118"/>
      <c r="L2218" s="125"/>
    </row>
    <row r="2219" spans="1:12" x14ac:dyDescent="0.25">
      <c r="A2219" s="115"/>
      <c r="B2219" s="115"/>
      <c r="C2219" s="115"/>
      <c r="D2219" s="115"/>
      <c r="E2219" s="115"/>
      <c r="F2219" s="115"/>
      <c r="G2219" s="116"/>
      <c r="I2219" s="118"/>
      <c r="J2219" s="118"/>
      <c r="L2219" s="125"/>
    </row>
    <row r="2220" spans="1:12" x14ac:dyDescent="0.25">
      <c r="A2220" s="115"/>
      <c r="B2220" s="115"/>
      <c r="C2220" s="115"/>
      <c r="D2220" s="115"/>
      <c r="E2220" s="115"/>
      <c r="F2220" s="115"/>
      <c r="G2220" s="116"/>
      <c r="I2220" s="118"/>
      <c r="J2220" s="118"/>
      <c r="L2220" s="125"/>
    </row>
    <row r="2221" spans="1:12" x14ac:dyDescent="0.25">
      <c r="A2221" s="115"/>
      <c r="B2221" s="115"/>
      <c r="C2221" s="115"/>
      <c r="D2221" s="115"/>
      <c r="E2221" s="115"/>
      <c r="F2221" s="115"/>
      <c r="G2221" s="116"/>
      <c r="I2221" s="118"/>
      <c r="J2221" s="118"/>
      <c r="L2221" s="125"/>
    </row>
    <row r="2222" spans="1:12" x14ac:dyDescent="0.25">
      <c r="A2222" s="115"/>
      <c r="B2222" s="115"/>
      <c r="C2222" s="115"/>
      <c r="D2222" s="115"/>
      <c r="E2222" s="115"/>
      <c r="F2222" s="115"/>
      <c r="G2222" s="116"/>
      <c r="I2222" s="118"/>
      <c r="J2222" s="118"/>
      <c r="L2222" s="125"/>
    </row>
    <row r="2223" spans="1:12" x14ac:dyDescent="0.25">
      <c r="A2223" s="115"/>
      <c r="B2223" s="115"/>
      <c r="C2223" s="115"/>
      <c r="D2223" s="115"/>
      <c r="E2223" s="115"/>
      <c r="F2223" s="115"/>
      <c r="G2223" s="116"/>
      <c r="I2223" s="118"/>
      <c r="J2223" s="118"/>
      <c r="L2223" s="125"/>
    </row>
    <row r="2224" spans="1:12" x14ac:dyDescent="0.25">
      <c r="A2224" s="115"/>
      <c r="B2224" s="115"/>
      <c r="C2224" s="115"/>
      <c r="D2224" s="115"/>
      <c r="E2224" s="115"/>
      <c r="F2224" s="115"/>
      <c r="G2224" s="116"/>
      <c r="I2224" s="118"/>
      <c r="J2224" s="118"/>
      <c r="L2224" s="125"/>
    </row>
    <row r="2225" spans="1:12" x14ac:dyDescent="0.25">
      <c r="A2225" s="115"/>
      <c r="B2225" s="115"/>
      <c r="C2225" s="115"/>
      <c r="D2225" s="115"/>
      <c r="E2225" s="115"/>
      <c r="F2225" s="115"/>
      <c r="G2225" s="116"/>
      <c r="I2225" s="118"/>
      <c r="J2225" s="118"/>
      <c r="L2225" s="125"/>
    </row>
    <row r="2226" spans="1:12" x14ac:dyDescent="0.25">
      <c r="A2226" s="115"/>
      <c r="B2226" s="115"/>
      <c r="C2226" s="115"/>
      <c r="D2226" s="115"/>
      <c r="E2226" s="115"/>
      <c r="F2226" s="115"/>
      <c r="G2226" s="116"/>
      <c r="I2226" s="118"/>
      <c r="J2226" s="118"/>
      <c r="L2226" s="125"/>
    </row>
    <row r="2227" spans="1:12" x14ac:dyDescent="0.25">
      <c r="A2227" s="115"/>
      <c r="B2227" s="115"/>
      <c r="C2227" s="115"/>
      <c r="D2227" s="115"/>
      <c r="E2227" s="115"/>
      <c r="F2227" s="115"/>
      <c r="G2227" s="116"/>
      <c r="I2227" s="118"/>
      <c r="J2227" s="118"/>
      <c r="L2227" s="125"/>
    </row>
    <row r="2228" spans="1:12" x14ac:dyDescent="0.25">
      <c r="A2228" s="115"/>
      <c r="B2228" s="115"/>
      <c r="C2228" s="115"/>
      <c r="D2228" s="115"/>
      <c r="E2228" s="115"/>
      <c r="F2228" s="115"/>
      <c r="G2228" s="116"/>
      <c r="I2228" s="118"/>
      <c r="J2228" s="118"/>
      <c r="L2228" s="125"/>
    </row>
    <row r="2229" spans="1:12" x14ac:dyDescent="0.25">
      <c r="A2229" s="115"/>
      <c r="B2229" s="115"/>
      <c r="C2229" s="115"/>
      <c r="D2229" s="115"/>
      <c r="E2229" s="115"/>
      <c r="F2229" s="115"/>
      <c r="G2229" s="116"/>
      <c r="I2229" s="118"/>
      <c r="J2229" s="118"/>
      <c r="L2229" s="125"/>
    </row>
    <row r="2230" spans="1:12" x14ac:dyDescent="0.25">
      <c r="A2230" s="115"/>
      <c r="B2230" s="115"/>
      <c r="C2230" s="115"/>
      <c r="D2230" s="115"/>
      <c r="E2230" s="115"/>
      <c r="F2230" s="115"/>
      <c r="G2230" s="116"/>
      <c r="I2230" s="118"/>
      <c r="J2230" s="118"/>
      <c r="L2230" s="125"/>
    </row>
    <row r="2231" spans="1:12" x14ac:dyDescent="0.25">
      <c r="A2231" s="115"/>
      <c r="B2231" s="115"/>
      <c r="C2231" s="115"/>
      <c r="D2231" s="115"/>
      <c r="E2231" s="115"/>
      <c r="F2231" s="115"/>
      <c r="G2231" s="116"/>
      <c r="I2231" s="118"/>
      <c r="J2231" s="118"/>
      <c r="L2231" s="125"/>
    </row>
    <row r="2232" spans="1:12" x14ac:dyDescent="0.25">
      <c r="A2232" s="115"/>
      <c r="B2232" s="115"/>
      <c r="C2232" s="115"/>
      <c r="D2232" s="115"/>
      <c r="E2232" s="115"/>
      <c r="F2232" s="115"/>
      <c r="G2232" s="116"/>
      <c r="I2232" s="118"/>
      <c r="J2232" s="118"/>
      <c r="L2232" s="125"/>
    </row>
    <row r="2233" spans="1:12" x14ac:dyDescent="0.25">
      <c r="A2233" s="115"/>
      <c r="B2233" s="115"/>
      <c r="C2233" s="115"/>
      <c r="D2233" s="115"/>
      <c r="E2233" s="115"/>
      <c r="F2233" s="115"/>
      <c r="G2233" s="116"/>
      <c r="I2233" s="118"/>
      <c r="J2233" s="118"/>
      <c r="L2233" s="125"/>
    </row>
    <row r="2234" spans="1:12" x14ac:dyDescent="0.25">
      <c r="A2234" s="115"/>
      <c r="B2234" s="115"/>
      <c r="C2234" s="115"/>
      <c r="D2234" s="115"/>
      <c r="E2234" s="115"/>
      <c r="F2234" s="115"/>
      <c r="G2234" s="116"/>
      <c r="I2234" s="118"/>
      <c r="J2234" s="118"/>
      <c r="L2234" s="125"/>
    </row>
    <row r="2235" spans="1:12" x14ac:dyDescent="0.25">
      <c r="A2235" s="115"/>
      <c r="B2235" s="115"/>
      <c r="C2235" s="115"/>
      <c r="D2235" s="115"/>
      <c r="E2235" s="115"/>
      <c r="F2235" s="115"/>
      <c r="G2235" s="116"/>
      <c r="I2235" s="118"/>
      <c r="J2235" s="118"/>
      <c r="L2235" s="125"/>
    </row>
    <row r="2236" spans="1:12" x14ac:dyDescent="0.25">
      <c r="A2236" s="115"/>
      <c r="B2236" s="115"/>
      <c r="C2236" s="115"/>
      <c r="D2236" s="115"/>
      <c r="E2236" s="115"/>
      <c r="F2236" s="115"/>
      <c r="G2236" s="116"/>
      <c r="I2236" s="118"/>
      <c r="J2236" s="118"/>
      <c r="L2236" s="125"/>
    </row>
    <row r="2237" spans="1:12" x14ac:dyDescent="0.25">
      <c r="A2237" s="115"/>
      <c r="B2237" s="115"/>
      <c r="C2237" s="115"/>
      <c r="D2237" s="115"/>
      <c r="E2237" s="115"/>
      <c r="F2237" s="115"/>
      <c r="G2237" s="116"/>
      <c r="I2237" s="118"/>
      <c r="J2237" s="118"/>
      <c r="L2237" s="125"/>
    </row>
    <row r="2238" spans="1:12" x14ac:dyDescent="0.25">
      <c r="A2238" s="115"/>
      <c r="B2238" s="115"/>
      <c r="C2238" s="115"/>
      <c r="D2238" s="115"/>
      <c r="E2238" s="115"/>
      <c r="F2238" s="115"/>
      <c r="G2238" s="116"/>
      <c r="I2238" s="118"/>
      <c r="J2238" s="118"/>
      <c r="L2238" s="125"/>
    </row>
    <row r="2239" spans="1:12" x14ac:dyDescent="0.25">
      <c r="A2239" s="115"/>
      <c r="B2239" s="115"/>
      <c r="C2239" s="115"/>
      <c r="D2239" s="115"/>
      <c r="E2239" s="115"/>
      <c r="F2239" s="115"/>
      <c r="G2239" s="116"/>
      <c r="I2239" s="118"/>
      <c r="J2239" s="118"/>
      <c r="L2239" s="125"/>
    </row>
    <row r="2240" spans="1:12" x14ac:dyDescent="0.25">
      <c r="A2240" s="115"/>
      <c r="B2240" s="115"/>
      <c r="C2240" s="115"/>
      <c r="D2240" s="115"/>
      <c r="E2240" s="115"/>
      <c r="F2240" s="115"/>
      <c r="G2240" s="116"/>
      <c r="I2240" s="118"/>
      <c r="J2240" s="118"/>
      <c r="L2240" s="125"/>
    </row>
    <row r="2241" spans="1:12" x14ac:dyDescent="0.25">
      <c r="A2241" s="115"/>
      <c r="B2241" s="115"/>
      <c r="C2241" s="115"/>
      <c r="D2241" s="115"/>
      <c r="E2241" s="115"/>
      <c r="F2241" s="115"/>
      <c r="G2241" s="116"/>
      <c r="I2241" s="118"/>
      <c r="J2241" s="118"/>
      <c r="L2241" s="125"/>
    </row>
    <row r="2242" spans="1:12" x14ac:dyDescent="0.25">
      <c r="A2242" s="115"/>
      <c r="B2242" s="115"/>
      <c r="C2242" s="115"/>
      <c r="D2242" s="115"/>
      <c r="E2242" s="115"/>
      <c r="F2242" s="115"/>
      <c r="G2242" s="116"/>
      <c r="I2242" s="118"/>
      <c r="J2242" s="118"/>
      <c r="L2242" s="125"/>
    </row>
    <row r="2243" spans="1:12" x14ac:dyDescent="0.25">
      <c r="A2243" s="115"/>
      <c r="B2243" s="115"/>
      <c r="C2243" s="115"/>
      <c r="D2243" s="115"/>
      <c r="E2243" s="115"/>
      <c r="F2243" s="115"/>
      <c r="G2243" s="116"/>
      <c r="I2243" s="118"/>
      <c r="J2243" s="118"/>
      <c r="L2243" s="125"/>
    </row>
    <row r="2244" spans="1:12" x14ac:dyDescent="0.25">
      <c r="A2244" s="115"/>
      <c r="B2244" s="115"/>
      <c r="C2244" s="115"/>
      <c r="D2244" s="115"/>
      <c r="E2244" s="115"/>
      <c r="F2244" s="115"/>
      <c r="G2244" s="116"/>
      <c r="I2244" s="118"/>
      <c r="J2244" s="118"/>
      <c r="L2244" s="125"/>
    </row>
    <row r="2245" spans="1:12" x14ac:dyDescent="0.25">
      <c r="A2245" s="115"/>
      <c r="B2245" s="115"/>
      <c r="C2245" s="115"/>
      <c r="D2245" s="115"/>
      <c r="E2245" s="115"/>
      <c r="F2245" s="115"/>
      <c r="G2245" s="116"/>
      <c r="I2245" s="118"/>
      <c r="J2245" s="118"/>
      <c r="L2245" s="125"/>
    </row>
    <row r="2246" spans="1:12" x14ac:dyDescent="0.25">
      <c r="A2246" s="115"/>
      <c r="B2246" s="115"/>
      <c r="C2246" s="115"/>
      <c r="D2246" s="115"/>
      <c r="E2246" s="115"/>
      <c r="F2246" s="115"/>
      <c r="G2246" s="116"/>
      <c r="I2246" s="118"/>
      <c r="J2246" s="118"/>
      <c r="L2246" s="125"/>
    </row>
    <row r="2247" spans="1:12" x14ac:dyDescent="0.25">
      <c r="A2247" s="115"/>
      <c r="B2247" s="115"/>
      <c r="C2247" s="115"/>
      <c r="D2247" s="115"/>
      <c r="E2247" s="115"/>
      <c r="F2247" s="115"/>
      <c r="G2247" s="116"/>
      <c r="I2247" s="118"/>
      <c r="J2247" s="118"/>
      <c r="L2247" s="125"/>
    </row>
    <row r="2248" spans="1:12" x14ac:dyDescent="0.25">
      <c r="A2248" s="115"/>
      <c r="B2248" s="115"/>
      <c r="C2248" s="115"/>
      <c r="D2248" s="115"/>
      <c r="E2248" s="115"/>
      <c r="F2248" s="115"/>
      <c r="G2248" s="116"/>
      <c r="I2248" s="118"/>
      <c r="J2248" s="118"/>
      <c r="L2248" s="125"/>
    </row>
    <row r="2249" spans="1:12" x14ac:dyDescent="0.25">
      <c r="A2249" s="115"/>
      <c r="B2249" s="115"/>
      <c r="C2249" s="115"/>
      <c r="D2249" s="115"/>
      <c r="E2249" s="115"/>
      <c r="F2249" s="115"/>
      <c r="G2249" s="116"/>
      <c r="I2249" s="118"/>
      <c r="J2249" s="118"/>
      <c r="L2249" s="125"/>
    </row>
    <row r="2250" spans="1:12" x14ac:dyDescent="0.25">
      <c r="A2250" s="115"/>
      <c r="B2250" s="115"/>
      <c r="C2250" s="115"/>
      <c r="D2250" s="115"/>
      <c r="E2250" s="115"/>
      <c r="F2250" s="115"/>
      <c r="G2250" s="116"/>
      <c r="I2250" s="118"/>
      <c r="J2250" s="118"/>
      <c r="L2250" s="125"/>
    </row>
    <row r="2251" spans="1:12" x14ac:dyDescent="0.25">
      <c r="A2251" s="115"/>
      <c r="B2251" s="115"/>
      <c r="C2251" s="115"/>
      <c r="D2251" s="115"/>
      <c r="E2251" s="115"/>
      <c r="F2251" s="115"/>
      <c r="G2251" s="116"/>
      <c r="I2251" s="118"/>
      <c r="J2251" s="118"/>
      <c r="L2251" s="125"/>
    </row>
    <row r="2252" spans="1:12" x14ac:dyDescent="0.25">
      <c r="A2252" s="115"/>
      <c r="B2252" s="115"/>
      <c r="C2252" s="115"/>
      <c r="D2252" s="115"/>
      <c r="E2252" s="115"/>
      <c r="F2252" s="115"/>
      <c r="G2252" s="116"/>
      <c r="I2252" s="118"/>
      <c r="J2252" s="118"/>
      <c r="L2252" s="125"/>
    </row>
    <row r="2253" spans="1:12" x14ac:dyDescent="0.25">
      <c r="A2253" s="115"/>
      <c r="B2253" s="115"/>
      <c r="C2253" s="115"/>
      <c r="D2253" s="115"/>
      <c r="E2253" s="115"/>
      <c r="F2253" s="115"/>
      <c r="G2253" s="116"/>
      <c r="I2253" s="118"/>
      <c r="J2253" s="118"/>
      <c r="L2253" s="125"/>
    </row>
    <row r="2254" spans="1:12" x14ac:dyDescent="0.25">
      <c r="A2254" s="115"/>
      <c r="B2254" s="115"/>
      <c r="C2254" s="115"/>
      <c r="D2254" s="115"/>
      <c r="E2254" s="115"/>
      <c r="F2254" s="115"/>
      <c r="G2254" s="116"/>
      <c r="I2254" s="118"/>
      <c r="J2254" s="118"/>
      <c r="L2254" s="125"/>
    </row>
    <row r="2255" spans="1:12" x14ac:dyDescent="0.25">
      <c r="A2255" s="115"/>
      <c r="B2255" s="115"/>
      <c r="C2255" s="115"/>
      <c r="D2255" s="115"/>
      <c r="E2255" s="115"/>
      <c r="F2255" s="115"/>
      <c r="G2255" s="116"/>
      <c r="I2255" s="118"/>
      <c r="J2255" s="118"/>
      <c r="L2255" s="125"/>
    </row>
    <row r="2256" spans="1:12" x14ac:dyDescent="0.25">
      <c r="A2256" s="115"/>
      <c r="B2256" s="115"/>
      <c r="C2256" s="115"/>
      <c r="D2256" s="115"/>
      <c r="E2256" s="115"/>
      <c r="F2256" s="115"/>
      <c r="G2256" s="116"/>
      <c r="I2256" s="118"/>
      <c r="J2256" s="118"/>
      <c r="L2256" s="125"/>
    </row>
    <row r="2257" spans="1:12" x14ac:dyDescent="0.25">
      <c r="A2257" s="115"/>
      <c r="B2257" s="115"/>
      <c r="C2257" s="115"/>
      <c r="D2257" s="115"/>
      <c r="E2257" s="115"/>
      <c r="F2257" s="115"/>
      <c r="G2257" s="116"/>
      <c r="I2257" s="118"/>
      <c r="J2257" s="118"/>
      <c r="L2257" s="125"/>
    </row>
    <row r="2258" spans="1:12" x14ac:dyDescent="0.25">
      <c r="A2258" s="115"/>
      <c r="B2258" s="115"/>
      <c r="C2258" s="115"/>
      <c r="D2258" s="115"/>
      <c r="E2258" s="115"/>
      <c r="F2258" s="115"/>
      <c r="G2258" s="116"/>
      <c r="I2258" s="118"/>
      <c r="J2258" s="118"/>
      <c r="L2258" s="125"/>
    </row>
    <row r="2259" spans="1:12" x14ac:dyDescent="0.25">
      <c r="A2259" s="115"/>
      <c r="B2259" s="115"/>
      <c r="C2259" s="115"/>
      <c r="D2259" s="115"/>
      <c r="E2259" s="115"/>
      <c r="F2259" s="115"/>
      <c r="G2259" s="116"/>
      <c r="I2259" s="118"/>
      <c r="J2259" s="118"/>
      <c r="L2259" s="125"/>
    </row>
    <row r="2260" spans="1:12" x14ac:dyDescent="0.25">
      <c r="A2260" s="115"/>
      <c r="B2260" s="115"/>
      <c r="C2260" s="115"/>
      <c r="D2260" s="115"/>
      <c r="E2260" s="115"/>
      <c r="F2260" s="115"/>
      <c r="G2260" s="116"/>
      <c r="I2260" s="118"/>
      <c r="J2260" s="118"/>
      <c r="L2260" s="125"/>
    </row>
    <row r="2261" spans="1:12" x14ac:dyDescent="0.25">
      <c r="A2261" s="115"/>
      <c r="B2261" s="115"/>
      <c r="C2261" s="115"/>
      <c r="D2261" s="115"/>
      <c r="E2261" s="115"/>
      <c r="F2261" s="115"/>
      <c r="G2261" s="116"/>
      <c r="I2261" s="118"/>
      <c r="J2261" s="118"/>
      <c r="L2261" s="125"/>
    </row>
    <row r="2262" spans="1:12" x14ac:dyDescent="0.25">
      <c r="A2262" s="115"/>
      <c r="B2262" s="115"/>
      <c r="C2262" s="115"/>
      <c r="D2262" s="115"/>
      <c r="E2262" s="115"/>
      <c r="F2262" s="115"/>
      <c r="G2262" s="116"/>
      <c r="I2262" s="118"/>
      <c r="J2262" s="118"/>
      <c r="L2262" s="125"/>
    </row>
    <row r="2263" spans="1:12" x14ac:dyDescent="0.25">
      <c r="A2263" s="115"/>
      <c r="B2263" s="115"/>
      <c r="C2263" s="115"/>
      <c r="D2263" s="115"/>
      <c r="E2263" s="115"/>
      <c r="F2263" s="115"/>
      <c r="G2263" s="116"/>
      <c r="I2263" s="118"/>
      <c r="J2263" s="118"/>
      <c r="L2263" s="125"/>
    </row>
    <row r="2264" spans="1:12" x14ac:dyDescent="0.25">
      <c r="A2264" s="115"/>
      <c r="B2264" s="115"/>
      <c r="C2264" s="115"/>
      <c r="D2264" s="115"/>
      <c r="E2264" s="115"/>
      <c r="F2264" s="115"/>
      <c r="G2264" s="116"/>
      <c r="I2264" s="118"/>
      <c r="J2264" s="118"/>
      <c r="L2264" s="125"/>
    </row>
    <row r="2265" spans="1:12" x14ac:dyDescent="0.25">
      <c r="A2265" s="115"/>
      <c r="B2265" s="115"/>
      <c r="C2265" s="115"/>
      <c r="D2265" s="115"/>
      <c r="E2265" s="115"/>
      <c r="F2265" s="115"/>
      <c r="G2265" s="116"/>
      <c r="I2265" s="118"/>
      <c r="J2265" s="118"/>
      <c r="L2265" s="125"/>
    </row>
    <row r="2266" spans="1:12" x14ac:dyDescent="0.25">
      <c r="A2266" s="115"/>
      <c r="B2266" s="115"/>
      <c r="C2266" s="115"/>
      <c r="D2266" s="115"/>
      <c r="E2266" s="115"/>
      <c r="F2266" s="115"/>
      <c r="G2266" s="116"/>
      <c r="I2266" s="118"/>
      <c r="J2266" s="118"/>
      <c r="L2266" s="125"/>
    </row>
    <row r="2267" spans="1:12" x14ac:dyDescent="0.25">
      <c r="A2267" s="115"/>
      <c r="B2267" s="115"/>
      <c r="C2267" s="115"/>
      <c r="D2267" s="115"/>
      <c r="E2267" s="115"/>
      <c r="F2267" s="115"/>
      <c r="G2267" s="116"/>
      <c r="I2267" s="118"/>
      <c r="J2267" s="118"/>
      <c r="L2267" s="125"/>
    </row>
    <row r="2268" spans="1:12" x14ac:dyDescent="0.25">
      <c r="A2268" s="115"/>
      <c r="B2268" s="115"/>
      <c r="C2268" s="115"/>
      <c r="D2268" s="115"/>
      <c r="E2268" s="115"/>
      <c r="F2268" s="115"/>
      <c r="G2268" s="116"/>
      <c r="I2268" s="118"/>
      <c r="J2268" s="118"/>
      <c r="L2268" s="125"/>
    </row>
    <row r="2269" spans="1:12" x14ac:dyDescent="0.25">
      <c r="A2269" s="115"/>
      <c r="B2269" s="115"/>
      <c r="C2269" s="115"/>
      <c r="D2269" s="115"/>
      <c r="E2269" s="115"/>
      <c r="F2269" s="115"/>
      <c r="G2269" s="116"/>
      <c r="I2269" s="118"/>
      <c r="J2269" s="118"/>
      <c r="L2269" s="125"/>
    </row>
    <row r="2270" spans="1:12" x14ac:dyDescent="0.25">
      <c r="A2270" s="115"/>
      <c r="B2270" s="115"/>
      <c r="C2270" s="115"/>
      <c r="D2270" s="115"/>
      <c r="E2270" s="115"/>
      <c r="F2270" s="115"/>
      <c r="G2270" s="116"/>
      <c r="I2270" s="118"/>
      <c r="J2270" s="118"/>
      <c r="L2270" s="125"/>
    </row>
    <row r="2271" spans="1:12" x14ac:dyDescent="0.25">
      <c r="A2271" s="115"/>
      <c r="B2271" s="115"/>
      <c r="C2271" s="115"/>
      <c r="D2271" s="115"/>
      <c r="E2271" s="115"/>
      <c r="F2271" s="115"/>
      <c r="G2271" s="116"/>
      <c r="I2271" s="118"/>
      <c r="J2271" s="118"/>
      <c r="L2271" s="125"/>
    </row>
    <row r="2272" spans="1:12" x14ac:dyDescent="0.25">
      <c r="A2272" s="115"/>
      <c r="B2272" s="115"/>
      <c r="C2272" s="115"/>
      <c r="D2272" s="115"/>
      <c r="E2272" s="115"/>
      <c r="F2272" s="115"/>
      <c r="G2272" s="116"/>
      <c r="I2272" s="118"/>
      <c r="J2272" s="118"/>
      <c r="L2272" s="125"/>
    </row>
    <row r="2273" spans="1:12" x14ac:dyDescent="0.25">
      <c r="A2273" s="115"/>
      <c r="B2273" s="115"/>
      <c r="C2273" s="115"/>
      <c r="D2273" s="115"/>
      <c r="E2273" s="115"/>
      <c r="F2273" s="115"/>
      <c r="G2273" s="116"/>
      <c r="I2273" s="118"/>
      <c r="J2273" s="118"/>
      <c r="L2273" s="125"/>
    </row>
    <row r="2274" spans="1:12" x14ac:dyDescent="0.25">
      <c r="A2274" s="115"/>
      <c r="B2274" s="115"/>
      <c r="C2274" s="115"/>
      <c r="D2274" s="115"/>
      <c r="E2274" s="115"/>
      <c r="F2274" s="115"/>
      <c r="G2274" s="116"/>
      <c r="I2274" s="118"/>
      <c r="J2274" s="118"/>
      <c r="L2274" s="125"/>
    </row>
    <row r="2275" spans="1:12" x14ac:dyDescent="0.25">
      <c r="A2275" s="115"/>
      <c r="B2275" s="115"/>
      <c r="C2275" s="115"/>
      <c r="D2275" s="115"/>
      <c r="E2275" s="115"/>
      <c r="F2275" s="115"/>
      <c r="G2275" s="116"/>
      <c r="I2275" s="118"/>
      <c r="J2275" s="118"/>
      <c r="L2275" s="125"/>
    </row>
    <row r="2276" spans="1:12" x14ac:dyDescent="0.25">
      <c r="A2276" s="115"/>
      <c r="B2276" s="115"/>
      <c r="C2276" s="115"/>
      <c r="D2276" s="115"/>
      <c r="E2276" s="115"/>
      <c r="F2276" s="115"/>
      <c r="G2276" s="116"/>
      <c r="I2276" s="118"/>
      <c r="J2276" s="118"/>
      <c r="L2276" s="125"/>
    </row>
    <row r="2277" spans="1:12" x14ac:dyDescent="0.25">
      <c r="A2277" s="115"/>
      <c r="B2277" s="115"/>
      <c r="C2277" s="115"/>
      <c r="D2277" s="115"/>
      <c r="E2277" s="115"/>
      <c r="F2277" s="115"/>
      <c r="G2277" s="116"/>
      <c r="I2277" s="118"/>
      <c r="J2277" s="118"/>
      <c r="L2277" s="125"/>
    </row>
    <row r="2278" spans="1:12" x14ac:dyDescent="0.25">
      <c r="A2278" s="115"/>
      <c r="B2278" s="115"/>
      <c r="C2278" s="115"/>
      <c r="D2278" s="115"/>
      <c r="E2278" s="115"/>
      <c r="F2278" s="115"/>
      <c r="G2278" s="116"/>
      <c r="I2278" s="118"/>
      <c r="J2278" s="118"/>
      <c r="L2278" s="125"/>
    </row>
    <row r="2279" spans="1:12" x14ac:dyDescent="0.25">
      <c r="A2279" s="115"/>
      <c r="B2279" s="115"/>
      <c r="C2279" s="115"/>
      <c r="D2279" s="115"/>
      <c r="E2279" s="115"/>
      <c r="F2279" s="115"/>
      <c r="G2279" s="116"/>
      <c r="I2279" s="118"/>
      <c r="J2279" s="118"/>
      <c r="L2279" s="125"/>
    </row>
    <row r="2280" spans="1:12" x14ac:dyDescent="0.25">
      <c r="A2280" s="115"/>
      <c r="B2280" s="115"/>
      <c r="C2280" s="115"/>
      <c r="D2280" s="115"/>
      <c r="E2280" s="115"/>
      <c r="F2280" s="115"/>
      <c r="G2280" s="116"/>
      <c r="I2280" s="118"/>
      <c r="J2280" s="118"/>
      <c r="L2280" s="125"/>
    </row>
    <row r="2281" spans="1:12" x14ac:dyDescent="0.25">
      <c r="A2281" s="115"/>
      <c r="B2281" s="115"/>
      <c r="C2281" s="115"/>
      <c r="D2281" s="115"/>
      <c r="E2281" s="115"/>
      <c r="F2281" s="115"/>
      <c r="G2281" s="116"/>
      <c r="I2281" s="118"/>
      <c r="J2281" s="118"/>
      <c r="L2281" s="125"/>
    </row>
    <row r="2282" spans="1:12" x14ac:dyDescent="0.25">
      <c r="A2282" s="115"/>
      <c r="B2282" s="115"/>
      <c r="C2282" s="115"/>
      <c r="D2282" s="115"/>
      <c r="E2282" s="115"/>
      <c r="F2282" s="115"/>
      <c r="G2282" s="116"/>
      <c r="I2282" s="118"/>
      <c r="J2282" s="118"/>
      <c r="L2282" s="125"/>
    </row>
    <row r="2283" spans="1:12" x14ac:dyDescent="0.25">
      <c r="A2283" s="115"/>
      <c r="B2283" s="115"/>
      <c r="C2283" s="115"/>
      <c r="D2283" s="115"/>
      <c r="E2283" s="115"/>
      <c r="F2283" s="115"/>
      <c r="G2283" s="116"/>
      <c r="I2283" s="118"/>
      <c r="J2283" s="118"/>
      <c r="L2283" s="125"/>
    </row>
    <row r="2284" spans="1:12" x14ac:dyDescent="0.25">
      <c r="A2284" s="115"/>
      <c r="B2284" s="115"/>
      <c r="C2284" s="115"/>
      <c r="D2284" s="115"/>
      <c r="E2284" s="115"/>
      <c r="F2284" s="115"/>
      <c r="G2284" s="116"/>
      <c r="I2284" s="118"/>
      <c r="J2284" s="118"/>
      <c r="L2284" s="125"/>
    </row>
    <row r="2285" spans="1:12" x14ac:dyDescent="0.25">
      <c r="A2285" s="115"/>
      <c r="B2285" s="115"/>
      <c r="C2285" s="115"/>
      <c r="D2285" s="115"/>
      <c r="E2285" s="115"/>
      <c r="F2285" s="115"/>
      <c r="G2285" s="116"/>
      <c r="I2285" s="118"/>
      <c r="J2285" s="118"/>
      <c r="L2285" s="125"/>
    </row>
    <row r="2286" spans="1:12" x14ac:dyDescent="0.25">
      <c r="A2286" s="115"/>
      <c r="B2286" s="115"/>
      <c r="C2286" s="115"/>
      <c r="D2286" s="115"/>
      <c r="E2286" s="115"/>
      <c r="F2286" s="115"/>
      <c r="G2286" s="116"/>
      <c r="I2286" s="118"/>
      <c r="J2286" s="118"/>
      <c r="L2286" s="125"/>
    </row>
    <row r="2287" spans="1:12" x14ac:dyDescent="0.25">
      <c r="A2287" s="115"/>
      <c r="B2287" s="115"/>
      <c r="C2287" s="115"/>
      <c r="D2287" s="115"/>
      <c r="E2287" s="115"/>
      <c r="F2287" s="115"/>
      <c r="G2287" s="116"/>
      <c r="I2287" s="118"/>
      <c r="J2287" s="118"/>
      <c r="L2287" s="125"/>
    </row>
    <row r="2288" spans="1:12" x14ac:dyDescent="0.25">
      <c r="A2288" s="115"/>
      <c r="B2288" s="115"/>
      <c r="C2288" s="115"/>
      <c r="D2288" s="115"/>
      <c r="E2288" s="115"/>
      <c r="F2288" s="115"/>
      <c r="G2288" s="116"/>
      <c r="I2288" s="118"/>
      <c r="J2288" s="118"/>
      <c r="L2288" s="125"/>
    </row>
    <row r="2289" spans="1:12" x14ac:dyDescent="0.25">
      <c r="A2289" s="115"/>
      <c r="B2289" s="115"/>
      <c r="C2289" s="115"/>
      <c r="D2289" s="115"/>
      <c r="E2289" s="115"/>
      <c r="F2289" s="115"/>
      <c r="G2289" s="116"/>
      <c r="I2289" s="118"/>
      <c r="J2289" s="118"/>
      <c r="L2289" s="125"/>
    </row>
    <row r="2290" spans="1:12" x14ac:dyDescent="0.25">
      <c r="A2290" s="115"/>
      <c r="B2290" s="115"/>
      <c r="C2290" s="115"/>
      <c r="D2290" s="115"/>
      <c r="E2290" s="115"/>
      <c r="F2290" s="115"/>
      <c r="G2290" s="116"/>
      <c r="I2290" s="118"/>
      <c r="J2290" s="118"/>
      <c r="L2290" s="125"/>
    </row>
    <row r="2291" spans="1:12" x14ac:dyDescent="0.25">
      <c r="A2291" s="115"/>
      <c r="B2291" s="115"/>
      <c r="C2291" s="115"/>
      <c r="D2291" s="115"/>
      <c r="E2291" s="115"/>
      <c r="F2291" s="115"/>
      <c r="G2291" s="116"/>
      <c r="I2291" s="118"/>
      <c r="J2291" s="118"/>
      <c r="L2291" s="125"/>
    </row>
    <row r="2292" spans="1:12" x14ac:dyDescent="0.25">
      <c r="A2292" s="115"/>
      <c r="B2292" s="115"/>
      <c r="C2292" s="115"/>
      <c r="D2292" s="115"/>
      <c r="E2292" s="115"/>
      <c r="F2292" s="115"/>
      <c r="G2292" s="116"/>
      <c r="I2292" s="118"/>
      <c r="J2292" s="118"/>
      <c r="L2292" s="125"/>
    </row>
    <row r="2293" spans="1:12" x14ac:dyDescent="0.25">
      <c r="A2293" s="115"/>
      <c r="B2293" s="115"/>
      <c r="C2293" s="115"/>
      <c r="D2293" s="115"/>
      <c r="E2293" s="115"/>
      <c r="F2293" s="115"/>
      <c r="G2293" s="116"/>
      <c r="I2293" s="118"/>
      <c r="J2293" s="118"/>
      <c r="L2293" s="125"/>
    </row>
    <row r="2294" spans="1:12" x14ac:dyDescent="0.25">
      <c r="A2294" s="115"/>
      <c r="B2294" s="115"/>
      <c r="C2294" s="115"/>
      <c r="D2294" s="115"/>
      <c r="E2294" s="115"/>
      <c r="F2294" s="115"/>
      <c r="G2294" s="116"/>
      <c r="I2294" s="118"/>
      <c r="J2294" s="118"/>
      <c r="L2294" s="125"/>
    </row>
    <row r="2295" spans="1:12" x14ac:dyDescent="0.25">
      <c r="A2295" s="115"/>
      <c r="B2295" s="115"/>
      <c r="C2295" s="115"/>
      <c r="D2295" s="115"/>
      <c r="E2295" s="115"/>
      <c r="F2295" s="115"/>
      <c r="G2295" s="116"/>
      <c r="I2295" s="118"/>
      <c r="J2295" s="118"/>
      <c r="L2295" s="125"/>
    </row>
    <row r="2296" spans="1:12" x14ac:dyDescent="0.25">
      <c r="A2296" s="115"/>
      <c r="B2296" s="115"/>
      <c r="C2296" s="115"/>
      <c r="D2296" s="115"/>
      <c r="E2296" s="115"/>
      <c r="F2296" s="115"/>
      <c r="G2296" s="116"/>
      <c r="I2296" s="118"/>
      <c r="J2296" s="118"/>
      <c r="L2296" s="125"/>
    </row>
    <row r="2297" spans="1:12" x14ac:dyDescent="0.25">
      <c r="A2297" s="115"/>
      <c r="B2297" s="115"/>
      <c r="C2297" s="115"/>
      <c r="D2297" s="115"/>
      <c r="E2297" s="115"/>
      <c r="F2297" s="115"/>
      <c r="G2297" s="116"/>
      <c r="I2297" s="118"/>
      <c r="J2297" s="118"/>
      <c r="L2297" s="125"/>
    </row>
    <row r="2298" spans="1:12" x14ac:dyDescent="0.25">
      <c r="A2298" s="115"/>
      <c r="B2298" s="115"/>
      <c r="C2298" s="115"/>
      <c r="D2298" s="115"/>
      <c r="E2298" s="115"/>
      <c r="F2298" s="115"/>
      <c r="G2298" s="116"/>
      <c r="I2298" s="118"/>
      <c r="J2298" s="118"/>
      <c r="L2298" s="125"/>
    </row>
    <row r="2299" spans="1:12" x14ac:dyDescent="0.25">
      <c r="A2299" s="115"/>
      <c r="B2299" s="115"/>
      <c r="C2299" s="115"/>
      <c r="D2299" s="115"/>
      <c r="E2299" s="115"/>
      <c r="F2299" s="115"/>
      <c r="G2299" s="116"/>
      <c r="I2299" s="118"/>
      <c r="J2299" s="118"/>
      <c r="L2299" s="125"/>
    </row>
    <row r="2300" spans="1:12" x14ac:dyDescent="0.25">
      <c r="A2300" s="115"/>
      <c r="B2300" s="115"/>
      <c r="C2300" s="115"/>
      <c r="D2300" s="115"/>
      <c r="E2300" s="115"/>
      <c r="F2300" s="115"/>
      <c r="G2300" s="116"/>
      <c r="I2300" s="118"/>
      <c r="J2300" s="118"/>
      <c r="L2300" s="125"/>
    </row>
    <row r="2301" spans="1:12" x14ac:dyDescent="0.25">
      <c r="A2301" s="115"/>
      <c r="B2301" s="115"/>
      <c r="C2301" s="115"/>
      <c r="D2301" s="115"/>
      <c r="E2301" s="115"/>
      <c r="F2301" s="115"/>
      <c r="G2301" s="116"/>
      <c r="I2301" s="118"/>
      <c r="J2301" s="118"/>
      <c r="L2301" s="125"/>
    </row>
    <row r="2302" spans="1:12" x14ac:dyDescent="0.25">
      <c r="A2302" s="115"/>
      <c r="B2302" s="115"/>
      <c r="C2302" s="115"/>
      <c r="D2302" s="115"/>
      <c r="E2302" s="115"/>
      <c r="F2302" s="115"/>
      <c r="G2302" s="116"/>
      <c r="I2302" s="118"/>
      <c r="J2302" s="118"/>
      <c r="L2302" s="125"/>
    </row>
    <row r="2303" spans="1:12" x14ac:dyDescent="0.25">
      <c r="A2303" s="115"/>
      <c r="B2303" s="115"/>
      <c r="C2303" s="115"/>
      <c r="D2303" s="115"/>
      <c r="E2303" s="115"/>
      <c r="F2303" s="115"/>
      <c r="G2303" s="116"/>
      <c r="I2303" s="118"/>
      <c r="J2303" s="118"/>
      <c r="L2303" s="125"/>
    </row>
    <row r="2304" spans="1:12" x14ac:dyDescent="0.25">
      <c r="A2304" s="115"/>
      <c r="B2304" s="115"/>
      <c r="C2304" s="115"/>
      <c r="D2304" s="115"/>
      <c r="E2304" s="115"/>
      <c r="F2304" s="115"/>
      <c r="G2304" s="116"/>
      <c r="I2304" s="118"/>
      <c r="J2304" s="118"/>
      <c r="L2304" s="125"/>
    </row>
    <row r="2305" spans="1:12" x14ac:dyDescent="0.25">
      <c r="A2305" s="115"/>
      <c r="B2305" s="115"/>
      <c r="C2305" s="115"/>
      <c r="D2305" s="115"/>
      <c r="E2305" s="115"/>
      <c r="F2305" s="115"/>
      <c r="G2305" s="116"/>
      <c r="I2305" s="118"/>
      <c r="J2305" s="118"/>
      <c r="L2305" s="125"/>
    </row>
    <row r="2306" spans="1:12" x14ac:dyDescent="0.25">
      <c r="A2306" s="115"/>
      <c r="B2306" s="115"/>
      <c r="C2306" s="115"/>
      <c r="D2306" s="115"/>
      <c r="E2306" s="115"/>
      <c r="F2306" s="115"/>
      <c r="G2306" s="116"/>
      <c r="I2306" s="118"/>
      <c r="J2306" s="118"/>
      <c r="L2306" s="125"/>
    </row>
    <row r="2307" spans="1:12" x14ac:dyDescent="0.25">
      <c r="A2307" s="115"/>
      <c r="B2307" s="115"/>
      <c r="C2307" s="115"/>
      <c r="D2307" s="115"/>
      <c r="E2307" s="115"/>
      <c r="F2307" s="115"/>
      <c r="G2307" s="116"/>
      <c r="I2307" s="118"/>
      <c r="J2307" s="118"/>
      <c r="L2307" s="125"/>
    </row>
    <row r="2308" spans="1:12" x14ac:dyDescent="0.25">
      <c r="A2308" s="115"/>
      <c r="B2308" s="115"/>
      <c r="C2308" s="115"/>
      <c r="D2308" s="115"/>
      <c r="E2308" s="115"/>
      <c r="F2308" s="115"/>
      <c r="G2308" s="116"/>
      <c r="I2308" s="118"/>
      <c r="J2308" s="118"/>
      <c r="L2308" s="125"/>
    </row>
    <row r="2309" spans="1:12" x14ac:dyDescent="0.25">
      <c r="A2309" s="115"/>
      <c r="B2309" s="115"/>
      <c r="C2309" s="115"/>
      <c r="D2309" s="115"/>
      <c r="E2309" s="115"/>
      <c r="F2309" s="115"/>
      <c r="G2309" s="116"/>
      <c r="I2309" s="118"/>
      <c r="J2309" s="118"/>
      <c r="L2309" s="125"/>
    </row>
    <row r="2310" spans="1:12" x14ac:dyDescent="0.25">
      <c r="A2310" s="115"/>
      <c r="B2310" s="115"/>
      <c r="C2310" s="115"/>
      <c r="D2310" s="115"/>
      <c r="E2310" s="115"/>
      <c r="F2310" s="115"/>
      <c r="G2310" s="116"/>
      <c r="I2310" s="118"/>
      <c r="J2310" s="118"/>
      <c r="L2310" s="125"/>
    </row>
    <row r="2311" spans="1:12" x14ac:dyDescent="0.25">
      <c r="A2311" s="115"/>
      <c r="B2311" s="115"/>
      <c r="C2311" s="115"/>
      <c r="D2311" s="115"/>
      <c r="E2311" s="115"/>
      <c r="F2311" s="115"/>
      <c r="G2311" s="116"/>
      <c r="I2311" s="118"/>
      <c r="J2311" s="118"/>
      <c r="L2311" s="125"/>
    </row>
    <row r="2312" spans="1:12" x14ac:dyDescent="0.25">
      <c r="A2312" s="115"/>
      <c r="B2312" s="115"/>
      <c r="C2312" s="115"/>
      <c r="D2312" s="115"/>
      <c r="E2312" s="115"/>
      <c r="F2312" s="115"/>
      <c r="G2312" s="116"/>
      <c r="I2312" s="118"/>
      <c r="J2312" s="118"/>
      <c r="L2312" s="125"/>
    </row>
    <row r="2313" spans="1:12" x14ac:dyDescent="0.25">
      <c r="A2313" s="115"/>
      <c r="B2313" s="115"/>
      <c r="C2313" s="115"/>
      <c r="D2313" s="115"/>
      <c r="E2313" s="115"/>
      <c r="F2313" s="115"/>
      <c r="G2313" s="116"/>
      <c r="I2313" s="118"/>
      <c r="J2313" s="118"/>
      <c r="L2313" s="125"/>
    </row>
    <row r="2314" spans="1:12" x14ac:dyDescent="0.25">
      <c r="A2314" s="115"/>
      <c r="B2314" s="115"/>
      <c r="C2314" s="115"/>
      <c r="D2314" s="115"/>
      <c r="E2314" s="115"/>
      <c r="F2314" s="115"/>
      <c r="G2314" s="116"/>
      <c r="I2314" s="118"/>
      <c r="J2314" s="118"/>
      <c r="L2314" s="125"/>
    </row>
    <row r="2315" spans="1:12" x14ac:dyDescent="0.25">
      <c r="A2315" s="115"/>
      <c r="B2315" s="115"/>
      <c r="C2315" s="115"/>
      <c r="D2315" s="115"/>
      <c r="E2315" s="115"/>
      <c r="F2315" s="115"/>
      <c r="G2315" s="116"/>
      <c r="I2315" s="118"/>
      <c r="J2315" s="118"/>
      <c r="L2315" s="125"/>
    </row>
    <row r="2316" spans="1:12" x14ac:dyDescent="0.25">
      <c r="A2316" s="115"/>
      <c r="B2316" s="115"/>
      <c r="C2316" s="115"/>
      <c r="D2316" s="115"/>
      <c r="E2316" s="115"/>
      <c r="F2316" s="115"/>
      <c r="G2316" s="116"/>
      <c r="I2316" s="118"/>
      <c r="J2316" s="118"/>
      <c r="L2316" s="125"/>
    </row>
    <row r="2317" spans="1:12" x14ac:dyDescent="0.25">
      <c r="A2317" s="115"/>
      <c r="B2317" s="115"/>
      <c r="C2317" s="115"/>
      <c r="D2317" s="115"/>
      <c r="E2317" s="115"/>
      <c r="F2317" s="115"/>
      <c r="G2317" s="116"/>
      <c r="I2317" s="118"/>
      <c r="J2317" s="118"/>
      <c r="L2317" s="125"/>
    </row>
    <row r="2318" spans="1:12" x14ac:dyDescent="0.25">
      <c r="A2318" s="115"/>
      <c r="B2318" s="115"/>
      <c r="C2318" s="115"/>
      <c r="D2318" s="115"/>
      <c r="E2318" s="115"/>
      <c r="F2318" s="115"/>
      <c r="G2318" s="116"/>
      <c r="I2318" s="118"/>
      <c r="J2318" s="118"/>
      <c r="L2318" s="125"/>
    </row>
    <row r="2319" spans="1:12" x14ac:dyDescent="0.25">
      <c r="A2319" s="115"/>
      <c r="B2319" s="115"/>
      <c r="C2319" s="115"/>
      <c r="D2319" s="115"/>
      <c r="E2319" s="115"/>
      <c r="F2319" s="115"/>
      <c r="G2319" s="116"/>
      <c r="I2319" s="118"/>
      <c r="J2319" s="118"/>
      <c r="L2319" s="125"/>
    </row>
    <row r="2320" spans="1:12" x14ac:dyDescent="0.25">
      <c r="A2320" s="115"/>
      <c r="B2320" s="115"/>
      <c r="C2320" s="115"/>
      <c r="D2320" s="115"/>
      <c r="E2320" s="115"/>
      <c r="F2320" s="115"/>
      <c r="G2320" s="116"/>
      <c r="I2320" s="118"/>
      <c r="J2320" s="118"/>
      <c r="L2320" s="125"/>
    </row>
    <row r="2321" spans="1:12" x14ac:dyDescent="0.25">
      <c r="A2321" s="115"/>
      <c r="B2321" s="115"/>
      <c r="C2321" s="115"/>
      <c r="D2321" s="115"/>
      <c r="E2321" s="115"/>
      <c r="F2321" s="115"/>
      <c r="G2321" s="116"/>
      <c r="I2321" s="118"/>
      <c r="J2321" s="118"/>
      <c r="L2321" s="125"/>
    </row>
    <row r="2322" spans="1:12" x14ac:dyDescent="0.25">
      <c r="A2322" s="115"/>
      <c r="B2322" s="115"/>
      <c r="C2322" s="115"/>
      <c r="D2322" s="115"/>
      <c r="E2322" s="115"/>
      <c r="F2322" s="115"/>
      <c r="G2322" s="116"/>
      <c r="I2322" s="118"/>
      <c r="J2322" s="118"/>
      <c r="L2322" s="125"/>
    </row>
    <row r="2323" spans="1:12" x14ac:dyDescent="0.25">
      <c r="A2323" s="115"/>
      <c r="B2323" s="115"/>
      <c r="C2323" s="115"/>
      <c r="D2323" s="115"/>
      <c r="E2323" s="115"/>
      <c r="F2323" s="115"/>
      <c r="G2323" s="116"/>
      <c r="I2323" s="118"/>
      <c r="J2323" s="118"/>
      <c r="L2323" s="125"/>
    </row>
    <row r="2324" spans="1:12" x14ac:dyDescent="0.25">
      <c r="A2324" s="115"/>
      <c r="B2324" s="115"/>
      <c r="C2324" s="115"/>
      <c r="D2324" s="115"/>
      <c r="E2324" s="115"/>
      <c r="F2324" s="115"/>
      <c r="G2324" s="116"/>
      <c r="I2324" s="118"/>
      <c r="J2324" s="118"/>
      <c r="L2324" s="125"/>
    </row>
    <row r="2325" spans="1:12" x14ac:dyDescent="0.25">
      <c r="A2325" s="115"/>
      <c r="B2325" s="115"/>
      <c r="C2325" s="115"/>
      <c r="D2325" s="115"/>
      <c r="E2325" s="115"/>
      <c r="F2325" s="115"/>
      <c r="G2325" s="116"/>
      <c r="I2325" s="118"/>
      <c r="J2325" s="118"/>
      <c r="L2325" s="125"/>
    </row>
    <row r="2326" spans="1:12" x14ac:dyDescent="0.25">
      <c r="A2326" s="115"/>
      <c r="B2326" s="115"/>
      <c r="C2326" s="115"/>
      <c r="D2326" s="115"/>
      <c r="E2326" s="115"/>
      <c r="F2326" s="115"/>
      <c r="G2326" s="116"/>
      <c r="I2326" s="118"/>
      <c r="J2326" s="118"/>
      <c r="L2326" s="125"/>
    </row>
    <row r="2327" spans="1:12" x14ac:dyDescent="0.25">
      <c r="A2327" s="115"/>
      <c r="B2327" s="115"/>
      <c r="C2327" s="115"/>
      <c r="D2327" s="115"/>
      <c r="E2327" s="115"/>
      <c r="F2327" s="115"/>
      <c r="G2327" s="116"/>
      <c r="I2327" s="118"/>
      <c r="J2327" s="118"/>
      <c r="L2327" s="125"/>
    </row>
    <row r="2328" spans="1:12" x14ac:dyDescent="0.25">
      <c r="A2328" s="115"/>
      <c r="B2328" s="115"/>
      <c r="C2328" s="115"/>
      <c r="D2328" s="115"/>
      <c r="E2328" s="115"/>
      <c r="F2328" s="115"/>
      <c r="G2328" s="116"/>
      <c r="I2328" s="118"/>
      <c r="J2328" s="118"/>
      <c r="L2328" s="125"/>
    </row>
    <row r="2329" spans="1:12" x14ac:dyDescent="0.25">
      <c r="A2329" s="115"/>
      <c r="B2329" s="115"/>
      <c r="C2329" s="115"/>
      <c r="D2329" s="115"/>
      <c r="E2329" s="115"/>
      <c r="F2329" s="115"/>
      <c r="G2329" s="116"/>
      <c r="I2329" s="118"/>
      <c r="J2329" s="118"/>
      <c r="L2329" s="125"/>
    </row>
    <row r="2330" spans="1:12" x14ac:dyDescent="0.25">
      <c r="A2330" s="115"/>
      <c r="B2330" s="115"/>
      <c r="C2330" s="115"/>
      <c r="D2330" s="115"/>
      <c r="E2330" s="115"/>
      <c r="F2330" s="115"/>
      <c r="G2330" s="116"/>
      <c r="I2330" s="118"/>
      <c r="J2330" s="118"/>
      <c r="L2330" s="125"/>
    </row>
    <row r="2331" spans="1:12" x14ac:dyDescent="0.25">
      <c r="A2331" s="115"/>
      <c r="B2331" s="115"/>
      <c r="C2331" s="115"/>
      <c r="D2331" s="115"/>
      <c r="E2331" s="115"/>
      <c r="F2331" s="115"/>
      <c r="G2331" s="116"/>
      <c r="I2331" s="118"/>
      <c r="J2331" s="118"/>
      <c r="L2331" s="125"/>
    </row>
    <row r="2332" spans="1:12" x14ac:dyDescent="0.25">
      <c r="A2332" s="115"/>
      <c r="B2332" s="115"/>
      <c r="C2332" s="115"/>
      <c r="D2332" s="115"/>
      <c r="E2332" s="115"/>
      <c r="F2332" s="115"/>
      <c r="G2332" s="116"/>
      <c r="I2332" s="118"/>
      <c r="J2332" s="118"/>
      <c r="L2332" s="125"/>
    </row>
    <row r="2333" spans="1:12" x14ac:dyDescent="0.25">
      <c r="A2333" s="115"/>
      <c r="B2333" s="115"/>
      <c r="C2333" s="115"/>
      <c r="D2333" s="115"/>
      <c r="E2333" s="115"/>
      <c r="F2333" s="115"/>
      <c r="G2333" s="116"/>
      <c r="I2333" s="118"/>
      <c r="J2333" s="118"/>
      <c r="L2333" s="125"/>
    </row>
    <row r="2334" spans="1:12" x14ac:dyDescent="0.25">
      <c r="A2334" s="115"/>
      <c r="B2334" s="115"/>
      <c r="C2334" s="115"/>
      <c r="D2334" s="115"/>
      <c r="E2334" s="115"/>
      <c r="F2334" s="115"/>
      <c r="G2334" s="116"/>
      <c r="I2334" s="118"/>
      <c r="J2334" s="118"/>
      <c r="L2334" s="125"/>
    </row>
    <row r="2335" spans="1:12" x14ac:dyDescent="0.25">
      <c r="A2335" s="115"/>
      <c r="B2335" s="115"/>
      <c r="C2335" s="115"/>
      <c r="D2335" s="115"/>
      <c r="E2335" s="115"/>
      <c r="F2335" s="115"/>
      <c r="G2335" s="116"/>
      <c r="I2335" s="118"/>
      <c r="J2335" s="118"/>
      <c r="L2335" s="125"/>
    </row>
    <row r="2336" spans="1:12" x14ac:dyDescent="0.25">
      <c r="A2336" s="115"/>
      <c r="B2336" s="115"/>
      <c r="C2336" s="115"/>
      <c r="D2336" s="115"/>
      <c r="E2336" s="115"/>
      <c r="F2336" s="115"/>
      <c r="G2336" s="116"/>
      <c r="I2336" s="118"/>
      <c r="J2336" s="118"/>
      <c r="L2336" s="125"/>
    </row>
    <row r="2337" spans="1:12" x14ac:dyDescent="0.25">
      <c r="A2337" s="115"/>
      <c r="B2337" s="115"/>
      <c r="C2337" s="115"/>
      <c r="D2337" s="115"/>
      <c r="E2337" s="115"/>
      <c r="F2337" s="115"/>
      <c r="G2337" s="116"/>
      <c r="I2337" s="118"/>
      <c r="J2337" s="118"/>
      <c r="L2337" s="125"/>
    </row>
    <row r="2338" spans="1:12" x14ac:dyDescent="0.25">
      <c r="A2338" s="115"/>
      <c r="B2338" s="115"/>
      <c r="C2338" s="115"/>
      <c r="D2338" s="115"/>
      <c r="E2338" s="115"/>
      <c r="F2338" s="115"/>
      <c r="G2338" s="116"/>
      <c r="I2338" s="118"/>
      <c r="J2338" s="118"/>
      <c r="L2338" s="125"/>
    </row>
    <row r="2339" spans="1:12" x14ac:dyDescent="0.25">
      <c r="A2339" s="115"/>
      <c r="B2339" s="115"/>
      <c r="C2339" s="115"/>
      <c r="D2339" s="115"/>
      <c r="E2339" s="115"/>
      <c r="F2339" s="115"/>
      <c r="G2339" s="116"/>
      <c r="I2339" s="118"/>
      <c r="J2339" s="118"/>
      <c r="L2339" s="125"/>
    </row>
    <row r="2340" spans="1:12" x14ac:dyDescent="0.25">
      <c r="A2340" s="115"/>
      <c r="B2340" s="115"/>
      <c r="C2340" s="115"/>
      <c r="D2340" s="115"/>
      <c r="E2340" s="115"/>
      <c r="F2340" s="115"/>
      <c r="G2340" s="116"/>
      <c r="I2340" s="118"/>
      <c r="J2340" s="118"/>
      <c r="L2340" s="125"/>
    </row>
    <row r="2341" spans="1:12" x14ac:dyDescent="0.25">
      <c r="A2341" s="115"/>
      <c r="B2341" s="115"/>
      <c r="C2341" s="115"/>
      <c r="D2341" s="115"/>
      <c r="E2341" s="115"/>
      <c r="F2341" s="115"/>
      <c r="G2341" s="116"/>
      <c r="I2341" s="118"/>
      <c r="J2341" s="118"/>
      <c r="L2341" s="125"/>
    </row>
    <row r="2342" spans="1:12" x14ac:dyDescent="0.25">
      <c r="A2342" s="115"/>
      <c r="B2342" s="115"/>
      <c r="C2342" s="115"/>
      <c r="D2342" s="115"/>
      <c r="E2342" s="115"/>
      <c r="F2342" s="115"/>
      <c r="G2342" s="116"/>
      <c r="I2342" s="118"/>
      <c r="J2342" s="118"/>
      <c r="L2342" s="125"/>
    </row>
    <row r="2343" spans="1:12" x14ac:dyDescent="0.25">
      <c r="A2343" s="115"/>
      <c r="B2343" s="115"/>
      <c r="C2343" s="115"/>
      <c r="D2343" s="115"/>
      <c r="E2343" s="115"/>
      <c r="F2343" s="115"/>
      <c r="G2343" s="116"/>
      <c r="I2343" s="118"/>
      <c r="J2343" s="118"/>
      <c r="L2343" s="125"/>
    </row>
    <row r="2344" spans="1:12" x14ac:dyDescent="0.25">
      <c r="A2344" s="115"/>
      <c r="B2344" s="115"/>
      <c r="C2344" s="115"/>
      <c r="D2344" s="115"/>
      <c r="E2344" s="115"/>
      <c r="F2344" s="115"/>
      <c r="G2344" s="116"/>
      <c r="I2344" s="118"/>
      <c r="J2344" s="118"/>
      <c r="L2344" s="125"/>
    </row>
    <row r="2345" spans="1:12" x14ac:dyDescent="0.25">
      <c r="A2345" s="115"/>
      <c r="B2345" s="115"/>
      <c r="C2345" s="115"/>
      <c r="D2345" s="115"/>
      <c r="E2345" s="115"/>
      <c r="F2345" s="115"/>
      <c r="G2345" s="116"/>
      <c r="I2345" s="118"/>
      <c r="J2345" s="118"/>
      <c r="L2345" s="125"/>
    </row>
    <row r="2346" spans="1:12" x14ac:dyDescent="0.25">
      <c r="A2346" s="115"/>
      <c r="B2346" s="115"/>
      <c r="C2346" s="115"/>
      <c r="D2346" s="115"/>
      <c r="E2346" s="115"/>
      <c r="F2346" s="115"/>
      <c r="G2346" s="116"/>
      <c r="I2346" s="118"/>
      <c r="J2346" s="118"/>
      <c r="L2346" s="125"/>
    </row>
    <row r="2347" spans="1:12" x14ac:dyDescent="0.25">
      <c r="A2347" s="115"/>
      <c r="B2347" s="115"/>
      <c r="C2347" s="115"/>
      <c r="D2347" s="115"/>
      <c r="E2347" s="115"/>
      <c r="F2347" s="115"/>
      <c r="G2347" s="116"/>
      <c r="I2347" s="118"/>
      <c r="J2347" s="118"/>
      <c r="L2347" s="125"/>
    </row>
    <row r="2348" spans="1:12" x14ac:dyDescent="0.25">
      <c r="A2348" s="115"/>
      <c r="B2348" s="115"/>
      <c r="C2348" s="115"/>
      <c r="D2348" s="115"/>
      <c r="E2348" s="115"/>
      <c r="F2348" s="115"/>
      <c r="G2348" s="116"/>
      <c r="I2348" s="118"/>
      <c r="J2348" s="118"/>
      <c r="L2348" s="125"/>
    </row>
    <row r="2349" spans="1:12" x14ac:dyDescent="0.25">
      <c r="A2349" s="115"/>
      <c r="B2349" s="115"/>
      <c r="C2349" s="115"/>
      <c r="D2349" s="115"/>
      <c r="E2349" s="115"/>
      <c r="F2349" s="115"/>
      <c r="G2349" s="116"/>
      <c r="I2349" s="118"/>
      <c r="J2349" s="118"/>
      <c r="L2349" s="125"/>
    </row>
    <row r="2350" spans="1:12" x14ac:dyDescent="0.25">
      <c r="A2350" s="115"/>
      <c r="B2350" s="115"/>
      <c r="C2350" s="115"/>
      <c r="D2350" s="115"/>
      <c r="E2350" s="115"/>
      <c r="F2350" s="115"/>
      <c r="G2350" s="116"/>
      <c r="I2350" s="118"/>
      <c r="J2350" s="118"/>
      <c r="L2350" s="125"/>
    </row>
    <row r="2351" spans="1:12" x14ac:dyDescent="0.25">
      <c r="A2351" s="115"/>
      <c r="B2351" s="115"/>
      <c r="C2351" s="115"/>
      <c r="D2351" s="115"/>
      <c r="E2351" s="115"/>
      <c r="F2351" s="115"/>
      <c r="G2351" s="116"/>
      <c r="I2351" s="118"/>
      <c r="J2351" s="118"/>
      <c r="L2351" s="125"/>
    </row>
    <row r="2352" spans="1:12" x14ac:dyDescent="0.25">
      <c r="A2352" s="115"/>
      <c r="B2352" s="115"/>
      <c r="C2352" s="115"/>
      <c r="D2352" s="115"/>
      <c r="E2352" s="115"/>
      <c r="F2352" s="115"/>
      <c r="G2352" s="116"/>
      <c r="I2352" s="118"/>
      <c r="J2352" s="118"/>
      <c r="L2352" s="125"/>
    </row>
    <row r="2353" spans="1:12" x14ac:dyDescent="0.25">
      <c r="A2353" s="115"/>
      <c r="B2353" s="115"/>
      <c r="C2353" s="115"/>
      <c r="D2353" s="115"/>
      <c r="E2353" s="115"/>
      <c r="F2353" s="115"/>
      <c r="G2353" s="116"/>
      <c r="I2353" s="118"/>
      <c r="J2353" s="118"/>
      <c r="L2353" s="125"/>
    </row>
    <row r="2354" spans="1:12" x14ac:dyDescent="0.25">
      <c r="A2354" s="115"/>
      <c r="B2354" s="115"/>
      <c r="C2354" s="115"/>
      <c r="D2354" s="115"/>
      <c r="E2354" s="115"/>
      <c r="F2354" s="115"/>
      <c r="G2354" s="116"/>
      <c r="I2354" s="118"/>
      <c r="J2354" s="118"/>
      <c r="L2354" s="125"/>
    </row>
    <row r="2355" spans="1:12" x14ac:dyDescent="0.25">
      <c r="A2355" s="115"/>
      <c r="B2355" s="115"/>
      <c r="C2355" s="115"/>
      <c r="D2355" s="115"/>
      <c r="E2355" s="115"/>
      <c r="F2355" s="115"/>
      <c r="G2355" s="116"/>
      <c r="I2355" s="118"/>
      <c r="J2355" s="118"/>
      <c r="L2355" s="125"/>
    </row>
    <row r="2356" spans="1:12" x14ac:dyDescent="0.25">
      <c r="A2356" s="115"/>
      <c r="B2356" s="115"/>
      <c r="C2356" s="115"/>
      <c r="D2356" s="115"/>
      <c r="E2356" s="115"/>
      <c r="F2356" s="115"/>
      <c r="G2356" s="116"/>
      <c r="I2356" s="118"/>
      <c r="J2356" s="118"/>
      <c r="L2356" s="125"/>
    </row>
    <row r="2357" spans="1:12" x14ac:dyDescent="0.25">
      <c r="A2357" s="115"/>
      <c r="B2357" s="115"/>
      <c r="C2357" s="115"/>
      <c r="D2357" s="115"/>
      <c r="E2357" s="115"/>
      <c r="F2357" s="115"/>
      <c r="G2357" s="116"/>
      <c r="I2357" s="118"/>
      <c r="J2357" s="118"/>
      <c r="L2357" s="125"/>
    </row>
    <row r="2358" spans="1:12" x14ac:dyDescent="0.25">
      <c r="A2358" s="115"/>
      <c r="B2358" s="115"/>
      <c r="C2358" s="115"/>
      <c r="D2358" s="115"/>
      <c r="E2358" s="115"/>
      <c r="F2358" s="115"/>
      <c r="G2358" s="116"/>
      <c r="I2358" s="118"/>
      <c r="J2358" s="118"/>
      <c r="L2358" s="125"/>
    </row>
    <row r="2359" spans="1:12" x14ac:dyDescent="0.25">
      <c r="A2359" s="115"/>
      <c r="B2359" s="115"/>
      <c r="C2359" s="115"/>
      <c r="D2359" s="115"/>
      <c r="E2359" s="115"/>
      <c r="F2359" s="115"/>
      <c r="G2359" s="116"/>
      <c r="I2359" s="118"/>
      <c r="J2359" s="118"/>
      <c r="L2359" s="125"/>
    </row>
    <row r="2360" spans="1:12" x14ac:dyDescent="0.25">
      <c r="A2360" s="115"/>
      <c r="B2360" s="115"/>
      <c r="C2360" s="115"/>
      <c r="D2360" s="115"/>
      <c r="E2360" s="115"/>
      <c r="F2360" s="115"/>
      <c r="G2360" s="116"/>
      <c r="I2360" s="118"/>
      <c r="J2360" s="118"/>
      <c r="L2360" s="125"/>
    </row>
    <row r="2361" spans="1:12" x14ac:dyDescent="0.25">
      <c r="A2361" s="115"/>
      <c r="B2361" s="115"/>
      <c r="C2361" s="115"/>
      <c r="D2361" s="115"/>
      <c r="E2361" s="115"/>
      <c r="F2361" s="115"/>
      <c r="G2361" s="116"/>
      <c r="I2361" s="118"/>
      <c r="J2361" s="118"/>
      <c r="L2361" s="125"/>
    </row>
    <row r="2362" spans="1:12" x14ac:dyDescent="0.25">
      <c r="A2362" s="115"/>
      <c r="B2362" s="115"/>
      <c r="C2362" s="115"/>
      <c r="D2362" s="115"/>
      <c r="E2362" s="115"/>
      <c r="F2362" s="115"/>
      <c r="G2362" s="116"/>
      <c r="I2362" s="118"/>
      <c r="J2362" s="118"/>
      <c r="L2362" s="125"/>
    </row>
    <row r="2363" spans="1:12" x14ac:dyDescent="0.25">
      <c r="A2363" s="115"/>
      <c r="B2363" s="115"/>
      <c r="C2363" s="115"/>
      <c r="D2363" s="115"/>
      <c r="E2363" s="115"/>
      <c r="F2363" s="115"/>
      <c r="G2363" s="116"/>
      <c r="I2363" s="118"/>
      <c r="J2363" s="118"/>
      <c r="L2363" s="125"/>
    </row>
    <row r="2364" spans="1:12" x14ac:dyDescent="0.25">
      <c r="A2364" s="115"/>
      <c r="B2364" s="115"/>
      <c r="C2364" s="115"/>
      <c r="D2364" s="115"/>
      <c r="E2364" s="115"/>
      <c r="F2364" s="115"/>
      <c r="G2364" s="116"/>
      <c r="I2364" s="118"/>
      <c r="J2364" s="118"/>
      <c r="L2364" s="125"/>
    </row>
    <row r="2365" spans="1:12" x14ac:dyDescent="0.25">
      <c r="A2365" s="115"/>
      <c r="B2365" s="115"/>
      <c r="C2365" s="115"/>
      <c r="D2365" s="115"/>
      <c r="E2365" s="115"/>
      <c r="F2365" s="115"/>
      <c r="G2365" s="116"/>
      <c r="I2365" s="118"/>
      <c r="J2365" s="118"/>
      <c r="L2365" s="125"/>
    </row>
    <row r="2366" spans="1:12" x14ac:dyDescent="0.25">
      <c r="A2366" s="115"/>
      <c r="B2366" s="115"/>
      <c r="C2366" s="115"/>
      <c r="D2366" s="115"/>
      <c r="E2366" s="115"/>
      <c r="F2366" s="115"/>
      <c r="G2366" s="116"/>
      <c r="I2366" s="118"/>
      <c r="J2366" s="118"/>
      <c r="L2366" s="125"/>
    </row>
    <row r="2367" spans="1:12" x14ac:dyDescent="0.25">
      <c r="A2367" s="115"/>
      <c r="B2367" s="115"/>
      <c r="C2367" s="115"/>
      <c r="D2367" s="115"/>
      <c r="E2367" s="115"/>
      <c r="F2367" s="115"/>
      <c r="G2367" s="116"/>
      <c r="I2367" s="118"/>
      <c r="J2367" s="118"/>
      <c r="L2367" s="125"/>
    </row>
    <row r="2368" spans="1:12" x14ac:dyDescent="0.25">
      <c r="A2368" s="115"/>
      <c r="B2368" s="115"/>
      <c r="C2368" s="115"/>
      <c r="D2368" s="115"/>
      <c r="E2368" s="115"/>
      <c r="F2368" s="115"/>
      <c r="G2368" s="116"/>
      <c r="I2368" s="118"/>
      <c r="J2368" s="118"/>
      <c r="L2368" s="125"/>
    </row>
    <row r="2369" spans="1:12" x14ac:dyDescent="0.25">
      <c r="A2369" s="115"/>
      <c r="B2369" s="115"/>
      <c r="C2369" s="115"/>
      <c r="D2369" s="115"/>
      <c r="E2369" s="115"/>
      <c r="F2369" s="115"/>
      <c r="G2369" s="116"/>
      <c r="I2369" s="118"/>
      <c r="J2369" s="118"/>
      <c r="L2369" s="125"/>
    </row>
    <row r="2370" spans="1:12" x14ac:dyDescent="0.25">
      <c r="A2370" s="115"/>
      <c r="B2370" s="115"/>
      <c r="C2370" s="115"/>
      <c r="D2370" s="115"/>
      <c r="E2370" s="115"/>
      <c r="F2370" s="115"/>
      <c r="G2370" s="116"/>
      <c r="I2370" s="118"/>
      <c r="J2370" s="118"/>
      <c r="L2370" s="125"/>
    </row>
    <row r="2371" spans="1:12" x14ac:dyDescent="0.25">
      <c r="A2371" s="115"/>
      <c r="B2371" s="115"/>
      <c r="C2371" s="115"/>
      <c r="D2371" s="115"/>
      <c r="E2371" s="115"/>
      <c r="F2371" s="115"/>
      <c r="G2371" s="116"/>
      <c r="I2371" s="118"/>
      <c r="J2371" s="118"/>
      <c r="L2371" s="125"/>
    </row>
    <row r="2372" spans="1:12" x14ac:dyDescent="0.25">
      <c r="A2372" s="115"/>
      <c r="B2372" s="115"/>
      <c r="C2372" s="115"/>
      <c r="D2372" s="115"/>
      <c r="E2372" s="115"/>
      <c r="F2372" s="115"/>
      <c r="G2372" s="116"/>
      <c r="I2372" s="118"/>
      <c r="J2372" s="118"/>
      <c r="L2372" s="125"/>
    </row>
    <row r="2373" spans="1:12" x14ac:dyDescent="0.25">
      <c r="A2373" s="115"/>
      <c r="B2373" s="115"/>
      <c r="C2373" s="115"/>
      <c r="D2373" s="115"/>
      <c r="E2373" s="115"/>
      <c r="F2373" s="115"/>
      <c r="G2373" s="116"/>
      <c r="I2373" s="118"/>
      <c r="J2373" s="118"/>
      <c r="L2373" s="125"/>
    </row>
    <row r="2374" spans="1:12" x14ac:dyDescent="0.25">
      <c r="A2374" s="115"/>
      <c r="B2374" s="115"/>
      <c r="C2374" s="115"/>
      <c r="D2374" s="115"/>
      <c r="E2374" s="115"/>
      <c r="F2374" s="115"/>
      <c r="G2374" s="116"/>
      <c r="I2374" s="118"/>
      <c r="J2374" s="118"/>
      <c r="L2374" s="125"/>
    </row>
    <row r="2375" spans="1:12" x14ac:dyDescent="0.25">
      <c r="A2375" s="115"/>
      <c r="B2375" s="115"/>
      <c r="C2375" s="115"/>
      <c r="D2375" s="115"/>
      <c r="E2375" s="115"/>
      <c r="F2375" s="115"/>
      <c r="G2375" s="116"/>
      <c r="I2375" s="118"/>
      <c r="J2375" s="118"/>
      <c r="L2375" s="125"/>
    </row>
    <row r="2376" spans="1:12" x14ac:dyDescent="0.25">
      <c r="A2376" s="115"/>
      <c r="B2376" s="115"/>
      <c r="C2376" s="115"/>
      <c r="D2376" s="115"/>
      <c r="E2376" s="115"/>
      <c r="F2376" s="115"/>
      <c r="G2376" s="116"/>
      <c r="I2376" s="118"/>
      <c r="J2376" s="118"/>
      <c r="L2376" s="125"/>
    </row>
    <row r="2377" spans="1:12" x14ac:dyDescent="0.25">
      <c r="A2377" s="115"/>
      <c r="B2377" s="115"/>
      <c r="C2377" s="115"/>
      <c r="D2377" s="115"/>
      <c r="E2377" s="115"/>
      <c r="F2377" s="115"/>
      <c r="G2377" s="116"/>
      <c r="I2377" s="118"/>
      <c r="J2377" s="118"/>
      <c r="L2377" s="125"/>
    </row>
    <row r="2378" spans="1:12" x14ac:dyDescent="0.25">
      <c r="A2378" s="115"/>
      <c r="B2378" s="115"/>
      <c r="C2378" s="115"/>
      <c r="D2378" s="115"/>
      <c r="E2378" s="115"/>
      <c r="F2378" s="115"/>
      <c r="G2378" s="116"/>
      <c r="I2378" s="118"/>
      <c r="J2378" s="118"/>
      <c r="L2378" s="125"/>
    </row>
    <row r="2379" spans="1:12" x14ac:dyDescent="0.25">
      <c r="A2379" s="115"/>
      <c r="B2379" s="115"/>
      <c r="C2379" s="115"/>
      <c r="D2379" s="115"/>
      <c r="E2379" s="115"/>
      <c r="F2379" s="115"/>
      <c r="G2379" s="116"/>
      <c r="I2379" s="118"/>
      <c r="J2379" s="118"/>
      <c r="L2379" s="125"/>
    </row>
    <row r="2380" spans="1:12" x14ac:dyDescent="0.25">
      <c r="A2380" s="115"/>
      <c r="B2380" s="115"/>
      <c r="C2380" s="115"/>
      <c r="D2380" s="115"/>
      <c r="E2380" s="115"/>
      <c r="F2380" s="115"/>
      <c r="G2380" s="116"/>
      <c r="I2380" s="118"/>
      <c r="J2380" s="118"/>
      <c r="L2380" s="125"/>
    </row>
    <row r="2381" spans="1:12" x14ac:dyDescent="0.25">
      <c r="A2381" s="115"/>
      <c r="B2381" s="115"/>
      <c r="C2381" s="115"/>
      <c r="D2381" s="115"/>
      <c r="E2381" s="115"/>
      <c r="F2381" s="115"/>
      <c r="G2381" s="116"/>
      <c r="I2381" s="118"/>
      <c r="J2381" s="118"/>
      <c r="L2381" s="125"/>
    </row>
    <row r="2382" spans="1:12" x14ac:dyDescent="0.25">
      <c r="A2382" s="115"/>
      <c r="B2382" s="115"/>
      <c r="C2382" s="115"/>
      <c r="D2382" s="115"/>
      <c r="E2382" s="115"/>
      <c r="F2382" s="115"/>
      <c r="G2382" s="116"/>
      <c r="I2382" s="118"/>
      <c r="J2382" s="118"/>
      <c r="L2382" s="125"/>
    </row>
    <row r="2383" spans="1:12" x14ac:dyDescent="0.25">
      <c r="A2383" s="115"/>
      <c r="B2383" s="115"/>
      <c r="C2383" s="115"/>
      <c r="D2383" s="115"/>
      <c r="E2383" s="115"/>
      <c r="F2383" s="115"/>
      <c r="G2383" s="116"/>
      <c r="I2383" s="118"/>
      <c r="J2383" s="118"/>
      <c r="L2383" s="125"/>
    </row>
    <row r="2384" spans="1:12" x14ac:dyDescent="0.25">
      <c r="A2384" s="115"/>
      <c r="B2384" s="115"/>
      <c r="C2384" s="115"/>
      <c r="D2384" s="115"/>
      <c r="E2384" s="115"/>
      <c r="F2384" s="115"/>
      <c r="G2384" s="116"/>
      <c r="I2384" s="118"/>
      <c r="J2384" s="118"/>
      <c r="L2384" s="125"/>
    </row>
    <row r="2385" spans="1:12" x14ac:dyDescent="0.25">
      <c r="A2385" s="115"/>
      <c r="B2385" s="115"/>
      <c r="C2385" s="115"/>
      <c r="D2385" s="115"/>
      <c r="E2385" s="115"/>
      <c r="F2385" s="115"/>
      <c r="G2385" s="116"/>
      <c r="I2385" s="118"/>
      <c r="J2385" s="118"/>
      <c r="L2385" s="125"/>
    </row>
    <row r="2386" spans="1:12" x14ac:dyDescent="0.25">
      <c r="A2386" s="115"/>
      <c r="B2386" s="115"/>
      <c r="C2386" s="115"/>
      <c r="D2386" s="115"/>
      <c r="E2386" s="115"/>
      <c r="F2386" s="115"/>
      <c r="G2386" s="116"/>
      <c r="I2386" s="118"/>
      <c r="J2386" s="118"/>
      <c r="L2386" s="125"/>
    </row>
    <row r="2387" spans="1:12" x14ac:dyDescent="0.25">
      <c r="A2387" s="115"/>
      <c r="B2387" s="115"/>
      <c r="C2387" s="115"/>
      <c r="D2387" s="115"/>
      <c r="E2387" s="115"/>
      <c r="F2387" s="115"/>
      <c r="G2387" s="116"/>
      <c r="I2387" s="118"/>
      <c r="J2387" s="118"/>
      <c r="L2387" s="125"/>
    </row>
    <row r="2388" spans="1:12" x14ac:dyDescent="0.25">
      <c r="A2388" s="115"/>
      <c r="B2388" s="115"/>
      <c r="C2388" s="115"/>
      <c r="D2388" s="115"/>
      <c r="E2388" s="115"/>
      <c r="F2388" s="115"/>
      <c r="G2388" s="116"/>
      <c r="I2388" s="118"/>
      <c r="J2388" s="118"/>
      <c r="L2388" s="125"/>
    </row>
    <row r="2389" spans="1:12" x14ac:dyDescent="0.25">
      <c r="A2389" s="115"/>
      <c r="B2389" s="115"/>
      <c r="C2389" s="115"/>
      <c r="D2389" s="115"/>
      <c r="E2389" s="115"/>
      <c r="F2389" s="115"/>
      <c r="G2389" s="116"/>
      <c r="I2389" s="118"/>
      <c r="J2389" s="118"/>
      <c r="L2389" s="125"/>
    </row>
    <row r="2390" spans="1:12" x14ac:dyDescent="0.25">
      <c r="A2390" s="115"/>
      <c r="B2390" s="115"/>
      <c r="C2390" s="115"/>
      <c r="D2390" s="115"/>
      <c r="E2390" s="115"/>
      <c r="F2390" s="115"/>
      <c r="G2390" s="116"/>
      <c r="I2390" s="118"/>
      <c r="J2390" s="118"/>
      <c r="L2390" s="125"/>
    </row>
    <row r="2391" spans="1:12" x14ac:dyDescent="0.25">
      <c r="A2391" s="115"/>
      <c r="B2391" s="115"/>
      <c r="C2391" s="115"/>
      <c r="D2391" s="115"/>
      <c r="E2391" s="115"/>
      <c r="F2391" s="115"/>
      <c r="G2391" s="116"/>
      <c r="I2391" s="118"/>
      <c r="J2391" s="118"/>
      <c r="L2391" s="125"/>
    </row>
    <row r="2392" spans="1:12" x14ac:dyDescent="0.25">
      <c r="A2392" s="115"/>
      <c r="B2392" s="115"/>
      <c r="C2392" s="115"/>
      <c r="D2392" s="115"/>
      <c r="E2392" s="115"/>
      <c r="F2392" s="115"/>
      <c r="G2392" s="116"/>
      <c r="I2392" s="118"/>
      <c r="J2392" s="118"/>
      <c r="L2392" s="125"/>
    </row>
    <row r="2393" spans="1:12" x14ac:dyDescent="0.25">
      <c r="A2393" s="115"/>
      <c r="B2393" s="115"/>
      <c r="C2393" s="115"/>
      <c r="D2393" s="115"/>
      <c r="E2393" s="115"/>
      <c r="F2393" s="115"/>
      <c r="G2393" s="116"/>
      <c r="I2393" s="118"/>
      <c r="J2393" s="118"/>
      <c r="L2393" s="125"/>
    </row>
    <row r="2394" spans="1:12" x14ac:dyDescent="0.25">
      <c r="A2394" s="115"/>
      <c r="B2394" s="115"/>
      <c r="C2394" s="115"/>
      <c r="D2394" s="115"/>
      <c r="E2394" s="115"/>
      <c r="F2394" s="115"/>
      <c r="G2394" s="116"/>
      <c r="I2394" s="118"/>
      <c r="J2394" s="118"/>
      <c r="L2394" s="125"/>
    </row>
    <row r="2395" spans="1:12" x14ac:dyDescent="0.25">
      <c r="A2395" s="115"/>
      <c r="B2395" s="115"/>
      <c r="C2395" s="115"/>
      <c r="D2395" s="115"/>
      <c r="E2395" s="115"/>
      <c r="F2395" s="115"/>
      <c r="G2395" s="116"/>
      <c r="I2395" s="118"/>
      <c r="J2395" s="118"/>
      <c r="L2395" s="125"/>
    </row>
    <row r="2396" spans="1:12" x14ac:dyDescent="0.25">
      <c r="A2396" s="115"/>
      <c r="B2396" s="115"/>
      <c r="C2396" s="115"/>
      <c r="D2396" s="115"/>
      <c r="E2396" s="115"/>
      <c r="F2396" s="115"/>
      <c r="G2396" s="116"/>
      <c r="I2396" s="118"/>
      <c r="J2396" s="118"/>
      <c r="L2396" s="125"/>
    </row>
    <row r="2397" spans="1:12" x14ac:dyDescent="0.25">
      <c r="A2397" s="115"/>
      <c r="B2397" s="115"/>
      <c r="C2397" s="115"/>
      <c r="D2397" s="115"/>
      <c r="E2397" s="115"/>
      <c r="F2397" s="115"/>
      <c r="G2397" s="116"/>
      <c r="I2397" s="118"/>
      <c r="J2397" s="118"/>
      <c r="L2397" s="125"/>
    </row>
    <row r="2398" spans="1:12" x14ac:dyDescent="0.25">
      <c r="A2398" s="115"/>
      <c r="B2398" s="115"/>
      <c r="C2398" s="115"/>
      <c r="D2398" s="115"/>
      <c r="E2398" s="115"/>
      <c r="F2398" s="115"/>
      <c r="G2398" s="116"/>
      <c r="I2398" s="118"/>
      <c r="J2398" s="118"/>
      <c r="L2398" s="125"/>
    </row>
    <row r="2399" spans="1:12" x14ac:dyDescent="0.25">
      <c r="A2399" s="115"/>
      <c r="B2399" s="115"/>
      <c r="C2399" s="115"/>
      <c r="D2399" s="115"/>
      <c r="E2399" s="115"/>
      <c r="F2399" s="115"/>
      <c r="G2399" s="116"/>
      <c r="I2399" s="118"/>
      <c r="J2399" s="118"/>
      <c r="L2399" s="125"/>
    </row>
    <row r="2400" spans="1:12" x14ac:dyDescent="0.25">
      <c r="A2400" s="115"/>
      <c r="B2400" s="115"/>
      <c r="C2400" s="115"/>
      <c r="D2400" s="115"/>
      <c r="E2400" s="115"/>
      <c r="F2400" s="115"/>
      <c r="G2400" s="116"/>
      <c r="I2400" s="118"/>
      <c r="J2400" s="118"/>
      <c r="L2400" s="125"/>
    </row>
    <row r="2401" spans="1:12" x14ac:dyDescent="0.25">
      <c r="A2401" s="115"/>
      <c r="B2401" s="115"/>
      <c r="C2401" s="115"/>
      <c r="D2401" s="115"/>
      <c r="E2401" s="115"/>
      <c r="F2401" s="115"/>
      <c r="G2401" s="116"/>
      <c r="I2401" s="118"/>
      <c r="J2401" s="118"/>
      <c r="L2401" s="125"/>
    </row>
    <row r="2402" spans="1:12" x14ac:dyDescent="0.25">
      <c r="A2402" s="115"/>
      <c r="B2402" s="115"/>
      <c r="C2402" s="115"/>
      <c r="D2402" s="115"/>
      <c r="E2402" s="115"/>
      <c r="F2402" s="115"/>
      <c r="G2402" s="116"/>
      <c r="I2402" s="118"/>
      <c r="J2402" s="118"/>
      <c r="L2402" s="125"/>
    </row>
    <row r="2403" spans="1:12" x14ac:dyDescent="0.25">
      <c r="A2403" s="115"/>
      <c r="B2403" s="115"/>
      <c r="C2403" s="115"/>
      <c r="D2403" s="115"/>
      <c r="E2403" s="115"/>
      <c r="F2403" s="115"/>
      <c r="G2403" s="116"/>
      <c r="I2403" s="118"/>
      <c r="J2403" s="118"/>
      <c r="L2403" s="125"/>
    </row>
    <row r="2404" spans="1:12" x14ac:dyDescent="0.25">
      <c r="A2404" s="115"/>
      <c r="B2404" s="115"/>
      <c r="C2404" s="115"/>
      <c r="D2404" s="115"/>
      <c r="E2404" s="115"/>
      <c r="F2404" s="115"/>
      <c r="G2404" s="116"/>
      <c r="I2404" s="118"/>
      <c r="J2404" s="118"/>
      <c r="L2404" s="125"/>
    </row>
    <row r="2405" spans="1:12" x14ac:dyDescent="0.25">
      <c r="A2405" s="115"/>
      <c r="B2405" s="115"/>
      <c r="C2405" s="115"/>
      <c r="D2405" s="115"/>
      <c r="E2405" s="115"/>
      <c r="F2405" s="115"/>
      <c r="G2405" s="116"/>
      <c r="I2405" s="118"/>
      <c r="J2405" s="118"/>
      <c r="L2405" s="125"/>
    </row>
    <row r="2406" spans="1:12" x14ac:dyDescent="0.25">
      <c r="A2406" s="115"/>
      <c r="B2406" s="115"/>
      <c r="C2406" s="115"/>
      <c r="D2406" s="115"/>
      <c r="E2406" s="115"/>
      <c r="F2406" s="115"/>
      <c r="G2406" s="116"/>
      <c r="I2406" s="118"/>
      <c r="J2406" s="118"/>
      <c r="L2406" s="125"/>
    </row>
    <row r="2407" spans="1:12" x14ac:dyDescent="0.25">
      <c r="A2407" s="115"/>
      <c r="B2407" s="115"/>
      <c r="C2407" s="115"/>
      <c r="D2407" s="115"/>
      <c r="E2407" s="115"/>
      <c r="F2407" s="115"/>
      <c r="G2407" s="116"/>
      <c r="I2407" s="118"/>
      <c r="J2407" s="118"/>
      <c r="L2407" s="125"/>
    </row>
    <row r="2408" spans="1:12" x14ac:dyDescent="0.25">
      <c r="A2408" s="115"/>
      <c r="B2408" s="115"/>
      <c r="C2408" s="115"/>
      <c r="D2408" s="115"/>
      <c r="E2408" s="115"/>
      <c r="F2408" s="115"/>
      <c r="G2408" s="116"/>
      <c r="I2408" s="118"/>
      <c r="J2408" s="118"/>
      <c r="L2408" s="125"/>
    </row>
    <row r="2409" spans="1:12" x14ac:dyDescent="0.25">
      <c r="A2409" s="115"/>
      <c r="B2409" s="115"/>
      <c r="C2409" s="115"/>
      <c r="D2409" s="115"/>
      <c r="E2409" s="115"/>
      <c r="F2409" s="115"/>
      <c r="G2409" s="116"/>
      <c r="I2409" s="118"/>
      <c r="J2409" s="118"/>
      <c r="L2409" s="125"/>
    </row>
    <row r="2410" spans="1:12" x14ac:dyDescent="0.25">
      <c r="A2410" s="115"/>
      <c r="B2410" s="115"/>
      <c r="C2410" s="115"/>
      <c r="D2410" s="115"/>
      <c r="E2410" s="115"/>
      <c r="F2410" s="115"/>
      <c r="G2410" s="116"/>
      <c r="I2410" s="118"/>
      <c r="J2410" s="118"/>
      <c r="L2410" s="125"/>
    </row>
    <row r="2411" spans="1:12" x14ac:dyDescent="0.25">
      <c r="A2411" s="115"/>
      <c r="B2411" s="115"/>
      <c r="C2411" s="115"/>
      <c r="D2411" s="115"/>
      <c r="E2411" s="115"/>
      <c r="F2411" s="115"/>
      <c r="G2411" s="116"/>
      <c r="I2411" s="118"/>
      <c r="J2411" s="118"/>
      <c r="L2411" s="125"/>
    </row>
    <row r="2412" spans="1:12" x14ac:dyDescent="0.25">
      <c r="A2412" s="115"/>
      <c r="B2412" s="115"/>
      <c r="C2412" s="115"/>
      <c r="D2412" s="115"/>
      <c r="E2412" s="115"/>
      <c r="F2412" s="115"/>
      <c r="G2412" s="116"/>
      <c r="I2412" s="118"/>
      <c r="J2412" s="118"/>
      <c r="L2412" s="125"/>
    </row>
    <row r="2413" spans="1:12" x14ac:dyDescent="0.25">
      <c r="A2413" s="115"/>
      <c r="B2413" s="115"/>
      <c r="C2413" s="115"/>
      <c r="D2413" s="115"/>
      <c r="E2413" s="115"/>
      <c r="F2413" s="115"/>
      <c r="G2413" s="116"/>
      <c r="I2413" s="118"/>
      <c r="J2413" s="118"/>
      <c r="L2413" s="125"/>
    </row>
    <row r="2414" spans="1:12" x14ac:dyDescent="0.25">
      <c r="A2414" s="115"/>
      <c r="B2414" s="115"/>
      <c r="C2414" s="115"/>
      <c r="D2414" s="115"/>
      <c r="E2414" s="115"/>
      <c r="F2414" s="115"/>
      <c r="G2414" s="116"/>
      <c r="I2414" s="118"/>
      <c r="J2414" s="118"/>
      <c r="L2414" s="125"/>
    </row>
    <row r="2415" spans="1:12" x14ac:dyDescent="0.25">
      <c r="A2415" s="115"/>
      <c r="B2415" s="115"/>
      <c r="C2415" s="115"/>
      <c r="D2415" s="115"/>
      <c r="E2415" s="115"/>
      <c r="F2415" s="115"/>
      <c r="G2415" s="116"/>
      <c r="I2415" s="118"/>
      <c r="J2415" s="118"/>
      <c r="L2415" s="125"/>
    </row>
    <row r="2416" spans="1:12" x14ac:dyDescent="0.25">
      <c r="A2416" s="115"/>
      <c r="B2416" s="115"/>
      <c r="C2416" s="115"/>
      <c r="D2416" s="115"/>
      <c r="E2416" s="115"/>
      <c r="F2416" s="115"/>
      <c r="G2416" s="116"/>
      <c r="I2416" s="118"/>
      <c r="J2416" s="118"/>
      <c r="L2416" s="125"/>
    </row>
    <row r="2417" spans="1:12" x14ac:dyDescent="0.25">
      <c r="A2417" s="115"/>
      <c r="B2417" s="115"/>
      <c r="C2417" s="115"/>
      <c r="D2417" s="115"/>
      <c r="E2417" s="115"/>
      <c r="F2417" s="115"/>
      <c r="G2417" s="116"/>
      <c r="I2417" s="118"/>
      <c r="J2417" s="118"/>
      <c r="L2417" s="125"/>
    </row>
    <row r="2418" spans="1:12" x14ac:dyDescent="0.25">
      <c r="A2418" s="115"/>
      <c r="B2418" s="115"/>
      <c r="C2418" s="115"/>
      <c r="D2418" s="115"/>
      <c r="E2418" s="115"/>
      <c r="F2418" s="115"/>
      <c r="G2418" s="116"/>
      <c r="I2418" s="118"/>
      <c r="J2418" s="118"/>
      <c r="L2418" s="125"/>
    </row>
    <row r="2419" spans="1:12" x14ac:dyDescent="0.25">
      <c r="A2419" s="115"/>
      <c r="B2419" s="115"/>
      <c r="C2419" s="115"/>
      <c r="D2419" s="115"/>
      <c r="E2419" s="115"/>
      <c r="F2419" s="115"/>
      <c r="G2419" s="116"/>
      <c r="I2419" s="118"/>
      <c r="J2419" s="118"/>
      <c r="L2419" s="125"/>
    </row>
    <row r="2420" spans="1:12" x14ac:dyDescent="0.25">
      <c r="A2420" s="115"/>
      <c r="B2420" s="115"/>
      <c r="C2420" s="115"/>
      <c r="D2420" s="115"/>
      <c r="E2420" s="115"/>
      <c r="F2420" s="115"/>
      <c r="G2420" s="116"/>
      <c r="I2420" s="118"/>
      <c r="J2420" s="118"/>
      <c r="L2420" s="125"/>
    </row>
    <row r="2421" spans="1:12" x14ac:dyDescent="0.25">
      <c r="A2421" s="115"/>
      <c r="B2421" s="115"/>
      <c r="C2421" s="115"/>
      <c r="D2421" s="115"/>
      <c r="E2421" s="115"/>
      <c r="F2421" s="115"/>
      <c r="G2421" s="116"/>
      <c r="I2421" s="118"/>
      <c r="J2421" s="118"/>
      <c r="L2421" s="125"/>
    </row>
    <row r="2422" spans="1:12" x14ac:dyDescent="0.25">
      <c r="A2422" s="115"/>
      <c r="B2422" s="115"/>
      <c r="C2422" s="115"/>
      <c r="D2422" s="115"/>
      <c r="E2422" s="115"/>
      <c r="F2422" s="115"/>
      <c r="G2422" s="116"/>
      <c r="I2422" s="118"/>
      <c r="J2422" s="118"/>
      <c r="L2422" s="125"/>
    </row>
    <row r="2423" spans="1:12" x14ac:dyDescent="0.25">
      <c r="A2423" s="115"/>
      <c r="B2423" s="115"/>
      <c r="C2423" s="115"/>
      <c r="D2423" s="115"/>
      <c r="E2423" s="115"/>
      <c r="F2423" s="115"/>
      <c r="G2423" s="116"/>
      <c r="I2423" s="118"/>
      <c r="J2423" s="118"/>
      <c r="L2423" s="125"/>
    </row>
    <row r="2424" spans="1:12" x14ac:dyDescent="0.25">
      <c r="A2424" s="115"/>
      <c r="B2424" s="115"/>
      <c r="C2424" s="115"/>
      <c r="D2424" s="115"/>
      <c r="E2424" s="115"/>
      <c r="F2424" s="115"/>
      <c r="G2424" s="116"/>
      <c r="I2424" s="118"/>
      <c r="J2424" s="118"/>
      <c r="L2424" s="125"/>
    </row>
    <row r="2425" spans="1:12" x14ac:dyDescent="0.25">
      <c r="A2425" s="115"/>
      <c r="B2425" s="115"/>
      <c r="C2425" s="115"/>
      <c r="D2425" s="115"/>
      <c r="E2425" s="115"/>
      <c r="F2425" s="115"/>
      <c r="G2425" s="116"/>
      <c r="I2425" s="118"/>
      <c r="J2425" s="118"/>
      <c r="L2425" s="125"/>
    </row>
    <row r="2426" spans="1:12" x14ac:dyDescent="0.25">
      <c r="A2426" s="115"/>
      <c r="B2426" s="115"/>
      <c r="C2426" s="115"/>
      <c r="D2426" s="115"/>
      <c r="E2426" s="115"/>
      <c r="F2426" s="115"/>
      <c r="G2426" s="116"/>
      <c r="I2426" s="118"/>
      <c r="J2426" s="118"/>
      <c r="L2426" s="125"/>
    </row>
    <row r="2427" spans="1:12" x14ac:dyDescent="0.25">
      <c r="A2427" s="115"/>
      <c r="B2427" s="115"/>
      <c r="C2427" s="115"/>
      <c r="D2427" s="115"/>
      <c r="E2427" s="115"/>
      <c r="F2427" s="115"/>
      <c r="G2427" s="116"/>
      <c r="I2427" s="118"/>
      <c r="J2427" s="118"/>
      <c r="L2427" s="125"/>
    </row>
    <row r="2428" spans="1:12" x14ac:dyDescent="0.25">
      <c r="A2428" s="115"/>
      <c r="B2428" s="115"/>
      <c r="C2428" s="115"/>
      <c r="D2428" s="115"/>
      <c r="E2428" s="115"/>
      <c r="F2428" s="115"/>
      <c r="G2428" s="116"/>
      <c r="I2428" s="118"/>
      <c r="J2428" s="118"/>
      <c r="L2428" s="125"/>
    </row>
    <row r="2429" spans="1:12" x14ac:dyDescent="0.25">
      <c r="A2429" s="115"/>
      <c r="B2429" s="115"/>
      <c r="C2429" s="115"/>
      <c r="D2429" s="115"/>
      <c r="E2429" s="115"/>
      <c r="F2429" s="115"/>
      <c r="G2429" s="116"/>
      <c r="I2429" s="118"/>
      <c r="J2429" s="118"/>
      <c r="L2429" s="125"/>
    </row>
    <row r="2430" spans="1:12" x14ac:dyDescent="0.25">
      <c r="A2430" s="115"/>
      <c r="B2430" s="115"/>
      <c r="C2430" s="115"/>
      <c r="D2430" s="115"/>
      <c r="E2430" s="115"/>
      <c r="F2430" s="115"/>
      <c r="G2430" s="116"/>
      <c r="I2430" s="118"/>
      <c r="J2430" s="118"/>
      <c r="L2430" s="125"/>
    </row>
    <row r="2431" spans="1:12" x14ac:dyDescent="0.25">
      <c r="A2431" s="115"/>
      <c r="B2431" s="115"/>
      <c r="C2431" s="115"/>
      <c r="D2431" s="115"/>
      <c r="E2431" s="115"/>
      <c r="F2431" s="115"/>
      <c r="G2431" s="116"/>
      <c r="I2431" s="118"/>
      <c r="J2431" s="118"/>
      <c r="L2431" s="125"/>
    </row>
    <row r="2432" spans="1:12" x14ac:dyDescent="0.25">
      <c r="A2432" s="115"/>
      <c r="B2432" s="115"/>
      <c r="C2432" s="115"/>
      <c r="D2432" s="115"/>
      <c r="E2432" s="115"/>
      <c r="F2432" s="115"/>
      <c r="G2432" s="116"/>
      <c r="I2432" s="118"/>
      <c r="J2432" s="118"/>
      <c r="L2432" s="125"/>
    </row>
    <row r="2433" spans="1:12" x14ac:dyDescent="0.25">
      <c r="A2433" s="115"/>
      <c r="B2433" s="115"/>
      <c r="C2433" s="115"/>
      <c r="D2433" s="115"/>
      <c r="E2433" s="115"/>
      <c r="F2433" s="115"/>
      <c r="G2433" s="116"/>
      <c r="I2433" s="118"/>
      <c r="J2433" s="118"/>
      <c r="L2433" s="125"/>
    </row>
    <row r="2434" spans="1:12" x14ac:dyDescent="0.25">
      <c r="A2434" s="115"/>
      <c r="B2434" s="115"/>
      <c r="C2434" s="115"/>
      <c r="D2434" s="115"/>
      <c r="E2434" s="115"/>
      <c r="F2434" s="115"/>
      <c r="G2434" s="116"/>
      <c r="I2434" s="118"/>
      <c r="J2434" s="118"/>
      <c r="L2434" s="125"/>
    </row>
    <row r="2435" spans="1:12" x14ac:dyDescent="0.25">
      <c r="A2435" s="115"/>
      <c r="B2435" s="115"/>
      <c r="C2435" s="115"/>
      <c r="D2435" s="115"/>
      <c r="E2435" s="115"/>
      <c r="F2435" s="115"/>
      <c r="G2435" s="116"/>
      <c r="I2435" s="118"/>
      <c r="J2435" s="118"/>
      <c r="L2435" s="125"/>
    </row>
    <row r="2436" spans="1:12" x14ac:dyDescent="0.25">
      <c r="A2436" s="115"/>
      <c r="B2436" s="115"/>
      <c r="C2436" s="115"/>
      <c r="D2436" s="115"/>
      <c r="E2436" s="115"/>
      <c r="F2436" s="115"/>
      <c r="G2436" s="116"/>
      <c r="I2436" s="118"/>
      <c r="J2436" s="118"/>
      <c r="L2436" s="125"/>
    </row>
    <row r="2437" spans="1:12" x14ac:dyDescent="0.25">
      <c r="A2437" s="115"/>
      <c r="B2437" s="115"/>
      <c r="C2437" s="115"/>
      <c r="D2437" s="115"/>
      <c r="E2437" s="115"/>
      <c r="F2437" s="115"/>
      <c r="G2437" s="116"/>
      <c r="I2437" s="118"/>
      <c r="J2437" s="118"/>
      <c r="L2437" s="125"/>
    </row>
    <row r="2438" spans="1:12" x14ac:dyDescent="0.25">
      <c r="A2438" s="115"/>
      <c r="B2438" s="115"/>
      <c r="C2438" s="115"/>
      <c r="D2438" s="115"/>
      <c r="E2438" s="115"/>
      <c r="F2438" s="115"/>
      <c r="G2438" s="116"/>
      <c r="I2438" s="118"/>
      <c r="J2438" s="118"/>
      <c r="L2438" s="125"/>
    </row>
    <row r="2439" spans="1:12" x14ac:dyDescent="0.25">
      <c r="A2439" s="115"/>
      <c r="B2439" s="115"/>
      <c r="C2439" s="115"/>
      <c r="D2439" s="115"/>
      <c r="E2439" s="115"/>
      <c r="F2439" s="115"/>
      <c r="G2439" s="116"/>
      <c r="I2439" s="118"/>
      <c r="J2439" s="118"/>
      <c r="L2439" s="125"/>
    </row>
    <row r="2440" spans="1:12" x14ac:dyDescent="0.25">
      <c r="A2440" s="115"/>
      <c r="B2440" s="115"/>
      <c r="C2440" s="115"/>
      <c r="D2440" s="115"/>
      <c r="E2440" s="115"/>
      <c r="F2440" s="115"/>
      <c r="G2440" s="116"/>
      <c r="I2440" s="118"/>
      <c r="J2440" s="118"/>
      <c r="L2440" s="125"/>
    </row>
    <row r="2441" spans="1:12" x14ac:dyDescent="0.25">
      <c r="A2441" s="115"/>
      <c r="B2441" s="115"/>
      <c r="C2441" s="115"/>
      <c r="D2441" s="115"/>
      <c r="E2441" s="115"/>
      <c r="F2441" s="115"/>
      <c r="G2441" s="116"/>
      <c r="I2441" s="118"/>
      <c r="J2441" s="118"/>
      <c r="L2441" s="125"/>
    </row>
    <row r="2442" spans="1:12" x14ac:dyDescent="0.25">
      <c r="A2442" s="115"/>
      <c r="B2442" s="115"/>
      <c r="C2442" s="115"/>
      <c r="D2442" s="115"/>
      <c r="E2442" s="115"/>
      <c r="F2442" s="115"/>
      <c r="G2442" s="116"/>
      <c r="I2442" s="118"/>
      <c r="J2442" s="118"/>
      <c r="L2442" s="125"/>
    </row>
    <row r="2443" spans="1:12" x14ac:dyDescent="0.25">
      <c r="A2443" s="115"/>
      <c r="B2443" s="115"/>
      <c r="C2443" s="115"/>
      <c r="D2443" s="115"/>
      <c r="E2443" s="115"/>
      <c r="F2443" s="115"/>
      <c r="G2443" s="116"/>
      <c r="I2443" s="118"/>
      <c r="J2443" s="118"/>
      <c r="L2443" s="125"/>
    </row>
    <row r="2444" spans="1:12" x14ac:dyDescent="0.25">
      <c r="A2444" s="115"/>
      <c r="B2444" s="115"/>
      <c r="C2444" s="115"/>
      <c r="D2444" s="115"/>
      <c r="E2444" s="115"/>
      <c r="F2444" s="115"/>
      <c r="G2444" s="116"/>
      <c r="I2444" s="118"/>
      <c r="J2444" s="118"/>
      <c r="L2444" s="125"/>
    </row>
    <row r="2445" spans="1:12" x14ac:dyDescent="0.25">
      <c r="A2445" s="115"/>
      <c r="B2445" s="115"/>
      <c r="C2445" s="115"/>
      <c r="D2445" s="115"/>
      <c r="E2445" s="115"/>
      <c r="F2445" s="115"/>
      <c r="G2445" s="116"/>
      <c r="I2445" s="118"/>
      <c r="J2445" s="118"/>
      <c r="L2445" s="125"/>
    </row>
    <row r="2446" spans="1:12" x14ac:dyDescent="0.25">
      <c r="A2446" s="115"/>
      <c r="B2446" s="115"/>
      <c r="C2446" s="115"/>
      <c r="D2446" s="115"/>
      <c r="E2446" s="115"/>
      <c r="F2446" s="115"/>
      <c r="G2446" s="116"/>
      <c r="I2446" s="118"/>
      <c r="J2446" s="118"/>
      <c r="L2446" s="125"/>
    </row>
    <row r="2447" spans="1:12" x14ac:dyDescent="0.25">
      <c r="A2447" s="115"/>
      <c r="B2447" s="115"/>
      <c r="C2447" s="115"/>
      <c r="D2447" s="115"/>
      <c r="E2447" s="115"/>
      <c r="F2447" s="115"/>
      <c r="G2447" s="116"/>
      <c r="I2447" s="118"/>
      <c r="J2447" s="118"/>
      <c r="L2447" s="125"/>
    </row>
    <row r="2448" spans="1:12" x14ac:dyDescent="0.25">
      <c r="A2448" s="115"/>
      <c r="B2448" s="115"/>
      <c r="C2448" s="115"/>
      <c r="D2448" s="115"/>
      <c r="E2448" s="115"/>
      <c r="F2448" s="115"/>
      <c r="G2448" s="116"/>
      <c r="I2448" s="118"/>
      <c r="J2448" s="118"/>
      <c r="L2448" s="125"/>
    </row>
    <row r="2449" spans="1:12" x14ac:dyDescent="0.25">
      <c r="A2449" s="115"/>
      <c r="B2449" s="115"/>
      <c r="C2449" s="115"/>
      <c r="D2449" s="115"/>
      <c r="E2449" s="115"/>
      <c r="F2449" s="115"/>
      <c r="G2449" s="116"/>
      <c r="I2449" s="118"/>
      <c r="J2449" s="118"/>
      <c r="L2449" s="125"/>
    </row>
    <row r="2450" spans="1:12" x14ac:dyDescent="0.25">
      <c r="A2450" s="115"/>
      <c r="B2450" s="115"/>
      <c r="C2450" s="115"/>
      <c r="D2450" s="115"/>
      <c r="E2450" s="115"/>
      <c r="F2450" s="115"/>
      <c r="G2450" s="116"/>
      <c r="I2450" s="118"/>
      <c r="J2450" s="118"/>
      <c r="L2450" s="125"/>
    </row>
    <row r="2451" spans="1:12" x14ac:dyDescent="0.25">
      <c r="A2451" s="115"/>
      <c r="B2451" s="115"/>
      <c r="C2451" s="115"/>
      <c r="D2451" s="115"/>
      <c r="E2451" s="115"/>
      <c r="F2451" s="115"/>
      <c r="G2451" s="116"/>
      <c r="I2451" s="118"/>
      <c r="J2451" s="118"/>
      <c r="L2451" s="125"/>
    </row>
    <row r="2452" spans="1:12" x14ac:dyDescent="0.25">
      <c r="A2452" s="115"/>
      <c r="B2452" s="115"/>
      <c r="C2452" s="115"/>
      <c r="D2452" s="115"/>
      <c r="E2452" s="115"/>
      <c r="F2452" s="115"/>
      <c r="G2452" s="116"/>
      <c r="I2452" s="118"/>
      <c r="J2452" s="118"/>
      <c r="L2452" s="125"/>
    </row>
    <row r="2453" spans="1:12" x14ac:dyDescent="0.25">
      <c r="A2453" s="115"/>
      <c r="B2453" s="115"/>
      <c r="C2453" s="115"/>
      <c r="D2453" s="115"/>
      <c r="E2453" s="115"/>
      <c r="F2453" s="115"/>
      <c r="G2453" s="116"/>
      <c r="I2453" s="118"/>
      <c r="J2453" s="118"/>
      <c r="L2453" s="125"/>
    </row>
    <row r="2454" spans="1:12" x14ac:dyDescent="0.25">
      <c r="A2454" s="115"/>
      <c r="B2454" s="115"/>
      <c r="C2454" s="115"/>
      <c r="D2454" s="115"/>
      <c r="E2454" s="115"/>
      <c r="F2454" s="115"/>
      <c r="G2454" s="116"/>
      <c r="I2454" s="118"/>
      <c r="J2454" s="118"/>
      <c r="L2454" s="125"/>
    </row>
    <row r="2455" spans="1:12" x14ac:dyDescent="0.25">
      <c r="A2455" s="115"/>
      <c r="B2455" s="115"/>
      <c r="C2455" s="115"/>
      <c r="D2455" s="115"/>
      <c r="E2455" s="115"/>
      <c r="F2455" s="115"/>
      <c r="G2455" s="116"/>
      <c r="I2455" s="118"/>
      <c r="J2455" s="118"/>
      <c r="L2455" s="125"/>
    </row>
    <row r="2456" spans="1:12" x14ac:dyDescent="0.25">
      <c r="A2456" s="115"/>
      <c r="B2456" s="115"/>
      <c r="C2456" s="115"/>
      <c r="D2456" s="115"/>
      <c r="E2456" s="115"/>
      <c r="F2456" s="115"/>
      <c r="G2456" s="116"/>
      <c r="I2456" s="118"/>
      <c r="J2456" s="118"/>
      <c r="L2456" s="125"/>
    </row>
    <row r="2457" spans="1:12" x14ac:dyDescent="0.25">
      <c r="A2457" s="115"/>
      <c r="B2457" s="115"/>
      <c r="C2457" s="115"/>
      <c r="D2457" s="115"/>
      <c r="E2457" s="115"/>
      <c r="F2457" s="115"/>
      <c r="G2457" s="116"/>
      <c r="I2457" s="118"/>
      <c r="J2457" s="118"/>
      <c r="L2457" s="125"/>
    </row>
    <row r="2458" spans="1:12" x14ac:dyDescent="0.25">
      <c r="A2458" s="115"/>
      <c r="B2458" s="115"/>
      <c r="C2458" s="115"/>
      <c r="D2458" s="115"/>
      <c r="E2458" s="115"/>
      <c r="F2458" s="115"/>
      <c r="G2458" s="116"/>
      <c r="I2458" s="118"/>
      <c r="J2458" s="118"/>
      <c r="L2458" s="125"/>
    </row>
    <row r="2459" spans="1:12" x14ac:dyDescent="0.25">
      <c r="A2459" s="115"/>
      <c r="B2459" s="115"/>
      <c r="C2459" s="115"/>
      <c r="D2459" s="115"/>
      <c r="E2459" s="115"/>
      <c r="F2459" s="115"/>
      <c r="G2459" s="116"/>
      <c r="I2459" s="118"/>
      <c r="J2459" s="118"/>
      <c r="L2459" s="125"/>
    </row>
    <row r="2460" spans="1:12" x14ac:dyDescent="0.25">
      <c r="A2460" s="115"/>
      <c r="B2460" s="115"/>
      <c r="C2460" s="115"/>
      <c r="D2460" s="115"/>
      <c r="E2460" s="115"/>
      <c r="F2460" s="115"/>
      <c r="G2460" s="116"/>
      <c r="I2460" s="118"/>
      <c r="J2460" s="118"/>
      <c r="L2460" s="125"/>
    </row>
    <row r="2461" spans="1:12" x14ac:dyDescent="0.25">
      <c r="A2461" s="115"/>
      <c r="B2461" s="115"/>
      <c r="C2461" s="115"/>
      <c r="D2461" s="115"/>
      <c r="E2461" s="115"/>
      <c r="F2461" s="115"/>
      <c r="G2461" s="116"/>
      <c r="I2461" s="118"/>
      <c r="J2461" s="118"/>
      <c r="L2461" s="125"/>
    </row>
    <row r="2462" spans="1:12" x14ac:dyDescent="0.25">
      <c r="A2462" s="115"/>
      <c r="B2462" s="115"/>
      <c r="C2462" s="115"/>
      <c r="D2462" s="115"/>
      <c r="E2462" s="115"/>
      <c r="F2462" s="115"/>
      <c r="G2462" s="116"/>
      <c r="I2462" s="118"/>
      <c r="J2462" s="118"/>
      <c r="L2462" s="125"/>
    </row>
    <row r="2463" spans="1:12" x14ac:dyDescent="0.25">
      <c r="A2463" s="115"/>
      <c r="B2463" s="115"/>
      <c r="C2463" s="115"/>
      <c r="D2463" s="115"/>
      <c r="E2463" s="115"/>
      <c r="F2463" s="115"/>
      <c r="G2463" s="116"/>
      <c r="I2463" s="118"/>
      <c r="J2463" s="118"/>
      <c r="L2463" s="125"/>
    </row>
    <row r="2464" spans="1:12" x14ac:dyDescent="0.25">
      <c r="A2464" s="115"/>
      <c r="B2464" s="115"/>
      <c r="C2464" s="115"/>
      <c r="D2464" s="115"/>
      <c r="E2464" s="115"/>
      <c r="F2464" s="115"/>
      <c r="G2464" s="116"/>
      <c r="I2464" s="118"/>
      <c r="J2464" s="118"/>
      <c r="L2464" s="125"/>
    </row>
    <row r="2465" spans="1:12" x14ac:dyDescent="0.25">
      <c r="A2465" s="115"/>
      <c r="B2465" s="115"/>
      <c r="C2465" s="115"/>
      <c r="D2465" s="115"/>
      <c r="E2465" s="115"/>
      <c r="F2465" s="115"/>
      <c r="G2465" s="116"/>
      <c r="I2465" s="118"/>
      <c r="J2465" s="118"/>
      <c r="L2465" s="125"/>
    </row>
    <row r="2466" spans="1:12" x14ac:dyDescent="0.25">
      <c r="A2466" s="115"/>
      <c r="B2466" s="115"/>
      <c r="C2466" s="115"/>
      <c r="D2466" s="115"/>
      <c r="E2466" s="115"/>
      <c r="F2466" s="115"/>
      <c r="G2466" s="116"/>
      <c r="I2466" s="118"/>
      <c r="J2466" s="118"/>
      <c r="L2466" s="125"/>
    </row>
    <row r="2467" spans="1:12" x14ac:dyDescent="0.25">
      <c r="A2467" s="115"/>
      <c r="B2467" s="115"/>
      <c r="C2467" s="115"/>
      <c r="D2467" s="115"/>
      <c r="E2467" s="115"/>
      <c r="F2467" s="115"/>
      <c r="G2467" s="116"/>
      <c r="I2467" s="118"/>
      <c r="J2467" s="118"/>
      <c r="L2467" s="125"/>
    </row>
    <row r="2468" spans="1:12" x14ac:dyDescent="0.25">
      <c r="A2468" s="115"/>
      <c r="B2468" s="115"/>
      <c r="C2468" s="115"/>
      <c r="D2468" s="115"/>
      <c r="E2468" s="115"/>
      <c r="F2468" s="115"/>
      <c r="G2468" s="116"/>
      <c r="I2468" s="118"/>
      <c r="J2468" s="118"/>
      <c r="L2468" s="125"/>
    </row>
    <row r="2469" spans="1:12" x14ac:dyDescent="0.25">
      <c r="A2469" s="115"/>
      <c r="B2469" s="115"/>
      <c r="C2469" s="115"/>
      <c r="D2469" s="115"/>
      <c r="E2469" s="115"/>
      <c r="F2469" s="115"/>
      <c r="G2469" s="116"/>
      <c r="I2469" s="118"/>
      <c r="J2469" s="118"/>
      <c r="L2469" s="125"/>
    </row>
    <row r="2470" spans="1:12" x14ac:dyDescent="0.25">
      <c r="A2470" s="115"/>
      <c r="B2470" s="115"/>
      <c r="C2470" s="115"/>
      <c r="D2470" s="115"/>
      <c r="E2470" s="115"/>
      <c r="F2470" s="115"/>
      <c r="G2470" s="116"/>
      <c r="I2470" s="118"/>
      <c r="J2470" s="118"/>
      <c r="L2470" s="125"/>
    </row>
    <row r="2471" spans="1:12" x14ac:dyDescent="0.25">
      <c r="A2471" s="115"/>
      <c r="B2471" s="115"/>
      <c r="C2471" s="115"/>
      <c r="D2471" s="115"/>
      <c r="E2471" s="115"/>
      <c r="F2471" s="115"/>
      <c r="G2471" s="116"/>
      <c r="I2471" s="118"/>
      <c r="J2471" s="118"/>
      <c r="L2471" s="125"/>
    </row>
    <row r="2472" spans="1:12" x14ac:dyDescent="0.25">
      <c r="A2472" s="115"/>
      <c r="B2472" s="115"/>
      <c r="C2472" s="115"/>
      <c r="D2472" s="115"/>
      <c r="E2472" s="115"/>
      <c r="F2472" s="115"/>
      <c r="G2472" s="116"/>
      <c r="I2472" s="118"/>
      <c r="J2472" s="118"/>
      <c r="L2472" s="125"/>
    </row>
    <row r="2473" spans="1:12" x14ac:dyDescent="0.25">
      <c r="A2473" s="115"/>
      <c r="B2473" s="115"/>
      <c r="C2473" s="115"/>
      <c r="D2473" s="115"/>
      <c r="E2473" s="115"/>
      <c r="F2473" s="115"/>
      <c r="G2473" s="116"/>
      <c r="I2473" s="118"/>
      <c r="J2473" s="118"/>
      <c r="L2473" s="125"/>
    </row>
    <row r="2474" spans="1:12" x14ac:dyDescent="0.25">
      <c r="A2474" s="115"/>
      <c r="B2474" s="115"/>
      <c r="C2474" s="115"/>
      <c r="D2474" s="115"/>
      <c r="E2474" s="115"/>
      <c r="F2474" s="115"/>
      <c r="G2474" s="116"/>
      <c r="I2474" s="118"/>
      <c r="J2474" s="118"/>
      <c r="L2474" s="125"/>
    </row>
    <row r="2475" spans="1:12" x14ac:dyDescent="0.25">
      <c r="A2475" s="115"/>
      <c r="B2475" s="115"/>
      <c r="C2475" s="115"/>
      <c r="D2475" s="115"/>
      <c r="E2475" s="115"/>
      <c r="F2475" s="115"/>
      <c r="G2475" s="116"/>
      <c r="I2475" s="118"/>
      <c r="J2475" s="118"/>
      <c r="L2475" s="125"/>
    </row>
    <row r="2476" spans="1:12" x14ac:dyDescent="0.25">
      <c r="A2476" s="115"/>
      <c r="B2476" s="115"/>
      <c r="C2476" s="115"/>
      <c r="D2476" s="115"/>
      <c r="E2476" s="115"/>
      <c r="F2476" s="115"/>
      <c r="G2476" s="116"/>
      <c r="I2476" s="118"/>
      <c r="J2476" s="118"/>
      <c r="L2476" s="125"/>
    </row>
    <row r="2477" spans="1:12" x14ac:dyDescent="0.25">
      <c r="A2477" s="115"/>
      <c r="B2477" s="115"/>
      <c r="C2477" s="115"/>
      <c r="D2477" s="115"/>
      <c r="E2477" s="115"/>
      <c r="F2477" s="115"/>
      <c r="G2477" s="116"/>
      <c r="I2477" s="118"/>
      <c r="J2477" s="118"/>
      <c r="L2477" s="125"/>
    </row>
    <row r="2478" spans="1:12" x14ac:dyDescent="0.25">
      <c r="A2478" s="115"/>
      <c r="B2478" s="115"/>
      <c r="C2478" s="115"/>
      <c r="D2478" s="115"/>
      <c r="E2478" s="115"/>
      <c r="F2478" s="115"/>
      <c r="G2478" s="116"/>
      <c r="I2478" s="118"/>
      <c r="J2478" s="118"/>
      <c r="L2478" s="125"/>
    </row>
    <row r="2479" spans="1:12" x14ac:dyDescent="0.25">
      <c r="A2479" s="115"/>
      <c r="B2479" s="115"/>
      <c r="C2479" s="115"/>
      <c r="D2479" s="115"/>
      <c r="E2479" s="115"/>
      <c r="F2479" s="115"/>
      <c r="G2479" s="116"/>
      <c r="I2479" s="118"/>
      <c r="J2479" s="118"/>
      <c r="L2479" s="125"/>
    </row>
    <row r="2480" spans="1:12" x14ac:dyDescent="0.25">
      <c r="A2480" s="115"/>
      <c r="B2480" s="115"/>
      <c r="C2480" s="115"/>
      <c r="D2480" s="115"/>
      <c r="E2480" s="115"/>
      <c r="F2480" s="115"/>
      <c r="G2480" s="116"/>
      <c r="I2480" s="118"/>
      <c r="J2480" s="118"/>
      <c r="L2480" s="125"/>
    </row>
    <row r="2481" spans="1:12" x14ac:dyDescent="0.25">
      <c r="A2481" s="115"/>
      <c r="B2481" s="115"/>
      <c r="C2481" s="115"/>
      <c r="D2481" s="115"/>
      <c r="E2481" s="115"/>
      <c r="F2481" s="115"/>
      <c r="G2481" s="116"/>
      <c r="I2481" s="118"/>
      <c r="J2481" s="118"/>
      <c r="L2481" s="125"/>
    </row>
    <row r="2482" spans="1:12" x14ac:dyDescent="0.25">
      <c r="A2482" s="115"/>
      <c r="B2482" s="115"/>
      <c r="C2482" s="115"/>
      <c r="D2482" s="115"/>
      <c r="E2482" s="115"/>
      <c r="F2482" s="115"/>
      <c r="G2482" s="116"/>
      <c r="I2482" s="118"/>
      <c r="J2482" s="118"/>
      <c r="L2482" s="125"/>
    </row>
    <row r="2483" spans="1:12" x14ac:dyDescent="0.25">
      <c r="A2483" s="115"/>
      <c r="B2483" s="115"/>
      <c r="C2483" s="115"/>
      <c r="D2483" s="115"/>
      <c r="E2483" s="115"/>
      <c r="F2483" s="115"/>
      <c r="G2483" s="116"/>
      <c r="I2483" s="118"/>
      <c r="J2483" s="118"/>
      <c r="L2483" s="125"/>
    </row>
    <row r="2484" spans="1:12" x14ac:dyDescent="0.25">
      <c r="A2484" s="115"/>
      <c r="B2484" s="115"/>
      <c r="C2484" s="115"/>
      <c r="D2484" s="115"/>
      <c r="E2484" s="115"/>
      <c r="F2484" s="115"/>
      <c r="G2484" s="116"/>
      <c r="I2484" s="118"/>
      <c r="J2484" s="118"/>
      <c r="L2484" s="125"/>
    </row>
    <row r="2485" spans="1:12" x14ac:dyDescent="0.25">
      <c r="A2485" s="115"/>
      <c r="B2485" s="115"/>
      <c r="C2485" s="115"/>
      <c r="D2485" s="115"/>
      <c r="E2485" s="115"/>
      <c r="F2485" s="115"/>
      <c r="G2485" s="116"/>
      <c r="I2485" s="118"/>
      <c r="J2485" s="118"/>
      <c r="L2485" s="125"/>
    </row>
    <row r="2486" spans="1:12" x14ac:dyDescent="0.25">
      <c r="A2486" s="115"/>
      <c r="B2486" s="115"/>
      <c r="C2486" s="115"/>
      <c r="D2486" s="115"/>
      <c r="E2486" s="115"/>
      <c r="F2486" s="115"/>
      <c r="G2486" s="116"/>
      <c r="I2486" s="118"/>
      <c r="J2486" s="118"/>
      <c r="L2486" s="125"/>
    </row>
    <row r="2487" spans="1:12" x14ac:dyDescent="0.25">
      <c r="A2487" s="115"/>
      <c r="B2487" s="115"/>
      <c r="C2487" s="115"/>
      <c r="D2487" s="115"/>
      <c r="E2487" s="115"/>
      <c r="F2487" s="115"/>
      <c r="G2487" s="116"/>
      <c r="I2487" s="118"/>
      <c r="J2487" s="118"/>
      <c r="L2487" s="125"/>
    </row>
    <row r="2488" spans="1:12" x14ac:dyDescent="0.25">
      <c r="A2488" s="115"/>
      <c r="B2488" s="115"/>
      <c r="C2488" s="115"/>
      <c r="D2488" s="115"/>
      <c r="E2488" s="115"/>
      <c r="F2488" s="115"/>
      <c r="G2488" s="116"/>
      <c r="I2488" s="118"/>
      <c r="J2488" s="118"/>
      <c r="L2488" s="125"/>
    </row>
    <row r="2489" spans="1:12" x14ac:dyDescent="0.25">
      <c r="A2489" s="115"/>
      <c r="B2489" s="115"/>
      <c r="C2489" s="115"/>
      <c r="D2489" s="115"/>
      <c r="E2489" s="115"/>
      <c r="F2489" s="115"/>
      <c r="G2489" s="116"/>
      <c r="I2489" s="118"/>
      <c r="J2489" s="118"/>
      <c r="L2489" s="125"/>
    </row>
    <row r="2490" spans="1:12" x14ac:dyDescent="0.25">
      <c r="A2490" s="115"/>
      <c r="B2490" s="115"/>
      <c r="C2490" s="115"/>
      <c r="D2490" s="115"/>
      <c r="E2490" s="115"/>
      <c r="F2490" s="115"/>
      <c r="G2490" s="116"/>
      <c r="I2490" s="118"/>
      <c r="J2490" s="118"/>
      <c r="L2490" s="125"/>
    </row>
    <row r="2491" spans="1:12" x14ac:dyDescent="0.25">
      <c r="A2491" s="115"/>
      <c r="B2491" s="115"/>
      <c r="C2491" s="115"/>
      <c r="D2491" s="115"/>
      <c r="E2491" s="115"/>
      <c r="F2491" s="115"/>
      <c r="G2491" s="116"/>
      <c r="I2491" s="118"/>
      <c r="J2491" s="118"/>
      <c r="L2491" s="125"/>
    </row>
    <row r="2492" spans="1:12" x14ac:dyDescent="0.25">
      <c r="A2492" s="115"/>
      <c r="B2492" s="115"/>
      <c r="C2492" s="115"/>
      <c r="D2492" s="115"/>
      <c r="E2492" s="115"/>
      <c r="F2492" s="115"/>
      <c r="G2492" s="116"/>
      <c r="I2492" s="118"/>
      <c r="J2492" s="118"/>
      <c r="L2492" s="125"/>
    </row>
    <row r="2493" spans="1:12" x14ac:dyDescent="0.25">
      <c r="A2493" s="115"/>
      <c r="B2493" s="115"/>
      <c r="C2493" s="115"/>
      <c r="D2493" s="115"/>
      <c r="E2493" s="115"/>
      <c r="F2493" s="115"/>
      <c r="G2493" s="116"/>
      <c r="I2493" s="118"/>
      <c r="J2493" s="118"/>
      <c r="L2493" s="125"/>
    </row>
    <row r="2494" spans="1:12" x14ac:dyDescent="0.25">
      <c r="A2494" s="115"/>
      <c r="B2494" s="115"/>
      <c r="C2494" s="115"/>
      <c r="D2494" s="115"/>
      <c r="E2494" s="115"/>
      <c r="F2494" s="115"/>
      <c r="G2494" s="116"/>
      <c r="I2494" s="118"/>
      <c r="J2494" s="118"/>
      <c r="L2494" s="125"/>
    </row>
    <row r="2495" spans="1:12" x14ac:dyDescent="0.25">
      <c r="A2495" s="115"/>
      <c r="B2495" s="115"/>
      <c r="C2495" s="115"/>
      <c r="D2495" s="115"/>
      <c r="E2495" s="115"/>
      <c r="F2495" s="115"/>
      <c r="G2495" s="116"/>
      <c r="I2495" s="118"/>
      <c r="J2495" s="118"/>
      <c r="L2495" s="125"/>
    </row>
    <row r="2496" spans="1:12" x14ac:dyDescent="0.25">
      <c r="A2496" s="115"/>
      <c r="B2496" s="115"/>
      <c r="C2496" s="115"/>
      <c r="D2496" s="115"/>
      <c r="E2496" s="115"/>
      <c r="F2496" s="115"/>
      <c r="G2496" s="116"/>
      <c r="I2496" s="118"/>
      <c r="J2496" s="118"/>
      <c r="L2496" s="125"/>
    </row>
    <row r="2497" spans="1:12" x14ac:dyDescent="0.25">
      <c r="A2497" s="115"/>
      <c r="B2497" s="115"/>
      <c r="C2497" s="115"/>
      <c r="D2497" s="115"/>
      <c r="E2497" s="115"/>
      <c r="F2497" s="115"/>
      <c r="G2497" s="116"/>
      <c r="I2497" s="118"/>
      <c r="J2497" s="118"/>
      <c r="L2497" s="125"/>
    </row>
    <row r="2498" spans="1:12" x14ac:dyDescent="0.25">
      <c r="A2498" s="115"/>
      <c r="B2498" s="115"/>
      <c r="C2498" s="115"/>
      <c r="D2498" s="115"/>
      <c r="E2498" s="115"/>
      <c r="F2498" s="115"/>
      <c r="G2498" s="116"/>
      <c r="I2498" s="118"/>
      <c r="J2498" s="118"/>
      <c r="L2498" s="125"/>
    </row>
    <row r="2499" spans="1:12" x14ac:dyDescent="0.25">
      <c r="A2499" s="115"/>
      <c r="B2499" s="115"/>
      <c r="C2499" s="115"/>
      <c r="D2499" s="115"/>
      <c r="E2499" s="115"/>
      <c r="F2499" s="115"/>
      <c r="G2499" s="116"/>
      <c r="I2499" s="118"/>
      <c r="J2499" s="118"/>
      <c r="L2499" s="125"/>
    </row>
    <row r="2500" spans="1:12" x14ac:dyDescent="0.25">
      <c r="A2500" s="115"/>
      <c r="B2500" s="115"/>
      <c r="C2500" s="115"/>
      <c r="D2500" s="115"/>
      <c r="E2500" s="115"/>
      <c r="F2500" s="115"/>
      <c r="G2500" s="116"/>
      <c r="I2500" s="118"/>
      <c r="J2500" s="118"/>
      <c r="L2500" s="125"/>
    </row>
    <row r="2501" spans="1:12" x14ac:dyDescent="0.25">
      <c r="A2501" s="115"/>
      <c r="B2501" s="115"/>
      <c r="C2501" s="115"/>
      <c r="D2501" s="115"/>
      <c r="E2501" s="115"/>
      <c r="F2501" s="115"/>
      <c r="G2501" s="116"/>
      <c r="I2501" s="118"/>
      <c r="J2501" s="118"/>
      <c r="L2501" s="125"/>
    </row>
    <row r="2502" spans="1:12" x14ac:dyDescent="0.25">
      <c r="A2502" s="115"/>
      <c r="B2502" s="115"/>
      <c r="C2502" s="115"/>
      <c r="D2502" s="115"/>
      <c r="E2502" s="115"/>
      <c r="F2502" s="115"/>
      <c r="G2502" s="116"/>
      <c r="I2502" s="118"/>
      <c r="J2502" s="118"/>
      <c r="L2502" s="125"/>
    </row>
    <row r="2503" spans="1:12" x14ac:dyDescent="0.25">
      <c r="A2503" s="115"/>
      <c r="B2503" s="115"/>
      <c r="C2503" s="115"/>
      <c r="D2503" s="115"/>
      <c r="E2503" s="115"/>
      <c r="F2503" s="115"/>
      <c r="G2503" s="116"/>
      <c r="I2503" s="118"/>
      <c r="J2503" s="118"/>
      <c r="L2503" s="125"/>
    </row>
    <row r="2504" spans="1:12" x14ac:dyDescent="0.25">
      <c r="A2504" s="115"/>
      <c r="B2504" s="115"/>
      <c r="C2504" s="115"/>
      <c r="D2504" s="115"/>
      <c r="E2504" s="115"/>
      <c r="F2504" s="115"/>
      <c r="G2504" s="116"/>
      <c r="I2504" s="118"/>
      <c r="J2504" s="118"/>
      <c r="L2504" s="125"/>
    </row>
    <row r="2505" spans="1:12" x14ac:dyDescent="0.25">
      <c r="A2505" s="115"/>
      <c r="B2505" s="115"/>
      <c r="C2505" s="115"/>
      <c r="D2505" s="115"/>
      <c r="E2505" s="115"/>
      <c r="F2505" s="115"/>
      <c r="G2505" s="116"/>
      <c r="I2505" s="118"/>
      <c r="J2505" s="118"/>
      <c r="L2505" s="125"/>
    </row>
    <row r="2506" spans="1:12" x14ac:dyDescent="0.25">
      <c r="A2506" s="115"/>
      <c r="B2506" s="115"/>
      <c r="C2506" s="115"/>
      <c r="D2506" s="115"/>
      <c r="E2506" s="115"/>
      <c r="F2506" s="115"/>
      <c r="G2506" s="116"/>
      <c r="I2506" s="118"/>
      <c r="J2506" s="118"/>
      <c r="L2506" s="125"/>
    </row>
    <row r="2507" spans="1:12" x14ac:dyDescent="0.25">
      <c r="A2507" s="115"/>
      <c r="B2507" s="115"/>
      <c r="C2507" s="115"/>
      <c r="D2507" s="115"/>
      <c r="E2507" s="115"/>
      <c r="F2507" s="115"/>
      <c r="G2507" s="116"/>
      <c r="I2507" s="118"/>
      <c r="J2507" s="118"/>
      <c r="L2507" s="125"/>
    </row>
    <row r="2508" spans="1:12" x14ac:dyDescent="0.25">
      <c r="A2508" s="115"/>
      <c r="B2508" s="115"/>
      <c r="C2508" s="115"/>
      <c r="D2508" s="115"/>
      <c r="E2508" s="115"/>
      <c r="F2508" s="115"/>
      <c r="G2508" s="116"/>
      <c r="I2508" s="118"/>
      <c r="J2508" s="118"/>
      <c r="L2508" s="125"/>
    </row>
    <row r="2509" spans="1:12" x14ac:dyDescent="0.25">
      <c r="A2509" s="115"/>
      <c r="B2509" s="115"/>
      <c r="C2509" s="115"/>
      <c r="D2509" s="115"/>
      <c r="E2509" s="115"/>
      <c r="F2509" s="115"/>
      <c r="G2509" s="116"/>
      <c r="I2509" s="118"/>
      <c r="J2509" s="118"/>
      <c r="L2509" s="125"/>
    </row>
    <row r="2510" spans="1:12" x14ac:dyDescent="0.25">
      <c r="A2510" s="115"/>
      <c r="B2510" s="115"/>
      <c r="C2510" s="115"/>
      <c r="D2510" s="115"/>
      <c r="E2510" s="115"/>
      <c r="F2510" s="115"/>
      <c r="G2510" s="116"/>
      <c r="I2510" s="118"/>
      <c r="J2510" s="118"/>
      <c r="L2510" s="125"/>
    </row>
    <row r="2511" spans="1:12" x14ac:dyDescent="0.25">
      <c r="A2511" s="115"/>
      <c r="B2511" s="115"/>
      <c r="C2511" s="115"/>
      <c r="D2511" s="115"/>
      <c r="E2511" s="115"/>
      <c r="F2511" s="115"/>
      <c r="G2511" s="116"/>
      <c r="I2511" s="118"/>
      <c r="J2511" s="118"/>
      <c r="L2511" s="125"/>
    </row>
    <row r="2512" spans="1:12" x14ac:dyDescent="0.25">
      <c r="A2512" s="115"/>
      <c r="B2512" s="115"/>
      <c r="C2512" s="115"/>
      <c r="D2512" s="115"/>
      <c r="E2512" s="115"/>
      <c r="F2512" s="115"/>
      <c r="G2512" s="116"/>
      <c r="I2512" s="118"/>
      <c r="J2512" s="118"/>
      <c r="L2512" s="125"/>
    </row>
    <row r="2513" spans="1:12" x14ac:dyDescent="0.25">
      <c r="A2513" s="115"/>
      <c r="B2513" s="115"/>
      <c r="C2513" s="115"/>
      <c r="D2513" s="115"/>
      <c r="E2513" s="115"/>
      <c r="F2513" s="115"/>
      <c r="G2513" s="116"/>
      <c r="I2513" s="118"/>
      <c r="J2513" s="118"/>
      <c r="L2513" s="125"/>
    </row>
    <row r="2514" spans="1:12" x14ac:dyDescent="0.25">
      <c r="A2514" s="115"/>
      <c r="B2514" s="115"/>
      <c r="C2514" s="115"/>
      <c r="D2514" s="115"/>
      <c r="E2514" s="115"/>
      <c r="F2514" s="115"/>
      <c r="G2514" s="116"/>
      <c r="I2514" s="118"/>
      <c r="J2514" s="118"/>
      <c r="L2514" s="125"/>
    </row>
    <row r="2515" spans="1:12" x14ac:dyDescent="0.25">
      <c r="A2515" s="115"/>
      <c r="B2515" s="115"/>
      <c r="C2515" s="115"/>
      <c r="D2515" s="115"/>
      <c r="E2515" s="115"/>
      <c r="F2515" s="115"/>
      <c r="G2515" s="116"/>
      <c r="I2515" s="118"/>
      <c r="J2515" s="118"/>
      <c r="L2515" s="125"/>
    </row>
    <row r="2516" spans="1:12" x14ac:dyDescent="0.25">
      <c r="A2516" s="115"/>
      <c r="B2516" s="115"/>
      <c r="C2516" s="115"/>
      <c r="D2516" s="115"/>
      <c r="E2516" s="115"/>
      <c r="F2516" s="115"/>
      <c r="G2516" s="116"/>
      <c r="I2516" s="118"/>
      <c r="J2516" s="118"/>
      <c r="L2516" s="125"/>
    </row>
    <row r="2517" spans="1:12" x14ac:dyDescent="0.25">
      <c r="A2517" s="115"/>
      <c r="B2517" s="115"/>
      <c r="C2517" s="115"/>
      <c r="D2517" s="115"/>
      <c r="E2517" s="115"/>
      <c r="F2517" s="115"/>
      <c r="G2517" s="116"/>
      <c r="I2517" s="118"/>
      <c r="J2517" s="118"/>
      <c r="L2517" s="125"/>
    </row>
    <row r="2518" spans="1:12" x14ac:dyDescent="0.25">
      <c r="A2518" s="115"/>
      <c r="B2518" s="115"/>
      <c r="C2518" s="115"/>
      <c r="D2518" s="115"/>
      <c r="E2518" s="115"/>
      <c r="F2518" s="115"/>
      <c r="G2518" s="116"/>
      <c r="I2518" s="118"/>
      <c r="J2518" s="118"/>
      <c r="L2518" s="125"/>
    </row>
    <row r="2519" spans="1:12" x14ac:dyDescent="0.25">
      <c r="A2519" s="115"/>
      <c r="B2519" s="115"/>
      <c r="C2519" s="115"/>
      <c r="D2519" s="115"/>
      <c r="E2519" s="115"/>
      <c r="F2519" s="115"/>
      <c r="G2519" s="116"/>
      <c r="I2519" s="118"/>
      <c r="J2519" s="118"/>
      <c r="L2519" s="125"/>
    </row>
    <row r="2520" spans="1:12" x14ac:dyDescent="0.25">
      <c r="A2520" s="115"/>
      <c r="B2520" s="115"/>
      <c r="C2520" s="115"/>
      <c r="D2520" s="115"/>
      <c r="E2520" s="115"/>
      <c r="F2520" s="115"/>
      <c r="G2520" s="116"/>
      <c r="I2520" s="118"/>
      <c r="J2520" s="118"/>
      <c r="L2520" s="125"/>
    </row>
    <row r="2521" spans="1:12" x14ac:dyDescent="0.25">
      <c r="A2521" s="115"/>
      <c r="B2521" s="115"/>
      <c r="C2521" s="115"/>
      <c r="D2521" s="115"/>
      <c r="E2521" s="115"/>
      <c r="F2521" s="115"/>
      <c r="G2521" s="116"/>
      <c r="I2521" s="118"/>
      <c r="J2521" s="118"/>
      <c r="L2521" s="125"/>
    </row>
    <row r="2522" spans="1:12" x14ac:dyDescent="0.25">
      <c r="A2522" s="115"/>
      <c r="B2522" s="115"/>
      <c r="C2522" s="115"/>
      <c r="D2522" s="115"/>
      <c r="E2522" s="115"/>
      <c r="F2522" s="115"/>
      <c r="G2522" s="116"/>
      <c r="I2522" s="118"/>
      <c r="J2522" s="118"/>
      <c r="L2522" s="125"/>
    </row>
    <row r="2523" spans="1:12" x14ac:dyDescent="0.25">
      <c r="A2523" s="115"/>
      <c r="B2523" s="115"/>
      <c r="C2523" s="115"/>
      <c r="D2523" s="115"/>
      <c r="E2523" s="115"/>
      <c r="F2523" s="115"/>
      <c r="G2523" s="116"/>
      <c r="I2523" s="118"/>
      <c r="J2523" s="118"/>
      <c r="L2523" s="125"/>
    </row>
    <row r="2524" spans="1:12" x14ac:dyDescent="0.25">
      <c r="A2524" s="115"/>
      <c r="B2524" s="115"/>
      <c r="C2524" s="115"/>
      <c r="D2524" s="115"/>
      <c r="E2524" s="115"/>
      <c r="F2524" s="115"/>
      <c r="G2524" s="116"/>
      <c r="I2524" s="118"/>
      <c r="J2524" s="118"/>
      <c r="L2524" s="125"/>
    </row>
    <row r="2525" spans="1:12" x14ac:dyDescent="0.25">
      <c r="A2525" s="115"/>
      <c r="B2525" s="115"/>
      <c r="C2525" s="115"/>
      <c r="D2525" s="115"/>
      <c r="E2525" s="115"/>
      <c r="F2525" s="115"/>
      <c r="G2525" s="116"/>
      <c r="I2525" s="118"/>
      <c r="J2525" s="118"/>
      <c r="L2525" s="125"/>
    </row>
    <row r="2526" spans="1:12" x14ac:dyDescent="0.25">
      <c r="A2526" s="115"/>
      <c r="B2526" s="115"/>
      <c r="C2526" s="115"/>
      <c r="D2526" s="115"/>
      <c r="E2526" s="115"/>
      <c r="F2526" s="115"/>
      <c r="G2526" s="116"/>
      <c r="I2526" s="118"/>
      <c r="J2526" s="118"/>
      <c r="L2526" s="125"/>
    </row>
    <row r="2527" spans="1:12" x14ac:dyDescent="0.25">
      <c r="A2527" s="115"/>
      <c r="B2527" s="115"/>
      <c r="C2527" s="115"/>
      <c r="D2527" s="115"/>
      <c r="E2527" s="115"/>
      <c r="F2527" s="115"/>
      <c r="G2527" s="116"/>
      <c r="I2527" s="118"/>
      <c r="J2527" s="118"/>
      <c r="L2527" s="125"/>
    </row>
    <row r="2528" spans="1:12" x14ac:dyDescent="0.25">
      <c r="A2528" s="115"/>
      <c r="B2528" s="115"/>
      <c r="C2528" s="115"/>
      <c r="D2528" s="115"/>
      <c r="E2528" s="115"/>
      <c r="F2528" s="115"/>
      <c r="G2528" s="116"/>
      <c r="I2528" s="118"/>
      <c r="J2528" s="118"/>
      <c r="L2528" s="125"/>
    </row>
    <row r="2529" spans="1:12" x14ac:dyDescent="0.25">
      <c r="A2529" s="115"/>
      <c r="B2529" s="115"/>
      <c r="C2529" s="115"/>
      <c r="D2529" s="115"/>
      <c r="E2529" s="115"/>
      <c r="F2529" s="115"/>
      <c r="G2529" s="116"/>
      <c r="I2529" s="118"/>
      <c r="J2529" s="118"/>
      <c r="L2529" s="125"/>
    </row>
    <row r="2530" spans="1:12" x14ac:dyDescent="0.25">
      <c r="A2530" s="115"/>
      <c r="B2530" s="115"/>
      <c r="C2530" s="115"/>
      <c r="D2530" s="115"/>
      <c r="E2530" s="115"/>
      <c r="F2530" s="115"/>
      <c r="G2530" s="116"/>
      <c r="I2530" s="118"/>
      <c r="J2530" s="118"/>
      <c r="L2530" s="125"/>
    </row>
    <row r="2531" spans="1:12" x14ac:dyDescent="0.25">
      <c r="A2531" s="115"/>
      <c r="B2531" s="115"/>
      <c r="C2531" s="115"/>
      <c r="D2531" s="115"/>
      <c r="E2531" s="115"/>
      <c r="F2531" s="115"/>
      <c r="G2531" s="116"/>
      <c r="I2531" s="118"/>
      <c r="J2531" s="118"/>
      <c r="L2531" s="125"/>
    </row>
    <row r="2532" spans="1:12" x14ac:dyDescent="0.25">
      <c r="A2532" s="115"/>
      <c r="B2532" s="115"/>
      <c r="C2532" s="115"/>
      <c r="D2532" s="115"/>
      <c r="E2532" s="115"/>
      <c r="F2532" s="115"/>
      <c r="G2532" s="116"/>
      <c r="I2532" s="118"/>
      <c r="J2532" s="118"/>
      <c r="L2532" s="125"/>
    </row>
    <row r="2533" spans="1:12" x14ac:dyDescent="0.25">
      <c r="A2533" s="115"/>
      <c r="B2533" s="115"/>
      <c r="C2533" s="115"/>
      <c r="D2533" s="115"/>
      <c r="E2533" s="115"/>
      <c r="F2533" s="115"/>
      <c r="G2533" s="116"/>
      <c r="I2533" s="118"/>
      <c r="J2533" s="118"/>
      <c r="L2533" s="125"/>
    </row>
    <row r="2534" spans="1:12" x14ac:dyDescent="0.25">
      <c r="A2534" s="115"/>
      <c r="B2534" s="115"/>
      <c r="C2534" s="115"/>
      <c r="D2534" s="115"/>
      <c r="E2534" s="115"/>
      <c r="F2534" s="115"/>
      <c r="G2534" s="116"/>
      <c r="I2534" s="118"/>
      <c r="J2534" s="118"/>
      <c r="L2534" s="125"/>
    </row>
    <row r="2535" spans="1:12" x14ac:dyDescent="0.25">
      <c r="A2535" s="115"/>
      <c r="B2535" s="115"/>
      <c r="C2535" s="115"/>
      <c r="D2535" s="115"/>
      <c r="E2535" s="115"/>
      <c r="F2535" s="115"/>
      <c r="G2535" s="116"/>
      <c r="I2535" s="118"/>
      <c r="J2535" s="118"/>
      <c r="L2535" s="125"/>
    </row>
    <row r="2536" spans="1:12" x14ac:dyDescent="0.25">
      <c r="A2536" s="115"/>
      <c r="B2536" s="115"/>
      <c r="C2536" s="115"/>
      <c r="D2536" s="115"/>
      <c r="E2536" s="115"/>
      <c r="F2536" s="115"/>
      <c r="G2536" s="116"/>
      <c r="I2536" s="118"/>
      <c r="J2536" s="118"/>
      <c r="L2536" s="125"/>
    </row>
    <row r="2537" spans="1:12" x14ac:dyDescent="0.25">
      <c r="A2537" s="115"/>
      <c r="B2537" s="115"/>
      <c r="C2537" s="115"/>
      <c r="D2537" s="115"/>
      <c r="E2537" s="115"/>
      <c r="F2537" s="115"/>
      <c r="G2537" s="116"/>
      <c r="I2537" s="118"/>
      <c r="J2537" s="118"/>
      <c r="L2537" s="125"/>
    </row>
    <row r="2538" spans="1:12" x14ac:dyDescent="0.25">
      <c r="A2538" s="115"/>
      <c r="B2538" s="115"/>
      <c r="C2538" s="115"/>
      <c r="D2538" s="115"/>
      <c r="E2538" s="115"/>
      <c r="F2538" s="115"/>
      <c r="G2538" s="116"/>
      <c r="I2538" s="118"/>
      <c r="J2538" s="118"/>
      <c r="L2538" s="125"/>
    </row>
    <row r="2539" spans="1:12" x14ac:dyDescent="0.25">
      <c r="A2539" s="115"/>
      <c r="B2539" s="115"/>
      <c r="C2539" s="115"/>
      <c r="D2539" s="115"/>
      <c r="E2539" s="115"/>
      <c r="F2539" s="115"/>
      <c r="G2539" s="116"/>
      <c r="I2539" s="118"/>
      <c r="J2539" s="118"/>
      <c r="L2539" s="125"/>
    </row>
    <row r="2540" spans="1:12" x14ac:dyDescent="0.25">
      <c r="A2540" s="115"/>
      <c r="B2540" s="115"/>
      <c r="C2540" s="115"/>
      <c r="D2540" s="115"/>
      <c r="E2540" s="115"/>
      <c r="F2540" s="115"/>
      <c r="G2540" s="116"/>
      <c r="I2540" s="118"/>
      <c r="J2540" s="118"/>
      <c r="L2540" s="125"/>
    </row>
    <row r="2541" spans="1:12" x14ac:dyDescent="0.25">
      <c r="A2541" s="115"/>
      <c r="B2541" s="115"/>
      <c r="C2541" s="115"/>
      <c r="D2541" s="115"/>
      <c r="E2541" s="115"/>
      <c r="F2541" s="115"/>
      <c r="G2541" s="116"/>
      <c r="I2541" s="118"/>
      <c r="J2541" s="118"/>
      <c r="L2541" s="125"/>
    </row>
    <row r="2542" spans="1:12" x14ac:dyDescent="0.25">
      <c r="A2542" s="115"/>
      <c r="B2542" s="115"/>
      <c r="C2542" s="115"/>
      <c r="D2542" s="115"/>
      <c r="E2542" s="115"/>
      <c r="F2542" s="115"/>
      <c r="G2542" s="116"/>
      <c r="I2542" s="118"/>
      <c r="J2542" s="118"/>
      <c r="L2542" s="125"/>
    </row>
    <row r="2543" spans="1:12" x14ac:dyDescent="0.25">
      <c r="A2543" s="115"/>
      <c r="B2543" s="115"/>
      <c r="C2543" s="115"/>
      <c r="D2543" s="115"/>
      <c r="E2543" s="115"/>
      <c r="F2543" s="115"/>
      <c r="G2543" s="116"/>
      <c r="I2543" s="118"/>
      <c r="J2543" s="118"/>
      <c r="L2543" s="125"/>
    </row>
    <row r="2544" spans="1:12" x14ac:dyDescent="0.25">
      <c r="A2544" s="115"/>
      <c r="B2544" s="115"/>
      <c r="C2544" s="115"/>
      <c r="D2544" s="115"/>
      <c r="E2544" s="115"/>
      <c r="F2544" s="115"/>
      <c r="G2544" s="116"/>
      <c r="I2544" s="118"/>
      <c r="J2544" s="118"/>
      <c r="L2544" s="125"/>
    </row>
    <row r="2545" spans="1:12" x14ac:dyDescent="0.25">
      <c r="A2545" s="115"/>
      <c r="B2545" s="115"/>
      <c r="C2545" s="115"/>
      <c r="D2545" s="115"/>
      <c r="E2545" s="115"/>
      <c r="F2545" s="115"/>
      <c r="G2545" s="116"/>
      <c r="I2545" s="118"/>
      <c r="J2545" s="118"/>
      <c r="L2545" s="125"/>
    </row>
    <row r="2546" spans="1:12" x14ac:dyDescent="0.25">
      <c r="A2546" s="115"/>
      <c r="B2546" s="115"/>
      <c r="C2546" s="115"/>
      <c r="D2546" s="115"/>
      <c r="E2546" s="115"/>
      <c r="F2546" s="115"/>
      <c r="G2546" s="116"/>
      <c r="I2546" s="118"/>
      <c r="J2546" s="118"/>
      <c r="L2546" s="125"/>
    </row>
    <row r="2547" spans="1:12" x14ac:dyDescent="0.25">
      <c r="A2547" s="115"/>
      <c r="B2547" s="115"/>
      <c r="C2547" s="115"/>
      <c r="D2547" s="115"/>
      <c r="E2547" s="115"/>
      <c r="F2547" s="115"/>
      <c r="G2547" s="116"/>
      <c r="I2547" s="118"/>
      <c r="J2547" s="118"/>
      <c r="L2547" s="125"/>
    </row>
    <row r="2548" spans="1:12" x14ac:dyDescent="0.25">
      <c r="A2548" s="115"/>
      <c r="B2548" s="115"/>
      <c r="C2548" s="115"/>
      <c r="D2548" s="115"/>
      <c r="E2548" s="115"/>
      <c r="F2548" s="115"/>
      <c r="G2548" s="116"/>
      <c r="I2548" s="118"/>
      <c r="J2548" s="118"/>
      <c r="L2548" s="125"/>
    </row>
    <row r="2549" spans="1:12" x14ac:dyDescent="0.25">
      <c r="A2549" s="115"/>
      <c r="B2549" s="115"/>
      <c r="C2549" s="115"/>
      <c r="D2549" s="115"/>
      <c r="E2549" s="115"/>
      <c r="F2549" s="115"/>
      <c r="G2549" s="116"/>
      <c r="I2549" s="118"/>
      <c r="J2549" s="118"/>
      <c r="L2549" s="125"/>
    </row>
    <row r="2550" spans="1:12" x14ac:dyDescent="0.25">
      <c r="A2550" s="115"/>
      <c r="B2550" s="115"/>
      <c r="C2550" s="115"/>
      <c r="D2550" s="115"/>
      <c r="E2550" s="115"/>
      <c r="F2550" s="115"/>
      <c r="G2550" s="116"/>
      <c r="I2550" s="118"/>
      <c r="J2550" s="118"/>
      <c r="L2550" s="125"/>
    </row>
    <row r="2551" spans="1:12" x14ac:dyDescent="0.25">
      <c r="A2551" s="115"/>
      <c r="B2551" s="115"/>
      <c r="C2551" s="115"/>
      <c r="D2551" s="115"/>
      <c r="E2551" s="115"/>
      <c r="F2551" s="115"/>
      <c r="G2551" s="116"/>
      <c r="I2551" s="118"/>
      <c r="J2551" s="118"/>
      <c r="L2551" s="125"/>
    </row>
    <row r="2552" spans="1:12" x14ac:dyDescent="0.25">
      <c r="A2552" s="115"/>
      <c r="B2552" s="115"/>
      <c r="C2552" s="115"/>
      <c r="D2552" s="115"/>
      <c r="E2552" s="115"/>
      <c r="F2552" s="115"/>
      <c r="G2552" s="116"/>
      <c r="I2552" s="118"/>
      <c r="J2552" s="118"/>
      <c r="L2552" s="125"/>
    </row>
    <row r="2553" spans="1:12" x14ac:dyDescent="0.25">
      <c r="A2553" s="115"/>
      <c r="B2553" s="115"/>
      <c r="C2553" s="115"/>
      <c r="D2553" s="115"/>
      <c r="E2553" s="115"/>
      <c r="F2553" s="115"/>
      <c r="G2553" s="116"/>
      <c r="I2553" s="118"/>
      <c r="J2553" s="118"/>
      <c r="L2553" s="125"/>
    </row>
    <row r="2554" spans="1:12" x14ac:dyDescent="0.25">
      <c r="A2554" s="115"/>
      <c r="B2554" s="115"/>
      <c r="C2554" s="115"/>
      <c r="D2554" s="115"/>
      <c r="E2554" s="115"/>
      <c r="F2554" s="115"/>
      <c r="G2554" s="116"/>
      <c r="I2554" s="118"/>
      <c r="J2554" s="118"/>
      <c r="L2554" s="125"/>
    </row>
    <row r="2555" spans="1:12" x14ac:dyDescent="0.25">
      <c r="A2555" s="115"/>
      <c r="B2555" s="115"/>
      <c r="C2555" s="115"/>
      <c r="D2555" s="115"/>
      <c r="E2555" s="115"/>
      <c r="F2555" s="115"/>
      <c r="G2555" s="116"/>
      <c r="I2555" s="118"/>
      <c r="J2555" s="118"/>
      <c r="L2555" s="125"/>
    </row>
    <row r="2556" spans="1:12" x14ac:dyDescent="0.25">
      <c r="A2556" s="115"/>
      <c r="B2556" s="115"/>
      <c r="C2556" s="115"/>
      <c r="D2556" s="115"/>
      <c r="E2556" s="115"/>
      <c r="F2556" s="115"/>
      <c r="G2556" s="116"/>
      <c r="I2556" s="118"/>
      <c r="J2556" s="118"/>
      <c r="L2556" s="125"/>
    </row>
    <row r="2557" spans="1:12" x14ac:dyDescent="0.25">
      <c r="A2557" s="115"/>
      <c r="B2557" s="115"/>
      <c r="C2557" s="115"/>
      <c r="D2557" s="115"/>
      <c r="E2557" s="115"/>
      <c r="F2557" s="115"/>
      <c r="G2557" s="116"/>
      <c r="I2557" s="118"/>
      <c r="J2557" s="118"/>
      <c r="L2557" s="125"/>
    </row>
    <row r="2558" spans="1:12" x14ac:dyDescent="0.25">
      <c r="A2558" s="115"/>
      <c r="B2558" s="115"/>
      <c r="C2558" s="115"/>
      <c r="D2558" s="115"/>
      <c r="E2558" s="115"/>
      <c r="F2558" s="115"/>
      <c r="G2558" s="116"/>
      <c r="I2558" s="118"/>
      <c r="J2558" s="118"/>
      <c r="L2558" s="125"/>
    </row>
    <row r="2559" spans="1:12" x14ac:dyDescent="0.25">
      <c r="A2559" s="115"/>
      <c r="B2559" s="115"/>
      <c r="C2559" s="115"/>
      <c r="D2559" s="115"/>
      <c r="E2559" s="115"/>
      <c r="F2559" s="115"/>
      <c r="G2559" s="116"/>
      <c r="I2559" s="118"/>
      <c r="J2559" s="118"/>
      <c r="L2559" s="125"/>
    </row>
    <row r="2560" spans="1:12" x14ac:dyDescent="0.25">
      <c r="A2560" s="115"/>
      <c r="B2560" s="115"/>
      <c r="C2560" s="115"/>
      <c r="D2560" s="115"/>
      <c r="E2560" s="115"/>
      <c r="F2560" s="115"/>
      <c r="G2560" s="116"/>
      <c r="I2560" s="118"/>
      <c r="J2560" s="118"/>
      <c r="L2560" s="125"/>
    </row>
    <row r="2561" spans="1:12" x14ac:dyDescent="0.25">
      <c r="A2561" s="115"/>
      <c r="B2561" s="115"/>
      <c r="C2561" s="115"/>
      <c r="D2561" s="115"/>
      <c r="E2561" s="115"/>
      <c r="F2561" s="115"/>
      <c r="G2561" s="116"/>
      <c r="I2561" s="118"/>
      <c r="J2561" s="118"/>
      <c r="L2561" s="125"/>
    </row>
    <row r="2562" spans="1:12" x14ac:dyDescent="0.25">
      <c r="A2562" s="115"/>
      <c r="B2562" s="115"/>
      <c r="C2562" s="115"/>
      <c r="D2562" s="115"/>
      <c r="E2562" s="115"/>
      <c r="F2562" s="115"/>
      <c r="G2562" s="116"/>
      <c r="I2562" s="118"/>
      <c r="J2562" s="118"/>
      <c r="L2562" s="125"/>
    </row>
    <row r="2563" spans="1:12" x14ac:dyDescent="0.25">
      <c r="A2563" s="115"/>
      <c r="B2563" s="115"/>
      <c r="C2563" s="115"/>
      <c r="D2563" s="115"/>
      <c r="E2563" s="115"/>
      <c r="F2563" s="115"/>
      <c r="G2563" s="116"/>
      <c r="I2563" s="118"/>
      <c r="J2563" s="118"/>
      <c r="L2563" s="125"/>
    </row>
    <row r="2564" spans="1:12" x14ac:dyDescent="0.25">
      <c r="A2564" s="115"/>
      <c r="B2564" s="115"/>
      <c r="C2564" s="115"/>
      <c r="D2564" s="115"/>
      <c r="E2564" s="115"/>
      <c r="F2564" s="115"/>
      <c r="G2564" s="116"/>
      <c r="I2564" s="118"/>
      <c r="J2564" s="118"/>
      <c r="L2564" s="125"/>
    </row>
    <row r="2565" spans="1:12" x14ac:dyDescent="0.25">
      <c r="A2565" s="115"/>
      <c r="B2565" s="115"/>
      <c r="C2565" s="115"/>
      <c r="D2565" s="115"/>
      <c r="E2565" s="115"/>
      <c r="F2565" s="115"/>
      <c r="G2565" s="116"/>
      <c r="I2565" s="118"/>
      <c r="J2565" s="118"/>
      <c r="L2565" s="125"/>
    </row>
    <row r="2566" spans="1:12" x14ac:dyDescent="0.25">
      <c r="A2566" s="115"/>
      <c r="B2566" s="115"/>
      <c r="C2566" s="115"/>
      <c r="D2566" s="115"/>
      <c r="E2566" s="115"/>
      <c r="F2566" s="115"/>
      <c r="G2566" s="116"/>
      <c r="I2566" s="118"/>
      <c r="J2566" s="118"/>
      <c r="L2566" s="125"/>
    </row>
    <row r="2567" spans="1:12" x14ac:dyDescent="0.25">
      <c r="A2567" s="115"/>
      <c r="B2567" s="115"/>
      <c r="C2567" s="115"/>
      <c r="D2567" s="115"/>
      <c r="E2567" s="115"/>
      <c r="F2567" s="115"/>
      <c r="G2567" s="116"/>
      <c r="I2567" s="118"/>
      <c r="J2567" s="118"/>
      <c r="L2567" s="125"/>
    </row>
    <row r="2568" spans="1:12" x14ac:dyDescent="0.25">
      <c r="A2568" s="115"/>
      <c r="B2568" s="115"/>
      <c r="C2568" s="115"/>
      <c r="D2568" s="115"/>
      <c r="E2568" s="115"/>
      <c r="F2568" s="115"/>
      <c r="G2568" s="116"/>
      <c r="I2568" s="118"/>
      <c r="J2568" s="118"/>
      <c r="L2568" s="125"/>
    </row>
    <row r="2569" spans="1:12" x14ac:dyDescent="0.25">
      <c r="A2569" s="115"/>
      <c r="B2569" s="115"/>
      <c r="C2569" s="115"/>
      <c r="D2569" s="115"/>
      <c r="E2569" s="115"/>
      <c r="F2569" s="115"/>
      <c r="G2569" s="116"/>
      <c r="I2569" s="118"/>
      <c r="J2569" s="118"/>
      <c r="L2569" s="125"/>
    </row>
    <row r="2570" spans="1:12" x14ac:dyDescent="0.25">
      <c r="A2570" s="115"/>
      <c r="B2570" s="115"/>
      <c r="C2570" s="115"/>
      <c r="D2570" s="115"/>
      <c r="E2570" s="115"/>
      <c r="F2570" s="115"/>
      <c r="G2570" s="116"/>
      <c r="I2570" s="118"/>
      <c r="J2570" s="118"/>
      <c r="L2570" s="125"/>
    </row>
    <row r="2571" spans="1:12" x14ac:dyDescent="0.25">
      <c r="A2571" s="115"/>
      <c r="B2571" s="115"/>
      <c r="C2571" s="115"/>
      <c r="D2571" s="115"/>
      <c r="E2571" s="115"/>
      <c r="F2571" s="115"/>
      <c r="G2571" s="116"/>
      <c r="I2571" s="118"/>
      <c r="J2571" s="118"/>
      <c r="L2571" s="125"/>
    </row>
    <row r="2572" spans="1:12" x14ac:dyDescent="0.25">
      <c r="A2572" s="115"/>
      <c r="B2572" s="115"/>
      <c r="C2572" s="115"/>
      <c r="D2572" s="115"/>
      <c r="E2572" s="115"/>
      <c r="F2572" s="115"/>
      <c r="G2572" s="116"/>
      <c r="I2572" s="118"/>
      <c r="J2572" s="118"/>
      <c r="L2572" s="125"/>
    </row>
    <row r="2573" spans="1:12" x14ac:dyDescent="0.25">
      <c r="A2573" s="115"/>
      <c r="B2573" s="115"/>
      <c r="C2573" s="115"/>
      <c r="D2573" s="115"/>
      <c r="E2573" s="115"/>
      <c r="F2573" s="115"/>
      <c r="G2573" s="116"/>
      <c r="I2573" s="118"/>
      <c r="J2573" s="118"/>
      <c r="L2573" s="125"/>
    </row>
    <row r="2574" spans="1:12" x14ac:dyDescent="0.25">
      <c r="A2574" s="115"/>
      <c r="B2574" s="115"/>
      <c r="C2574" s="115"/>
      <c r="D2574" s="115"/>
      <c r="E2574" s="115"/>
      <c r="F2574" s="115"/>
      <c r="G2574" s="116"/>
      <c r="I2574" s="118"/>
      <c r="J2574" s="118"/>
      <c r="L2574" s="125"/>
    </row>
    <row r="2575" spans="1:12" x14ac:dyDescent="0.25">
      <c r="A2575" s="115"/>
      <c r="B2575" s="115"/>
      <c r="C2575" s="115"/>
      <c r="D2575" s="115"/>
      <c r="E2575" s="115"/>
      <c r="F2575" s="115"/>
      <c r="G2575" s="116"/>
      <c r="I2575" s="118"/>
      <c r="J2575" s="118"/>
      <c r="L2575" s="125"/>
    </row>
    <row r="2576" spans="1:12" x14ac:dyDescent="0.25">
      <c r="A2576" s="115"/>
      <c r="B2576" s="115"/>
      <c r="C2576" s="115"/>
      <c r="D2576" s="115"/>
      <c r="E2576" s="115"/>
      <c r="F2576" s="115"/>
      <c r="G2576" s="116"/>
      <c r="I2576" s="118"/>
      <c r="J2576" s="118"/>
      <c r="L2576" s="125"/>
    </row>
    <row r="2577" spans="1:12" x14ac:dyDescent="0.25">
      <c r="A2577" s="115"/>
      <c r="B2577" s="115"/>
      <c r="C2577" s="115"/>
      <c r="D2577" s="115"/>
      <c r="E2577" s="115"/>
      <c r="F2577" s="115"/>
      <c r="G2577" s="116"/>
      <c r="I2577" s="118"/>
      <c r="J2577" s="118"/>
      <c r="L2577" s="125"/>
    </row>
    <row r="2578" spans="1:12" x14ac:dyDescent="0.25">
      <c r="A2578" s="115"/>
      <c r="B2578" s="115"/>
      <c r="C2578" s="115"/>
      <c r="D2578" s="115"/>
      <c r="E2578" s="115"/>
      <c r="F2578" s="115"/>
      <c r="G2578" s="116"/>
      <c r="I2578" s="118"/>
      <c r="J2578" s="118"/>
      <c r="L2578" s="125"/>
    </row>
    <row r="2579" spans="1:12" x14ac:dyDescent="0.25">
      <c r="A2579" s="115"/>
      <c r="B2579" s="115"/>
      <c r="C2579" s="115"/>
      <c r="D2579" s="115"/>
      <c r="E2579" s="115"/>
      <c r="F2579" s="115"/>
      <c r="G2579" s="116"/>
      <c r="I2579" s="118"/>
      <c r="J2579" s="118"/>
      <c r="L2579" s="125"/>
    </row>
    <row r="2580" spans="1:12" x14ac:dyDescent="0.25">
      <c r="A2580" s="115"/>
      <c r="B2580" s="115"/>
      <c r="C2580" s="115"/>
      <c r="D2580" s="115"/>
      <c r="E2580" s="115"/>
      <c r="F2580" s="115"/>
      <c r="G2580" s="116"/>
      <c r="I2580" s="118"/>
      <c r="J2580" s="118"/>
      <c r="L2580" s="125"/>
    </row>
    <row r="2581" spans="1:12" x14ac:dyDescent="0.25">
      <c r="A2581" s="115"/>
      <c r="B2581" s="115"/>
      <c r="C2581" s="115"/>
      <c r="D2581" s="115"/>
      <c r="E2581" s="115"/>
      <c r="F2581" s="115"/>
      <c r="G2581" s="116"/>
      <c r="I2581" s="118"/>
      <c r="J2581" s="118"/>
      <c r="L2581" s="125"/>
    </row>
    <row r="2582" spans="1:12" x14ac:dyDescent="0.25">
      <c r="A2582" s="115"/>
      <c r="B2582" s="115"/>
      <c r="C2582" s="115"/>
      <c r="D2582" s="115"/>
      <c r="E2582" s="115"/>
      <c r="F2582" s="115"/>
      <c r="G2582" s="116"/>
      <c r="I2582" s="118"/>
      <c r="J2582" s="118"/>
      <c r="L2582" s="125"/>
    </row>
    <row r="2583" spans="1:12" x14ac:dyDescent="0.25">
      <c r="A2583" s="115"/>
      <c r="B2583" s="115"/>
      <c r="C2583" s="115"/>
      <c r="D2583" s="115"/>
      <c r="E2583" s="115"/>
      <c r="F2583" s="115"/>
      <c r="G2583" s="116"/>
      <c r="I2583" s="118"/>
      <c r="J2583" s="118"/>
      <c r="L2583" s="125"/>
    </row>
    <row r="2584" spans="1:12" x14ac:dyDescent="0.25">
      <c r="A2584" s="115"/>
      <c r="B2584" s="115"/>
      <c r="C2584" s="115"/>
      <c r="D2584" s="115"/>
      <c r="E2584" s="115"/>
      <c r="F2584" s="115"/>
      <c r="G2584" s="116"/>
      <c r="I2584" s="118"/>
      <c r="J2584" s="118"/>
      <c r="L2584" s="125"/>
    </row>
    <row r="2585" spans="1:12" x14ac:dyDescent="0.25">
      <c r="A2585" s="115"/>
      <c r="B2585" s="115"/>
      <c r="C2585" s="115"/>
      <c r="D2585" s="115"/>
      <c r="E2585" s="115"/>
      <c r="F2585" s="115"/>
      <c r="G2585" s="116"/>
      <c r="I2585" s="118"/>
      <c r="J2585" s="118"/>
      <c r="L2585" s="125"/>
    </row>
    <row r="2586" spans="1:12" x14ac:dyDescent="0.25">
      <c r="A2586" s="115"/>
      <c r="B2586" s="115"/>
      <c r="C2586" s="115"/>
      <c r="D2586" s="115"/>
      <c r="E2586" s="115"/>
      <c r="F2586" s="115"/>
      <c r="G2586" s="116"/>
      <c r="I2586" s="118"/>
      <c r="J2586" s="118"/>
      <c r="L2586" s="125"/>
    </row>
    <row r="2587" spans="1:12" x14ac:dyDescent="0.25">
      <c r="A2587" s="115"/>
      <c r="B2587" s="115"/>
      <c r="C2587" s="115"/>
      <c r="D2587" s="115"/>
      <c r="E2587" s="115"/>
      <c r="F2587" s="115"/>
      <c r="G2587" s="116"/>
      <c r="I2587" s="118"/>
      <c r="J2587" s="118"/>
      <c r="L2587" s="125"/>
    </row>
    <row r="2588" spans="1:12" x14ac:dyDescent="0.25">
      <c r="A2588" s="115"/>
      <c r="B2588" s="115"/>
      <c r="C2588" s="115"/>
      <c r="D2588" s="115"/>
      <c r="E2588" s="115"/>
      <c r="F2588" s="115"/>
      <c r="G2588" s="116"/>
      <c r="I2588" s="118"/>
      <c r="J2588" s="118"/>
      <c r="L2588" s="125"/>
    </row>
    <row r="2589" spans="1:12" x14ac:dyDescent="0.25">
      <c r="A2589" s="115"/>
      <c r="B2589" s="115"/>
      <c r="C2589" s="115"/>
      <c r="D2589" s="115"/>
      <c r="E2589" s="115"/>
      <c r="F2589" s="115"/>
      <c r="G2589" s="116"/>
      <c r="I2589" s="118"/>
      <c r="J2589" s="118"/>
      <c r="L2589" s="125"/>
    </row>
    <row r="2590" spans="1:12" x14ac:dyDescent="0.25">
      <c r="A2590" s="115"/>
      <c r="B2590" s="115"/>
      <c r="C2590" s="115"/>
      <c r="D2590" s="115"/>
      <c r="E2590" s="115"/>
      <c r="F2590" s="115"/>
      <c r="G2590" s="116"/>
      <c r="I2590" s="118"/>
      <c r="J2590" s="118"/>
      <c r="L2590" s="125"/>
    </row>
    <row r="2591" spans="1:12" x14ac:dyDescent="0.25">
      <c r="A2591" s="115"/>
      <c r="B2591" s="115"/>
      <c r="C2591" s="115"/>
      <c r="D2591" s="115"/>
      <c r="E2591" s="115"/>
      <c r="F2591" s="115"/>
      <c r="G2591" s="116"/>
      <c r="I2591" s="118"/>
      <c r="J2591" s="118"/>
      <c r="L2591" s="125"/>
    </row>
    <row r="2592" spans="1:12" x14ac:dyDescent="0.25">
      <c r="A2592" s="115"/>
      <c r="B2592" s="115"/>
      <c r="C2592" s="115"/>
      <c r="D2592" s="115"/>
      <c r="E2592" s="115"/>
      <c r="F2592" s="115"/>
      <c r="G2592" s="116"/>
      <c r="I2592" s="118"/>
      <c r="J2592" s="118"/>
      <c r="L2592" s="125"/>
    </row>
    <row r="2593" spans="1:12" x14ac:dyDescent="0.25">
      <c r="A2593" s="115"/>
      <c r="B2593" s="115"/>
      <c r="C2593" s="115"/>
      <c r="D2593" s="115"/>
      <c r="E2593" s="115"/>
      <c r="F2593" s="115"/>
      <c r="G2593" s="116"/>
      <c r="I2593" s="118"/>
      <c r="J2593" s="118"/>
      <c r="L2593" s="125"/>
    </row>
    <row r="2594" spans="1:12" x14ac:dyDescent="0.25">
      <c r="A2594" s="115"/>
      <c r="B2594" s="115"/>
      <c r="C2594" s="115"/>
      <c r="D2594" s="115"/>
      <c r="E2594" s="115"/>
      <c r="F2594" s="115"/>
      <c r="G2594" s="116"/>
      <c r="I2594" s="118"/>
      <c r="J2594" s="118"/>
      <c r="L2594" s="125"/>
    </row>
    <row r="2595" spans="1:12" x14ac:dyDescent="0.25">
      <c r="A2595" s="115"/>
      <c r="B2595" s="115"/>
      <c r="C2595" s="115"/>
      <c r="D2595" s="115"/>
      <c r="E2595" s="115"/>
      <c r="F2595" s="115"/>
      <c r="G2595" s="116"/>
      <c r="I2595" s="118"/>
      <c r="J2595" s="118"/>
      <c r="L2595" s="125"/>
    </row>
    <row r="2596" spans="1:12" x14ac:dyDescent="0.25">
      <c r="A2596" s="115"/>
      <c r="B2596" s="115"/>
      <c r="C2596" s="115"/>
      <c r="D2596" s="115"/>
      <c r="E2596" s="115"/>
      <c r="F2596" s="115"/>
      <c r="G2596" s="116"/>
      <c r="I2596" s="118"/>
      <c r="J2596" s="118"/>
      <c r="L2596" s="125"/>
    </row>
    <row r="2597" spans="1:12" x14ac:dyDescent="0.25">
      <c r="A2597" s="115"/>
      <c r="B2597" s="115"/>
      <c r="C2597" s="115"/>
      <c r="D2597" s="115"/>
      <c r="E2597" s="115"/>
      <c r="F2597" s="115"/>
      <c r="G2597" s="116"/>
      <c r="I2597" s="118"/>
      <c r="J2597" s="118"/>
      <c r="L2597" s="125"/>
    </row>
    <row r="2598" spans="1:12" x14ac:dyDescent="0.25">
      <c r="A2598" s="115"/>
      <c r="B2598" s="115"/>
      <c r="C2598" s="115"/>
      <c r="D2598" s="115"/>
      <c r="E2598" s="115"/>
      <c r="F2598" s="115"/>
      <c r="G2598" s="116"/>
      <c r="I2598" s="118"/>
      <c r="J2598" s="118"/>
      <c r="L2598" s="125"/>
    </row>
    <row r="2599" spans="1:12" x14ac:dyDescent="0.25">
      <c r="A2599" s="115"/>
      <c r="B2599" s="115"/>
      <c r="C2599" s="115"/>
      <c r="D2599" s="115"/>
      <c r="E2599" s="115"/>
      <c r="F2599" s="115"/>
      <c r="G2599" s="116"/>
      <c r="I2599" s="118"/>
      <c r="J2599" s="118"/>
      <c r="L2599" s="125"/>
    </row>
    <row r="2600" spans="1:12" x14ac:dyDescent="0.25">
      <c r="A2600" s="115"/>
      <c r="B2600" s="115"/>
      <c r="C2600" s="115"/>
      <c r="D2600" s="115"/>
      <c r="E2600" s="115"/>
      <c r="F2600" s="115"/>
      <c r="G2600" s="116"/>
      <c r="I2600" s="118"/>
      <c r="J2600" s="118"/>
      <c r="L2600" s="125"/>
    </row>
    <row r="2601" spans="1:12" x14ac:dyDescent="0.25">
      <c r="A2601" s="115"/>
      <c r="B2601" s="115"/>
      <c r="C2601" s="115"/>
      <c r="D2601" s="115"/>
      <c r="E2601" s="115"/>
      <c r="F2601" s="115"/>
      <c r="G2601" s="116"/>
      <c r="I2601" s="118"/>
      <c r="J2601" s="118"/>
      <c r="L2601" s="125"/>
    </row>
    <row r="2602" spans="1:12" x14ac:dyDescent="0.25">
      <c r="A2602" s="115"/>
      <c r="B2602" s="115"/>
      <c r="C2602" s="115"/>
      <c r="D2602" s="115"/>
      <c r="E2602" s="115"/>
      <c r="F2602" s="115"/>
      <c r="G2602" s="116"/>
      <c r="I2602" s="118"/>
      <c r="J2602" s="118"/>
      <c r="L2602" s="125"/>
    </row>
    <row r="2603" spans="1:12" x14ac:dyDescent="0.25">
      <c r="A2603" s="115"/>
      <c r="B2603" s="115"/>
      <c r="C2603" s="115"/>
      <c r="D2603" s="115"/>
      <c r="E2603" s="115"/>
      <c r="F2603" s="115"/>
      <c r="G2603" s="116"/>
      <c r="I2603" s="118"/>
      <c r="J2603" s="118"/>
      <c r="L2603" s="125"/>
    </row>
    <row r="2604" spans="1:12" x14ac:dyDescent="0.25">
      <c r="A2604" s="115"/>
      <c r="B2604" s="115"/>
      <c r="C2604" s="115"/>
      <c r="D2604" s="115"/>
      <c r="E2604" s="115"/>
      <c r="F2604" s="115"/>
      <c r="G2604" s="116"/>
      <c r="I2604" s="118"/>
      <c r="J2604" s="118"/>
      <c r="L2604" s="125"/>
    </row>
    <row r="2605" spans="1:12" x14ac:dyDescent="0.25">
      <c r="A2605" s="115"/>
      <c r="B2605" s="115"/>
      <c r="C2605" s="115"/>
      <c r="D2605" s="115"/>
      <c r="E2605" s="115"/>
      <c r="F2605" s="115"/>
      <c r="G2605" s="116"/>
      <c r="I2605" s="118"/>
      <c r="J2605" s="118"/>
      <c r="L2605" s="125"/>
    </row>
    <row r="2606" spans="1:12" x14ac:dyDescent="0.25">
      <c r="A2606" s="115"/>
      <c r="B2606" s="115"/>
      <c r="C2606" s="115"/>
      <c r="D2606" s="115"/>
      <c r="E2606" s="115"/>
      <c r="F2606" s="115"/>
      <c r="G2606" s="116"/>
      <c r="I2606" s="118"/>
      <c r="J2606" s="118"/>
      <c r="L2606" s="125"/>
    </row>
    <row r="2607" spans="1:12" x14ac:dyDescent="0.25">
      <c r="A2607" s="115"/>
      <c r="B2607" s="115"/>
      <c r="C2607" s="115"/>
      <c r="D2607" s="115"/>
      <c r="E2607" s="115"/>
      <c r="F2607" s="115"/>
      <c r="G2607" s="116"/>
      <c r="I2607" s="118"/>
      <c r="J2607" s="118"/>
      <c r="L2607" s="125"/>
    </row>
    <row r="2608" spans="1:12" x14ac:dyDescent="0.25">
      <c r="A2608" s="115"/>
      <c r="B2608" s="115"/>
      <c r="C2608" s="115"/>
      <c r="D2608" s="115"/>
      <c r="E2608" s="115"/>
      <c r="F2608" s="115"/>
      <c r="G2608" s="116"/>
      <c r="I2608" s="118"/>
      <c r="J2608" s="118"/>
      <c r="L2608" s="125"/>
    </row>
    <row r="2609" spans="1:12" x14ac:dyDescent="0.25">
      <c r="A2609" s="115"/>
      <c r="B2609" s="115"/>
      <c r="C2609" s="115"/>
      <c r="D2609" s="115"/>
      <c r="E2609" s="115"/>
      <c r="F2609" s="115"/>
      <c r="G2609" s="116"/>
      <c r="I2609" s="118"/>
      <c r="J2609" s="118"/>
      <c r="L2609" s="125"/>
    </row>
    <row r="2610" spans="1:12" x14ac:dyDescent="0.25">
      <c r="A2610" s="115"/>
      <c r="B2610" s="115"/>
      <c r="C2610" s="115"/>
      <c r="D2610" s="115"/>
      <c r="E2610" s="115"/>
      <c r="F2610" s="115"/>
      <c r="G2610" s="116"/>
      <c r="I2610" s="118"/>
      <c r="J2610" s="118"/>
      <c r="L2610" s="125"/>
    </row>
    <row r="2611" spans="1:12" x14ac:dyDescent="0.25">
      <c r="A2611" s="115"/>
      <c r="B2611" s="115"/>
      <c r="C2611" s="115"/>
      <c r="D2611" s="115"/>
      <c r="E2611" s="115"/>
      <c r="F2611" s="115"/>
      <c r="G2611" s="116"/>
      <c r="I2611" s="118"/>
      <c r="J2611" s="118"/>
      <c r="L2611" s="125"/>
    </row>
    <row r="2612" spans="1:12" x14ac:dyDescent="0.25">
      <c r="A2612" s="115"/>
      <c r="B2612" s="115"/>
      <c r="C2612" s="115"/>
      <c r="D2612" s="115"/>
      <c r="E2612" s="115"/>
      <c r="F2612" s="115"/>
      <c r="G2612" s="116"/>
      <c r="I2612" s="118"/>
      <c r="J2612" s="118"/>
      <c r="L2612" s="125"/>
    </row>
    <row r="2613" spans="1:12" x14ac:dyDescent="0.25">
      <c r="A2613" s="115"/>
      <c r="B2613" s="115"/>
      <c r="C2613" s="115"/>
      <c r="D2613" s="115"/>
      <c r="E2613" s="115"/>
      <c r="F2613" s="115"/>
      <c r="G2613" s="116"/>
      <c r="I2613" s="118"/>
      <c r="J2613" s="118"/>
      <c r="L2613" s="125"/>
    </row>
    <row r="2614" spans="1:12" x14ac:dyDescent="0.25">
      <c r="A2614" s="115"/>
      <c r="B2614" s="115"/>
      <c r="C2614" s="115"/>
      <c r="D2614" s="115"/>
      <c r="E2614" s="115"/>
      <c r="F2614" s="115"/>
      <c r="G2614" s="116"/>
      <c r="I2614" s="118"/>
      <c r="J2614" s="118"/>
      <c r="L2614" s="125"/>
    </row>
    <row r="2615" spans="1:12" x14ac:dyDescent="0.25">
      <c r="A2615" s="115"/>
      <c r="B2615" s="115"/>
      <c r="C2615" s="115"/>
      <c r="D2615" s="115"/>
      <c r="E2615" s="115"/>
      <c r="F2615" s="115"/>
      <c r="G2615" s="116"/>
      <c r="I2615" s="118"/>
      <c r="J2615" s="118"/>
      <c r="L2615" s="125"/>
    </row>
    <row r="2616" spans="1:12" x14ac:dyDescent="0.25">
      <c r="A2616" s="115"/>
      <c r="B2616" s="115"/>
      <c r="C2616" s="115"/>
      <c r="D2616" s="115"/>
      <c r="E2616" s="115"/>
      <c r="F2616" s="115"/>
      <c r="G2616" s="116"/>
      <c r="I2616" s="118"/>
      <c r="J2616" s="118"/>
      <c r="L2616" s="125"/>
    </row>
    <row r="2617" spans="1:12" x14ac:dyDescent="0.25">
      <c r="A2617" s="115"/>
      <c r="B2617" s="115"/>
      <c r="C2617" s="115"/>
      <c r="D2617" s="115"/>
      <c r="E2617" s="115"/>
      <c r="F2617" s="115"/>
      <c r="G2617" s="116"/>
      <c r="I2617" s="118"/>
      <c r="J2617" s="118"/>
      <c r="L2617" s="125"/>
    </row>
    <row r="2618" spans="1:12" x14ac:dyDescent="0.25">
      <c r="A2618" s="115"/>
      <c r="B2618" s="115"/>
      <c r="C2618" s="115"/>
      <c r="D2618" s="115"/>
      <c r="E2618" s="115"/>
      <c r="F2618" s="115"/>
      <c r="G2618" s="116"/>
      <c r="I2618" s="118"/>
      <c r="J2618" s="118"/>
      <c r="L2618" s="125"/>
    </row>
    <row r="2619" spans="1:12" x14ac:dyDescent="0.25">
      <c r="A2619" s="115"/>
      <c r="B2619" s="115"/>
      <c r="C2619" s="115"/>
      <c r="D2619" s="115"/>
      <c r="E2619" s="115"/>
      <c r="F2619" s="115"/>
      <c r="G2619" s="116"/>
      <c r="I2619" s="118"/>
      <c r="J2619" s="118"/>
      <c r="L2619" s="125"/>
    </row>
    <row r="2620" spans="1:12" x14ac:dyDescent="0.25">
      <c r="A2620" s="115"/>
      <c r="B2620" s="115"/>
      <c r="C2620" s="115"/>
      <c r="D2620" s="115"/>
      <c r="E2620" s="115"/>
      <c r="F2620" s="115"/>
      <c r="G2620" s="116"/>
      <c r="I2620" s="118"/>
      <c r="J2620" s="118"/>
      <c r="L2620" s="125"/>
    </row>
    <row r="2621" spans="1:12" x14ac:dyDescent="0.25">
      <c r="A2621" s="115"/>
      <c r="B2621" s="115"/>
      <c r="C2621" s="115"/>
      <c r="D2621" s="115"/>
      <c r="E2621" s="115"/>
      <c r="F2621" s="115"/>
      <c r="G2621" s="116"/>
      <c r="I2621" s="118"/>
      <c r="J2621" s="118"/>
      <c r="L2621" s="125"/>
    </row>
    <row r="2622" spans="1:12" x14ac:dyDescent="0.25">
      <c r="A2622" s="115"/>
      <c r="B2622" s="115"/>
      <c r="C2622" s="115"/>
      <c r="D2622" s="115"/>
      <c r="E2622" s="115"/>
      <c r="F2622" s="115"/>
      <c r="G2622" s="116"/>
      <c r="I2622" s="118"/>
      <c r="J2622" s="118"/>
      <c r="L2622" s="125"/>
    </row>
    <row r="2623" spans="1:12" x14ac:dyDescent="0.25">
      <c r="A2623" s="115"/>
      <c r="B2623" s="115"/>
      <c r="C2623" s="115"/>
      <c r="D2623" s="115"/>
      <c r="E2623" s="115"/>
      <c r="F2623" s="115"/>
      <c r="G2623" s="116"/>
      <c r="I2623" s="118"/>
      <c r="J2623" s="118"/>
      <c r="L2623" s="125"/>
    </row>
    <row r="2624" spans="1:12" x14ac:dyDescent="0.25">
      <c r="A2624" s="115"/>
      <c r="B2624" s="115"/>
      <c r="C2624" s="115"/>
      <c r="D2624" s="115"/>
      <c r="E2624" s="115"/>
      <c r="F2624" s="115"/>
      <c r="G2624" s="116"/>
      <c r="I2624" s="118"/>
      <c r="J2624" s="118"/>
      <c r="L2624" s="125"/>
    </row>
    <row r="2625" spans="1:12" x14ac:dyDescent="0.25">
      <c r="A2625" s="115"/>
      <c r="B2625" s="115"/>
      <c r="C2625" s="115"/>
      <c r="D2625" s="115"/>
      <c r="E2625" s="115"/>
      <c r="F2625" s="115"/>
      <c r="G2625" s="116"/>
      <c r="I2625" s="118"/>
      <c r="J2625" s="118"/>
      <c r="L2625" s="125"/>
    </row>
    <row r="2626" spans="1:12" x14ac:dyDescent="0.25">
      <c r="A2626" s="115"/>
      <c r="B2626" s="115"/>
      <c r="C2626" s="115"/>
      <c r="D2626" s="115"/>
      <c r="E2626" s="115"/>
      <c r="F2626" s="115"/>
      <c r="G2626" s="116"/>
      <c r="I2626" s="118"/>
      <c r="J2626" s="118"/>
      <c r="L2626" s="125"/>
    </row>
    <row r="2627" spans="1:12" x14ac:dyDescent="0.25">
      <c r="A2627" s="115"/>
      <c r="B2627" s="115"/>
      <c r="C2627" s="115"/>
      <c r="D2627" s="115"/>
      <c r="E2627" s="115"/>
      <c r="F2627" s="115"/>
      <c r="G2627" s="116"/>
      <c r="I2627" s="118"/>
      <c r="J2627" s="118"/>
      <c r="L2627" s="125"/>
    </row>
    <row r="2628" spans="1:12" x14ac:dyDescent="0.25">
      <c r="A2628" s="115"/>
      <c r="B2628" s="115"/>
      <c r="C2628" s="115"/>
      <c r="D2628" s="115"/>
      <c r="E2628" s="115"/>
      <c r="F2628" s="115"/>
      <c r="G2628" s="116"/>
      <c r="I2628" s="118"/>
      <c r="J2628" s="118"/>
      <c r="L2628" s="125"/>
    </row>
    <row r="2629" spans="1:12" x14ac:dyDescent="0.25">
      <c r="A2629" s="115"/>
      <c r="B2629" s="115"/>
      <c r="C2629" s="115"/>
      <c r="D2629" s="115"/>
      <c r="E2629" s="115"/>
      <c r="F2629" s="115"/>
      <c r="G2629" s="116"/>
      <c r="I2629" s="118"/>
      <c r="J2629" s="118"/>
      <c r="L2629" s="125"/>
    </row>
    <row r="2630" spans="1:12" x14ac:dyDescent="0.25">
      <c r="A2630" s="115"/>
      <c r="B2630" s="115"/>
      <c r="C2630" s="115"/>
      <c r="D2630" s="115"/>
      <c r="E2630" s="115"/>
      <c r="F2630" s="115"/>
      <c r="G2630" s="116"/>
      <c r="I2630" s="118"/>
      <c r="J2630" s="118"/>
      <c r="L2630" s="125"/>
    </row>
    <row r="2631" spans="1:12" x14ac:dyDescent="0.25">
      <c r="A2631" s="115"/>
      <c r="B2631" s="115"/>
      <c r="C2631" s="115"/>
      <c r="D2631" s="115"/>
      <c r="E2631" s="115"/>
      <c r="F2631" s="115"/>
      <c r="G2631" s="116"/>
      <c r="I2631" s="118"/>
      <c r="J2631" s="118"/>
      <c r="L2631" s="125"/>
    </row>
    <row r="2632" spans="1:12" x14ac:dyDescent="0.25">
      <c r="A2632" s="115"/>
      <c r="B2632" s="115"/>
      <c r="C2632" s="115"/>
      <c r="D2632" s="115"/>
      <c r="E2632" s="115"/>
      <c r="F2632" s="115"/>
      <c r="G2632" s="116"/>
      <c r="I2632" s="118"/>
      <c r="J2632" s="118"/>
      <c r="L2632" s="125"/>
    </row>
    <row r="2633" spans="1:12" x14ac:dyDescent="0.25">
      <c r="A2633" s="115"/>
      <c r="B2633" s="115"/>
      <c r="C2633" s="115"/>
      <c r="D2633" s="115"/>
      <c r="E2633" s="115"/>
      <c r="F2633" s="115"/>
      <c r="G2633" s="116"/>
      <c r="I2633" s="118"/>
      <c r="J2633" s="118"/>
      <c r="L2633" s="125"/>
    </row>
    <row r="2634" spans="1:12" x14ac:dyDescent="0.25">
      <c r="A2634" s="115"/>
      <c r="B2634" s="115"/>
      <c r="C2634" s="115"/>
      <c r="D2634" s="115"/>
      <c r="E2634" s="115"/>
      <c r="F2634" s="115"/>
      <c r="G2634" s="116"/>
      <c r="I2634" s="118"/>
      <c r="J2634" s="118"/>
      <c r="L2634" s="125"/>
    </row>
    <row r="2635" spans="1:12" x14ac:dyDescent="0.25">
      <c r="A2635" s="115"/>
      <c r="B2635" s="115"/>
      <c r="C2635" s="115"/>
      <c r="D2635" s="115"/>
      <c r="E2635" s="115"/>
      <c r="F2635" s="115"/>
      <c r="G2635" s="116"/>
      <c r="I2635" s="118"/>
      <c r="J2635" s="118"/>
      <c r="L2635" s="125"/>
    </row>
    <row r="2636" spans="1:12" x14ac:dyDescent="0.25">
      <c r="A2636" s="115"/>
      <c r="B2636" s="115"/>
      <c r="C2636" s="115"/>
      <c r="D2636" s="115"/>
      <c r="E2636" s="115"/>
      <c r="F2636" s="115"/>
      <c r="G2636" s="116"/>
      <c r="I2636" s="118"/>
      <c r="J2636" s="118"/>
      <c r="L2636" s="125"/>
    </row>
    <row r="2637" spans="1:12" x14ac:dyDescent="0.25">
      <c r="A2637" s="115"/>
      <c r="B2637" s="115"/>
      <c r="C2637" s="115"/>
      <c r="D2637" s="115"/>
      <c r="E2637" s="115"/>
      <c r="F2637" s="115"/>
      <c r="G2637" s="116"/>
      <c r="I2637" s="118"/>
      <c r="J2637" s="118"/>
      <c r="L2637" s="125"/>
    </row>
    <row r="2638" spans="1:12" x14ac:dyDescent="0.25">
      <c r="A2638" s="115"/>
      <c r="B2638" s="115"/>
      <c r="C2638" s="115"/>
      <c r="D2638" s="115"/>
      <c r="E2638" s="115"/>
      <c r="F2638" s="115"/>
      <c r="G2638" s="116"/>
      <c r="I2638" s="118"/>
      <c r="J2638" s="118"/>
      <c r="L2638" s="125"/>
    </row>
    <row r="2639" spans="1:12" x14ac:dyDescent="0.25">
      <c r="A2639" s="115"/>
      <c r="B2639" s="115"/>
      <c r="C2639" s="115"/>
      <c r="D2639" s="115"/>
      <c r="E2639" s="115"/>
      <c r="F2639" s="115"/>
      <c r="G2639" s="116"/>
      <c r="I2639" s="118"/>
      <c r="J2639" s="118"/>
      <c r="L2639" s="125"/>
    </row>
    <row r="2640" spans="1:12" x14ac:dyDescent="0.25">
      <c r="A2640" s="115"/>
      <c r="B2640" s="115"/>
      <c r="C2640" s="115"/>
      <c r="D2640" s="115"/>
      <c r="E2640" s="115"/>
      <c r="F2640" s="115"/>
      <c r="G2640" s="116"/>
      <c r="I2640" s="118"/>
      <c r="J2640" s="118"/>
      <c r="L2640" s="125"/>
    </row>
    <row r="2641" spans="1:12" x14ac:dyDescent="0.25">
      <c r="A2641" s="115"/>
      <c r="B2641" s="115"/>
      <c r="C2641" s="115"/>
      <c r="D2641" s="115"/>
      <c r="E2641" s="115"/>
      <c r="F2641" s="115"/>
      <c r="G2641" s="116"/>
      <c r="I2641" s="118"/>
      <c r="J2641" s="118"/>
      <c r="L2641" s="125"/>
    </row>
    <row r="2642" spans="1:12" x14ac:dyDescent="0.25">
      <c r="A2642" s="115"/>
      <c r="B2642" s="115"/>
      <c r="C2642" s="115"/>
      <c r="D2642" s="115"/>
      <c r="E2642" s="115"/>
      <c r="F2642" s="115"/>
      <c r="G2642" s="116"/>
      <c r="I2642" s="118"/>
      <c r="J2642" s="118"/>
      <c r="L2642" s="125"/>
    </row>
    <row r="2643" spans="1:12" x14ac:dyDescent="0.25">
      <c r="A2643" s="115"/>
      <c r="B2643" s="115"/>
      <c r="C2643" s="115"/>
      <c r="D2643" s="115"/>
      <c r="E2643" s="115"/>
      <c r="F2643" s="115"/>
      <c r="G2643" s="116"/>
      <c r="I2643" s="118"/>
      <c r="J2643" s="118"/>
      <c r="L2643" s="125"/>
    </row>
    <row r="2644" spans="1:12" x14ac:dyDescent="0.25">
      <c r="A2644" s="115"/>
      <c r="B2644" s="115"/>
      <c r="C2644" s="115"/>
      <c r="D2644" s="115"/>
      <c r="E2644" s="115"/>
      <c r="F2644" s="115"/>
      <c r="G2644" s="116"/>
      <c r="I2644" s="118"/>
      <c r="J2644" s="118"/>
      <c r="L2644" s="125"/>
    </row>
    <row r="2645" spans="1:12" x14ac:dyDescent="0.25">
      <c r="A2645" s="115"/>
      <c r="B2645" s="115"/>
      <c r="C2645" s="115"/>
      <c r="D2645" s="115"/>
      <c r="E2645" s="115"/>
      <c r="F2645" s="115"/>
      <c r="G2645" s="116"/>
      <c r="I2645" s="118"/>
      <c r="J2645" s="118"/>
      <c r="L2645" s="125"/>
    </row>
    <row r="2646" spans="1:12" x14ac:dyDescent="0.25">
      <c r="A2646" s="115"/>
      <c r="B2646" s="115"/>
      <c r="C2646" s="115"/>
      <c r="D2646" s="115"/>
      <c r="E2646" s="115"/>
      <c r="F2646" s="115"/>
      <c r="G2646" s="116"/>
      <c r="I2646" s="118"/>
      <c r="J2646" s="118"/>
      <c r="L2646" s="125"/>
    </row>
    <row r="2647" spans="1:12" x14ac:dyDescent="0.25">
      <c r="A2647" s="115"/>
      <c r="B2647" s="115"/>
      <c r="C2647" s="115"/>
      <c r="D2647" s="115"/>
      <c r="E2647" s="115"/>
      <c r="F2647" s="115"/>
      <c r="G2647" s="116"/>
      <c r="I2647" s="118"/>
      <c r="J2647" s="118"/>
      <c r="L2647" s="125"/>
    </row>
    <row r="2648" spans="1:12" x14ac:dyDescent="0.25">
      <c r="A2648" s="115"/>
      <c r="B2648" s="115"/>
      <c r="C2648" s="115"/>
      <c r="D2648" s="115"/>
      <c r="E2648" s="115"/>
      <c r="F2648" s="115"/>
      <c r="G2648" s="116"/>
      <c r="I2648" s="118"/>
      <c r="J2648" s="118"/>
      <c r="L2648" s="125"/>
    </row>
    <row r="2649" spans="1:12" x14ac:dyDescent="0.25">
      <c r="A2649" s="115"/>
      <c r="B2649" s="115"/>
      <c r="C2649" s="115"/>
      <c r="D2649" s="115"/>
      <c r="E2649" s="115"/>
      <c r="F2649" s="115"/>
      <c r="G2649" s="116"/>
      <c r="I2649" s="118"/>
      <c r="J2649" s="118"/>
      <c r="L2649" s="125"/>
    </row>
    <row r="2650" spans="1:12" x14ac:dyDescent="0.25">
      <c r="A2650" s="115"/>
      <c r="B2650" s="115"/>
      <c r="C2650" s="115"/>
      <c r="D2650" s="115"/>
      <c r="E2650" s="115"/>
      <c r="F2650" s="115"/>
      <c r="G2650" s="116"/>
      <c r="I2650" s="118"/>
      <c r="J2650" s="118"/>
      <c r="L2650" s="125"/>
    </row>
    <row r="2651" spans="1:12" x14ac:dyDescent="0.25">
      <c r="A2651" s="115"/>
      <c r="B2651" s="115"/>
      <c r="C2651" s="115"/>
      <c r="D2651" s="115"/>
      <c r="E2651" s="115"/>
      <c r="F2651" s="115"/>
      <c r="G2651" s="116"/>
      <c r="I2651" s="118"/>
      <c r="J2651" s="118"/>
      <c r="L2651" s="125"/>
    </row>
    <row r="2652" spans="1:12" x14ac:dyDescent="0.25">
      <c r="A2652" s="115"/>
      <c r="B2652" s="115"/>
      <c r="C2652" s="115"/>
      <c r="D2652" s="115"/>
      <c r="E2652" s="115"/>
      <c r="F2652" s="115"/>
      <c r="G2652" s="116"/>
      <c r="I2652" s="118"/>
      <c r="J2652" s="118"/>
      <c r="L2652" s="125"/>
    </row>
    <row r="2653" spans="1:12" x14ac:dyDescent="0.25">
      <c r="A2653" s="115"/>
      <c r="B2653" s="115"/>
      <c r="C2653" s="115"/>
      <c r="D2653" s="115"/>
      <c r="E2653" s="115"/>
      <c r="F2653" s="115"/>
      <c r="G2653" s="116"/>
      <c r="I2653" s="118"/>
      <c r="J2653" s="118"/>
      <c r="L2653" s="125"/>
    </row>
    <row r="2654" spans="1:12" x14ac:dyDescent="0.25">
      <c r="A2654" s="115"/>
      <c r="B2654" s="115"/>
      <c r="C2654" s="115"/>
      <c r="D2654" s="115"/>
      <c r="E2654" s="115"/>
      <c r="F2654" s="115"/>
      <c r="G2654" s="116"/>
      <c r="I2654" s="118"/>
      <c r="J2654" s="118"/>
      <c r="L2654" s="125"/>
    </row>
    <row r="2655" spans="1:12" x14ac:dyDescent="0.25">
      <c r="A2655" s="115"/>
      <c r="B2655" s="115"/>
      <c r="C2655" s="115"/>
      <c r="D2655" s="115"/>
      <c r="E2655" s="115"/>
      <c r="F2655" s="115"/>
      <c r="G2655" s="116"/>
      <c r="I2655" s="118"/>
      <c r="J2655" s="118"/>
      <c r="L2655" s="125"/>
    </row>
    <row r="2656" spans="1:12" x14ac:dyDescent="0.25">
      <c r="A2656" s="115"/>
      <c r="B2656" s="115"/>
      <c r="C2656" s="115"/>
      <c r="D2656" s="115"/>
      <c r="E2656" s="115"/>
      <c r="F2656" s="115"/>
      <c r="G2656" s="116"/>
      <c r="I2656" s="118"/>
      <c r="J2656" s="118"/>
      <c r="L2656" s="125"/>
    </row>
    <row r="2657" spans="1:12" x14ac:dyDescent="0.25">
      <c r="A2657" s="115"/>
      <c r="B2657" s="115"/>
      <c r="C2657" s="115"/>
      <c r="D2657" s="115"/>
      <c r="E2657" s="115"/>
      <c r="F2657" s="115"/>
      <c r="G2657" s="116"/>
      <c r="I2657" s="118"/>
      <c r="J2657" s="118"/>
      <c r="L2657" s="125"/>
    </row>
    <row r="2658" spans="1:12" x14ac:dyDescent="0.25">
      <c r="A2658" s="115"/>
      <c r="B2658" s="115"/>
      <c r="C2658" s="115"/>
      <c r="D2658" s="115"/>
      <c r="E2658" s="115"/>
      <c r="F2658" s="115"/>
      <c r="G2658" s="116"/>
      <c r="I2658" s="118"/>
      <c r="J2658" s="118"/>
      <c r="L2658" s="125"/>
    </row>
    <row r="2659" spans="1:12" x14ac:dyDescent="0.25">
      <c r="A2659" s="115"/>
      <c r="B2659" s="115"/>
      <c r="C2659" s="115"/>
      <c r="D2659" s="115"/>
      <c r="E2659" s="115"/>
      <c r="F2659" s="115"/>
      <c r="G2659" s="116"/>
      <c r="I2659" s="118"/>
      <c r="J2659" s="118"/>
      <c r="L2659" s="125"/>
    </row>
    <row r="2660" spans="1:12" x14ac:dyDescent="0.25">
      <c r="A2660" s="115"/>
      <c r="B2660" s="115"/>
      <c r="C2660" s="115"/>
      <c r="D2660" s="115"/>
      <c r="E2660" s="115"/>
      <c r="F2660" s="115"/>
      <c r="G2660" s="116"/>
      <c r="I2660" s="118"/>
      <c r="J2660" s="118"/>
      <c r="L2660" s="125"/>
    </row>
    <row r="2661" spans="1:12" x14ac:dyDescent="0.25">
      <c r="A2661" s="115"/>
      <c r="B2661" s="115"/>
      <c r="C2661" s="115"/>
      <c r="D2661" s="115"/>
      <c r="E2661" s="115"/>
      <c r="F2661" s="115"/>
      <c r="G2661" s="116"/>
      <c r="I2661" s="118"/>
      <c r="J2661" s="118"/>
      <c r="L2661" s="125"/>
    </row>
    <row r="2662" spans="1:12" x14ac:dyDescent="0.25">
      <c r="A2662" s="115"/>
      <c r="B2662" s="115"/>
      <c r="C2662" s="115"/>
      <c r="D2662" s="115"/>
      <c r="E2662" s="115"/>
      <c r="F2662" s="115"/>
      <c r="G2662" s="116"/>
      <c r="I2662" s="118"/>
      <c r="J2662" s="118"/>
      <c r="L2662" s="125"/>
    </row>
    <row r="2663" spans="1:12" x14ac:dyDescent="0.25">
      <c r="A2663" s="115"/>
      <c r="B2663" s="115"/>
      <c r="C2663" s="115"/>
      <c r="D2663" s="115"/>
      <c r="E2663" s="115"/>
      <c r="F2663" s="115"/>
      <c r="G2663" s="116"/>
      <c r="I2663" s="118"/>
      <c r="J2663" s="118"/>
      <c r="L2663" s="125"/>
    </row>
    <row r="2664" spans="1:12" x14ac:dyDescent="0.25">
      <c r="A2664" s="115"/>
      <c r="B2664" s="115"/>
      <c r="C2664" s="115"/>
      <c r="D2664" s="115"/>
      <c r="E2664" s="115"/>
      <c r="F2664" s="115"/>
      <c r="G2664" s="116"/>
      <c r="I2664" s="118"/>
      <c r="J2664" s="118"/>
      <c r="L2664" s="125"/>
    </row>
    <row r="2665" spans="1:12" x14ac:dyDescent="0.25">
      <c r="A2665" s="115"/>
      <c r="B2665" s="115"/>
      <c r="C2665" s="115"/>
      <c r="D2665" s="115"/>
      <c r="E2665" s="115"/>
      <c r="F2665" s="115"/>
      <c r="G2665" s="116"/>
      <c r="I2665" s="118"/>
      <c r="J2665" s="118"/>
      <c r="L2665" s="125"/>
    </row>
    <row r="2666" spans="1:12" x14ac:dyDescent="0.25">
      <c r="A2666" s="115"/>
      <c r="B2666" s="115"/>
      <c r="C2666" s="115"/>
      <c r="D2666" s="115"/>
      <c r="E2666" s="115"/>
      <c r="F2666" s="115"/>
      <c r="G2666" s="116"/>
      <c r="I2666" s="118"/>
      <c r="J2666" s="118"/>
      <c r="L2666" s="125"/>
    </row>
    <row r="2667" spans="1:12" x14ac:dyDescent="0.25">
      <c r="A2667" s="115"/>
      <c r="B2667" s="115"/>
      <c r="C2667" s="115"/>
      <c r="D2667" s="115"/>
      <c r="E2667" s="115"/>
      <c r="F2667" s="115"/>
      <c r="G2667" s="116"/>
      <c r="I2667" s="118"/>
      <c r="J2667" s="118"/>
      <c r="L2667" s="125"/>
    </row>
    <row r="2668" spans="1:12" x14ac:dyDescent="0.25">
      <c r="A2668" s="115"/>
      <c r="B2668" s="115"/>
      <c r="C2668" s="115"/>
      <c r="D2668" s="115"/>
      <c r="E2668" s="115"/>
      <c r="F2668" s="115"/>
      <c r="G2668" s="116"/>
      <c r="I2668" s="118"/>
      <c r="J2668" s="118"/>
      <c r="L2668" s="125"/>
    </row>
    <row r="2669" spans="1:12" x14ac:dyDescent="0.25">
      <c r="A2669" s="115"/>
      <c r="B2669" s="115"/>
      <c r="C2669" s="115"/>
      <c r="D2669" s="115"/>
      <c r="E2669" s="115"/>
      <c r="F2669" s="115"/>
      <c r="G2669" s="116"/>
      <c r="I2669" s="118"/>
      <c r="J2669" s="118"/>
      <c r="L2669" s="125"/>
    </row>
    <row r="2670" spans="1:12" x14ac:dyDescent="0.25">
      <c r="A2670" s="115"/>
      <c r="B2670" s="115"/>
      <c r="C2670" s="115"/>
      <c r="D2670" s="115"/>
      <c r="E2670" s="115"/>
      <c r="F2670" s="115"/>
      <c r="G2670" s="116"/>
      <c r="I2670" s="118"/>
      <c r="J2670" s="118"/>
      <c r="L2670" s="125"/>
    </row>
    <row r="2671" spans="1:12" x14ac:dyDescent="0.25">
      <c r="A2671" s="115"/>
      <c r="B2671" s="115"/>
      <c r="C2671" s="115"/>
      <c r="D2671" s="115"/>
      <c r="E2671" s="115"/>
      <c r="F2671" s="115"/>
      <c r="G2671" s="116"/>
      <c r="I2671" s="118"/>
      <c r="J2671" s="118"/>
      <c r="L2671" s="125"/>
    </row>
    <row r="2672" spans="1:12" x14ac:dyDescent="0.25">
      <c r="A2672" s="115"/>
      <c r="B2672" s="115"/>
      <c r="C2672" s="115"/>
      <c r="D2672" s="115"/>
      <c r="E2672" s="115"/>
      <c r="F2672" s="115"/>
      <c r="G2672" s="116"/>
      <c r="I2672" s="118"/>
      <c r="J2672" s="118"/>
      <c r="L2672" s="125"/>
    </row>
    <row r="2673" spans="1:12" x14ac:dyDescent="0.25">
      <c r="A2673" s="115"/>
      <c r="B2673" s="115"/>
      <c r="C2673" s="115"/>
      <c r="D2673" s="115"/>
      <c r="E2673" s="115"/>
      <c r="F2673" s="115"/>
      <c r="G2673" s="116"/>
      <c r="I2673" s="118"/>
      <c r="J2673" s="118"/>
      <c r="L2673" s="125"/>
    </row>
    <row r="2674" spans="1:12" x14ac:dyDescent="0.25">
      <c r="A2674" s="115"/>
      <c r="B2674" s="115"/>
      <c r="C2674" s="115"/>
      <c r="D2674" s="115"/>
      <c r="E2674" s="115"/>
      <c r="F2674" s="115"/>
      <c r="G2674" s="116"/>
      <c r="I2674" s="118"/>
      <c r="J2674" s="118"/>
      <c r="L2674" s="125"/>
    </row>
    <row r="2675" spans="1:12" x14ac:dyDescent="0.25">
      <c r="A2675" s="115"/>
      <c r="B2675" s="115"/>
      <c r="C2675" s="115"/>
      <c r="D2675" s="115"/>
      <c r="E2675" s="115"/>
      <c r="F2675" s="115"/>
      <c r="G2675" s="116"/>
      <c r="I2675" s="118"/>
      <c r="J2675" s="118"/>
      <c r="L2675" s="125"/>
    </row>
    <row r="2676" spans="1:12" x14ac:dyDescent="0.25">
      <c r="A2676" s="115"/>
      <c r="B2676" s="115"/>
      <c r="C2676" s="115"/>
      <c r="D2676" s="115"/>
      <c r="E2676" s="115"/>
      <c r="F2676" s="115"/>
      <c r="G2676" s="116"/>
      <c r="I2676" s="118"/>
      <c r="J2676" s="118"/>
      <c r="L2676" s="125"/>
    </row>
    <row r="2677" spans="1:12" x14ac:dyDescent="0.25">
      <c r="A2677" s="115"/>
      <c r="B2677" s="115"/>
      <c r="C2677" s="115"/>
      <c r="D2677" s="115"/>
      <c r="E2677" s="115"/>
      <c r="F2677" s="115"/>
      <c r="G2677" s="116"/>
      <c r="I2677" s="118"/>
      <c r="J2677" s="118"/>
      <c r="L2677" s="125"/>
    </row>
    <row r="2678" spans="1:12" x14ac:dyDescent="0.25">
      <c r="A2678" s="115"/>
      <c r="B2678" s="115"/>
      <c r="C2678" s="115"/>
      <c r="D2678" s="115"/>
      <c r="E2678" s="115"/>
      <c r="F2678" s="115"/>
      <c r="G2678" s="116"/>
      <c r="I2678" s="118"/>
      <c r="J2678" s="118"/>
      <c r="L2678" s="125"/>
    </row>
    <row r="2679" spans="1:12" x14ac:dyDescent="0.25">
      <c r="A2679" s="115"/>
      <c r="B2679" s="115"/>
      <c r="C2679" s="115"/>
      <c r="D2679" s="115"/>
      <c r="E2679" s="115"/>
      <c r="F2679" s="115"/>
      <c r="G2679" s="116"/>
      <c r="I2679" s="118"/>
      <c r="J2679" s="118"/>
      <c r="L2679" s="125"/>
    </row>
    <row r="2680" spans="1:12" x14ac:dyDescent="0.25">
      <c r="A2680" s="115"/>
      <c r="B2680" s="115"/>
      <c r="C2680" s="115"/>
      <c r="D2680" s="115"/>
      <c r="E2680" s="115"/>
      <c r="F2680" s="115"/>
      <c r="G2680" s="116"/>
      <c r="I2680" s="118"/>
      <c r="J2680" s="118"/>
      <c r="L2680" s="125"/>
    </row>
    <row r="2681" spans="1:12" x14ac:dyDescent="0.25">
      <c r="A2681" s="115"/>
      <c r="B2681" s="115"/>
      <c r="C2681" s="115"/>
      <c r="D2681" s="115"/>
      <c r="E2681" s="115"/>
      <c r="F2681" s="115"/>
      <c r="G2681" s="116"/>
      <c r="I2681" s="118"/>
      <c r="J2681" s="118"/>
      <c r="L2681" s="125"/>
    </row>
    <row r="2682" spans="1:12" x14ac:dyDescent="0.25">
      <c r="A2682" s="115"/>
      <c r="B2682" s="115"/>
      <c r="C2682" s="115"/>
      <c r="D2682" s="115"/>
      <c r="E2682" s="115"/>
      <c r="F2682" s="115"/>
      <c r="G2682" s="116"/>
      <c r="I2682" s="118"/>
      <c r="J2682" s="118"/>
      <c r="L2682" s="125"/>
    </row>
    <row r="2683" spans="1:12" x14ac:dyDescent="0.25">
      <c r="A2683" s="115"/>
      <c r="B2683" s="115"/>
      <c r="C2683" s="115"/>
      <c r="D2683" s="115"/>
      <c r="E2683" s="115"/>
      <c r="F2683" s="115"/>
      <c r="G2683" s="116"/>
      <c r="I2683" s="118"/>
      <c r="J2683" s="118"/>
      <c r="L2683" s="125"/>
    </row>
    <row r="2684" spans="1:12" x14ac:dyDescent="0.25">
      <c r="A2684" s="115"/>
      <c r="B2684" s="115"/>
      <c r="C2684" s="115"/>
      <c r="D2684" s="115"/>
      <c r="E2684" s="115"/>
      <c r="F2684" s="115"/>
      <c r="G2684" s="116"/>
      <c r="I2684" s="118"/>
      <c r="J2684" s="118"/>
      <c r="L2684" s="125"/>
    </row>
    <row r="2685" spans="1:12" x14ac:dyDescent="0.25">
      <c r="A2685" s="115"/>
      <c r="B2685" s="115"/>
      <c r="C2685" s="115"/>
      <c r="D2685" s="115"/>
      <c r="E2685" s="115"/>
      <c r="F2685" s="115"/>
      <c r="G2685" s="116"/>
      <c r="I2685" s="118"/>
      <c r="J2685" s="118"/>
      <c r="L2685" s="125"/>
    </row>
    <row r="2686" spans="1:12" x14ac:dyDescent="0.25">
      <c r="A2686" s="115"/>
      <c r="B2686" s="115"/>
      <c r="C2686" s="115"/>
      <c r="D2686" s="115"/>
      <c r="E2686" s="115"/>
      <c r="F2686" s="115"/>
      <c r="G2686" s="116"/>
      <c r="I2686" s="118"/>
      <c r="J2686" s="118"/>
      <c r="L2686" s="125"/>
    </row>
    <row r="2687" spans="1:12" x14ac:dyDescent="0.25">
      <c r="A2687" s="115"/>
      <c r="B2687" s="115"/>
      <c r="C2687" s="115"/>
      <c r="D2687" s="115"/>
      <c r="E2687" s="115"/>
      <c r="F2687" s="115"/>
      <c r="G2687" s="116"/>
      <c r="I2687" s="118"/>
      <c r="J2687" s="118"/>
      <c r="L2687" s="125"/>
    </row>
    <row r="2688" spans="1:12" x14ac:dyDescent="0.25">
      <c r="A2688" s="115"/>
      <c r="B2688" s="115"/>
      <c r="C2688" s="115"/>
      <c r="D2688" s="115"/>
      <c r="E2688" s="115"/>
      <c r="F2688" s="115"/>
      <c r="G2688" s="116"/>
      <c r="I2688" s="118"/>
      <c r="J2688" s="118"/>
      <c r="L2688" s="125"/>
    </row>
    <row r="2689" spans="1:12" x14ac:dyDescent="0.25">
      <c r="A2689" s="115"/>
      <c r="B2689" s="115"/>
      <c r="C2689" s="115"/>
      <c r="D2689" s="115"/>
      <c r="E2689" s="115"/>
      <c r="F2689" s="115"/>
      <c r="G2689" s="116"/>
      <c r="I2689" s="118"/>
      <c r="J2689" s="118"/>
      <c r="L2689" s="125"/>
    </row>
    <row r="2690" spans="1:12" x14ac:dyDescent="0.25">
      <c r="A2690" s="115"/>
      <c r="B2690" s="115"/>
      <c r="C2690" s="115"/>
      <c r="D2690" s="115"/>
      <c r="E2690" s="115"/>
      <c r="F2690" s="115"/>
      <c r="G2690" s="116"/>
      <c r="I2690" s="118"/>
      <c r="J2690" s="118"/>
      <c r="L2690" s="125"/>
    </row>
    <row r="2691" spans="1:12" x14ac:dyDescent="0.25">
      <c r="A2691" s="115"/>
      <c r="B2691" s="115"/>
      <c r="C2691" s="115"/>
      <c r="D2691" s="115"/>
      <c r="E2691" s="115"/>
      <c r="F2691" s="115"/>
      <c r="G2691" s="116"/>
      <c r="I2691" s="118"/>
      <c r="J2691" s="118"/>
      <c r="L2691" s="125"/>
    </row>
    <row r="2692" spans="1:12" x14ac:dyDescent="0.25">
      <c r="A2692" s="115"/>
      <c r="B2692" s="115"/>
      <c r="C2692" s="115"/>
      <c r="D2692" s="115"/>
      <c r="E2692" s="115"/>
      <c r="F2692" s="115"/>
      <c r="G2692" s="116"/>
      <c r="I2692" s="118"/>
      <c r="J2692" s="118"/>
      <c r="L2692" s="125"/>
    </row>
    <row r="2693" spans="1:12" x14ac:dyDescent="0.25">
      <c r="A2693" s="115"/>
      <c r="B2693" s="115"/>
      <c r="C2693" s="115"/>
      <c r="D2693" s="115"/>
      <c r="E2693" s="115"/>
      <c r="F2693" s="115"/>
      <c r="G2693" s="116"/>
      <c r="I2693" s="118"/>
      <c r="J2693" s="118"/>
      <c r="L2693" s="125"/>
    </row>
    <row r="2694" spans="1:12" x14ac:dyDescent="0.25">
      <c r="A2694" s="115"/>
      <c r="B2694" s="115"/>
      <c r="C2694" s="115"/>
      <c r="D2694" s="115"/>
      <c r="E2694" s="115"/>
      <c r="F2694" s="115"/>
      <c r="G2694" s="116"/>
      <c r="I2694" s="118"/>
      <c r="J2694" s="118"/>
      <c r="L2694" s="125"/>
    </row>
    <row r="2695" spans="1:12" x14ac:dyDescent="0.25">
      <c r="A2695" s="115"/>
      <c r="B2695" s="115"/>
      <c r="C2695" s="115"/>
      <c r="D2695" s="115"/>
      <c r="E2695" s="115"/>
      <c r="F2695" s="115"/>
      <c r="G2695" s="116"/>
      <c r="I2695" s="118"/>
      <c r="J2695" s="118"/>
      <c r="L2695" s="125"/>
    </row>
    <row r="2696" spans="1:12" x14ac:dyDescent="0.25">
      <c r="A2696" s="115"/>
      <c r="B2696" s="115"/>
      <c r="C2696" s="115"/>
      <c r="D2696" s="115"/>
      <c r="E2696" s="115"/>
      <c r="F2696" s="115"/>
      <c r="G2696" s="116"/>
      <c r="I2696" s="118"/>
      <c r="J2696" s="118"/>
      <c r="L2696" s="125"/>
    </row>
    <row r="2697" spans="1:12" x14ac:dyDescent="0.25">
      <c r="A2697" s="115"/>
      <c r="B2697" s="115"/>
      <c r="C2697" s="115"/>
      <c r="D2697" s="115"/>
      <c r="E2697" s="115"/>
      <c r="F2697" s="115"/>
      <c r="G2697" s="116"/>
      <c r="I2697" s="118"/>
      <c r="J2697" s="118"/>
      <c r="L2697" s="125"/>
    </row>
    <row r="2698" spans="1:12" x14ac:dyDescent="0.25">
      <c r="A2698" s="115"/>
      <c r="B2698" s="115"/>
      <c r="C2698" s="115"/>
      <c r="D2698" s="115"/>
      <c r="E2698" s="115"/>
      <c r="F2698" s="115"/>
      <c r="G2698" s="116"/>
      <c r="I2698" s="118"/>
      <c r="J2698" s="118"/>
      <c r="L2698" s="125"/>
    </row>
    <row r="2699" spans="1:12" x14ac:dyDescent="0.25">
      <c r="A2699" s="115"/>
      <c r="B2699" s="115"/>
      <c r="C2699" s="115"/>
      <c r="D2699" s="115"/>
      <c r="E2699" s="115"/>
      <c r="F2699" s="115"/>
      <c r="G2699" s="116"/>
      <c r="I2699" s="118"/>
      <c r="J2699" s="118"/>
      <c r="L2699" s="125"/>
    </row>
    <row r="2700" spans="1:12" x14ac:dyDescent="0.25">
      <c r="A2700" s="115"/>
      <c r="B2700" s="115"/>
      <c r="C2700" s="115"/>
      <c r="D2700" s="115"/>
      <c r="E2700" s="115"/>
      <c r="F2700" s="115"/>
      <c r="G2700" s="116"/>
      <c r="I2700" s="118"/>
      <c r="J2700" s="118"/>
      <c r="L2700" s="125"/>
    </row>
    <row r="2701" spans="1:12" x14ac:dyDescent="0.25">
      <c r="A2701" s="115"/>
      <c r="B2701" s="115"/>
      <c r="C2701" s="115"/>
      <c r="D2701" s="115"/>
      <c r="E2701" s="115"/>
      <c r="F2701" s="115"/>
      <c r="G2701" s="116"/>
      <c r="I2701" s="118"/>
      <c r="J2701" s="118"/>
      <c r="L2701" s="125"/>
    </row>
    <row r="2702" spans="1:12" x14ac:dyDescent="0.25">
      <c r="A2702" s="115"/>
      <c r="B2702" s="115"/>
      <c r="C2702" s="115"/>
      <c r="D2702" s="115"/>
      <c r="E2702" s="115"/>
      <c r="F2702" s="115"/>
      <c r="G2702" s="116"/>
      <c r="I2702" s="118"/>
      <c r="J2702" s="118"/>
      <c r="L2702" s="125"/>
    </row>
    <row r="2703" spans="1:12" x14ac:dyDescent="0.25">
      <c r="A2703" s="115"/>
      <c r="B2703" s="115"/>
      <c r="C2703" s="115"/>
      <c r="D2703" s="115"/>
      <c r="E2703" s="115"/>
      <c r="F2703" s="115"/>
      <c r="G2703" s="116"/>
      <c r="I2703" s="118"/>
      <c r="J2703" s="118"/>
      <c r="L2703" s="125"/>
    </row>
    <row r="2704" spans="1:12" x14ac:dyDescent="0.25">
      <c r="A2704" s="115"/>
      <c r="B2704" s="115"/>
      <c r="C2704" s="115"/>
      <c r="D2704" s="115"/>
      <c r="E2704" s="115"/>
      <c r="F2704" s="115"/>
      <c r="G2704" s="116"/>
      <c r="I2704" s="118"/>
      <c r="J2704" s="118"/>
      <c r="L2704" s="125"/>
    </row>
    <row r="2705" spans="1:12" x14ac:dyDescent="0.25">
      <c r="A2705" s="115"/>
      <c r="B2705" s="115"/>
      <c r="C2705" s="115"/>
      <c r="D2705" s="115"/>
      <c r="E2705" s="115"/>
      <c r="F2705" s="115"/>
      <c r="G2705" s="116"/>
      <c r="I2705" s="118"/>
      <c r="J2705" s="118"/>
      <c r="L2705" s="125"/>
    </row>
    <row r="2706" spans="1:12" x14ac:dyDescent="0.25">
      <c r="A2706" s="115"/>
      <c r="B2706" s="115"/>
      <c r="C2706" s="115"/>
      <c r="D2706" s="115"/>
      <c r="E2706" s="115"/>
      <c r="F2706" s="115"/>
      <c r="G2706" s="116"/>
      <c r="I2706" s="118"/>
      <c r="J2706" s="118"/>
      <c r="L2706" s="125"/>
    </row>
    <row r="2707" spans="1:12" x14ac:dyDescent="0.25">
      <c r="A2707" s="115"/>
      <c r="B2707" s="115"/>
      <c r="C2707" s="115"/>
      <c r="D2707" s="115"/>
      <c r="E2707" s="115"/>
      <c r="F2707" s="115"/>
      <c r="G2707" s="116"/>
      <c r="I2707" s="118"/>
      <c r="J2707" s="118"/>
      <c r="L2707" s="125"/>
    </row>
    <row r="2708" spans="1:12" x14ac:dyDescent="0.25">
      <c r="A2708" s="115"/>
      <c r="B2708" s="115"/>
      <c r="C2708" s="115"/>
      <c r="D2708" s="115"/>
      <c r="E2708" s="115"/>
      <c r="F2708" s="115"/>
      <c r="G2708" s="116"/>
      <c r="I2708" s="118"/>
      <c r="J2708" s="118"/>
      <c r="L2708" s="125"/>
    </row>
    <row r="2709" spans="1:12" x14ac:dyDescent="0.25">
      <c r="A2709" s="115"/>
      <c r="B2709" s="115"/>
      <c r="C2709" s="115"/>
      <c r="D2709" s="115"/>
      <c r="E2709" s="115"/>
      <c r="F2709" s="115"/>
      <c r="G2709" s="116"/>
      <c r="I2709" s="118"/>
      <c r="J2709" s="118"/>
      <c r="L2709" s="125"/>
    </row>
    <row r="2710" spans="1:12" x14ac:dyDescent="0.25">
      <c r="A2710" s="115"/>
      <c r="B2710" s="115"/>
      <c r="C2710" s="115"/>
      <c r="D2710" s="115"/>
      <c r="E2710" s="115"/>
      <c r="F2710" s="115"/>
      <c r="G2710" s="116"/>
      <c r="I2710" s="118"/>
      <c r="J2710" s="118"/>
      <c r="L2710" s="125"/>
    </row>
    <row r="2711" spans="1:12" x14ac:dyDescent="0.25">
      <c r="A2711" s="115"/>
      <c r="B2711" s="115"/>
      <c r="C2711" s="115"/>
      <c r="D2711" s="115"/>
      <c r="E2711" s="115"/>
      <c r="F2711" s="115"/>
      <c r="G2711" s="116"/>
      <c r="I2711" s="118"/>
      <c r="J2711" s="118"/>
      <c r="L2711" s="125"/>
    </row>
    <row r="2712" spans="1:12" x14ac:dyDescent="0.25">
      <c r="A2712" s="115"/>
      <c r="B2712" s="115"/>
      <c r="C2712" s="115"/>
      <c r="D2712" s="115"/>
      <c r="E2712" s="115"/>
      <c r="F2712" s="115"/>
      <c r="G2712" s="116"/>
      <c r="I2712" s="118"/>
      <c r="J2712" s="118"/>
      <c r="L2712" s="125"/>
    </row>
    <row r="2713" spans="1:12" x14ac:dyDescent="0.25">
      <c r="A2713" s="115"/>
      <c r="B2713" s="115"/>
      <c r="C2713" s="115"/>
      <c r="D2713" s="115"/>
      <c r="E2713" s="115"/>
      <c r="F2713" s="115"/>
      <c r="G2713" s="116"/>
      <c r="I2713" s="118"/>
      <c r="J2713" s="118"/>
      <c r="L2713" s="125"/>
    </row>
    <row r="2714" spans="1:12" x14ac:dyDescent="0.25">
      <c r="A2714" s="115"/>
      <c r="B2714" s="115"/>
      <c r="C2714" s="115"/>
      <c r="D2714" s="115"/>
      <c r="E2714" s="115"/>
      <c r="F2714" s="115"/>
      <c r="G2714" s="116"/>
      <c r="I2714" s="118"/>
      <c r="J2714" s="118"/>
      <c r="L2714" s="125"/>
    </row>
    <row r="2715" spans="1:12" x14ac:dyDescent="0.25">
      <c r="A2715" s="115"/>
      <c r="B2715" s="115"/>
      <c r="C2715" s="115"/>
      <c r="D2715" s="115"/>
      <c r="E2715" s="115"/>
      <c r="F2715" s="115"/>
      <c r="G2715" s="116"/>
      <c r="I2715" s="118"/>
      <c r="J2715" s="118"/>
      <c r="L2715" s="125"/>
    </row>
    <row r="2716" spans="1:12" x14ac:dyDescent="0.25">
      <c r="A2716" s="115"/>
      <c r="B2716" s="115"/>
      <c r="C2716" s="115"/>
      <c r="D2716" s="115"/>
      <c r="E2716" s="115"/>
      <c r="F2716" s="115"/>
      <c r="G2716" s="116"/>
      <c r="I2716" s="118"/>
      <c r="J2716" s="118"/>
      <c r="L2716" s="125"/>
    </row>
    <row r="2717" spans="1:12" x14ac:dyDescent="0.25">
      <c r="A2717" s="115"/>
      <c r="B2717" s="115"/>
      <c r="C2717" s="115"/>
      <c r="D2717" s="115"/>
      <c r="E2717" s="115"/>
      <c r="F2717" s="115"/>
      <c r="G2717" s="116"/>
      <c r="I2717" s="118"/>
      <c r="J2717" s="118"/>
      <c r="L2717" s="125"/>
    </row>
    <row r="2718" spans="1:12" x14ac:dyDescent="0.25">
      <c r="A2718" s="115"/>
      <c r="B2718" s="115"/>
      <c r="C2718" s="115"/>
      <c r="D2718" s="115"/>
      <c r="E2718" s="115"/>
      <c r="F2718" s="115"/>
      <c r="G2718" s="116"/>
      <c r="I2718" s="118"/>
      <c r="J2718" s="118"/>
      <c r="L2718" s="125"/>
    </row>
    <row r="2719" spans="1:12" x14ac:dyDescent="0.25">
      <c r="A2719" s="115"/>
      <c r="B2719" s="115"/>
      <c r="C2719" s="115"/>
      <c r="D2719" s="115"/>
      <c r="E2719" s="115"/>
      <c r="F2719" s="115"/>
      <c r="G2719" s="116"/>
      <c r="I2719" s="118"/>
      <c r="J2719" s="118"/>
      <c r="L2719" s="125"/>
    </row>
    <row r="2720" spans="1:12" x14ac:dyDescent="0.25">
      <c r="A2720" s="115"/>
      <c r="B2720" s="115"/>
      <c r="C2720" s="115"/>
      <c r="D2720" s="115"/>
      <c r="E2720" s="115"/>
      <c r="F2720" s="115"/>
      <c r="G2720" s="116"/>
      <c r="I2720" s="118"/>
      <c r="J2720" s="118"/>
      <c r="L2720" s="125"/>
    </row>
    <row r="2721" spans="1:12" x14ac:dyDescent="0.25">
      <c r="A2721" s="115"/>
      <c r="B2721" s="115"/>
      <c r="C2721" s="115"/>
      <c r="D2721" s="115"/>
      <c r="E2721" s="115"/>
      <c r="F2721" s="115"/>
      <c r="G2721" s="116"/>
      <c r="I2721" s="118"/>
      <c r="J2721" s="118"/>
      <c r="L2721" s="125"/>
    </row>
    <row r="2722" spans="1:12" x14ac:dyDescent="0.25">
      <c r="A2722" s="115"/>
      <c r="B2722" s="115"/>
      <c r="C2722" s="115"/>
      <c r="D2722" s="115"/>
      <c r="E2722" s="115"/>
      <c r="F2722" s="115"/>
      <c r="G2722" s="116"/>
      <c r="I2722" s="118"/>
      <c r="J2722" s="118"/>
      <c r="L2722" s="125"/>
    </row>
    <row r="2723" spans="1:12" x14ac:dyDescent="0.25">
      <c r="A2723" s="115"/>
      <c r="B2723" s="115"/>
      <c r="C2723" s="115"/>
      <c r="D2723" s="115"/>
      <c r="E2723" s="115"/>
      <c r="F2723" s="115"/>
      <c r="G2723" s="116"/>
      <c r="I2723" s="118"/>
      <c r="J2723" s="118"/>
      <c r="L2723" s="125"/>
    </row>
    <row r="2724" spans="1:12" x14ac:dyDescent="0.25">
      <c r="A2724" s="115"/>
      <c r="B2724" s="115"/>
      <c r="C2724" s="115"/>
      <c r="D2724" s="115"/>
      <c r="E2724" s="115"/>
      <c r="F2724" s="115"/>
      <c r="G2724" s="116"/>
      <c r="I2724" s="118"/>
      <c r="J2724" s="118"/>
      <c r="L2724" s="125"/>
    </row>
    <row r="2725" spans="1:12" x14ac:dyDescent="0.25">
      <c r="A2725" s="115"/>
      <c r="B2725" s="115"/>
      <c r="C2725" s="115"/>
      <c r="D2725" s="115"/>
      <c r="E2725" s="115"/>
      <c r="F2725" s="115"/>
      <c r="G2725" s="116"/>
      <c r="I2725" s="118"/>
      <c r="J2725" s="118"/>
      <c r="L2725" s="125"/>
    </row>
    <row r="2726" spans="1:12" x14ac:dyDescent="0.25">
      <c r="A2726" s="115"/>
      <c r="B2726" s="115"/>
      <c r="C2726" s="115"/>
      <c r="D2726" s="115"/>
      <c r="E2726" s="115"/>
      <c r="F2726" s="115"/>
      <c r="G2726" s="116"/>
      <c r="I2726" s="118"/>
      <c r="J2726" s="118"/>
      <c r="L2726" s="125"/>
    </row>
    <row r="2727" spans="1:12" x14ac:dyDescent="0.25">
      <c r="A2727" s="115"/>
      <c r="B2727" s="115"/>
      <c r="C2727" s="115"/>
      <c r="D2727" s="115"/>
      <c r="E2727" s="115"/>
      <c r="F2727" s="115"/>
      <c r="G2727" s="116"/>
      <c r="I2727" s="118"/>
      <c r="J2727" s="118"/>
      <c r="L2727" s="125"/>
    </row>
    <row r="2728" spans="1:12" x14ac:dyDescent="0.25">
      <c r="A2728" s="115"/>
      <c r="B2728" s="115"/>
      <c r="C2728" s="115"/>
      <c r="D2728" s="115"/>
      <c r="E2728" s="115"/>
      <c r="F2728" s="115"/>
      <c r="G2728" s="116"/>
      <c r="I2728" s="118"/>
      <c r="J2728" s="118"/>
      <c r="L2728" s="125"/>
    </row>
    <row r="2729" spans="1:12" x14ac:dyDescent="0.25">
      <c r="A2729" s="115"/>
      <c r="B2729" s="115"/>
      <c r="C2729" s="115"/>
      <c r="D2729" s="115"/>
      <c r="E2729" s="115"/>
      <c r="F2729" s="115"/>
      <c r="G2729" s="116"/>
      <c r="I2729" s="118"/>
      <c r="J2729" s="118"/>
      <c r="L2729" s="125"/>
    </row>
    <row r="2730" spans="1:12" x14ac:dyDescent="0.25">
      <c r="A2730" s="115"/>
      <c r="B2730" s="115"/>
      <c r="C2730" s="115"/>
      <c r="D2730" s="115"/>
      <c r="E2730" s="115"/>
      <c r="F2730" s="115"/>
      <c r="G2730" s="116"/>
      <c r="I2730" s="118"/>
      <c r="J2730" s="118"/>
      <c r="L2730" s="125"/>
    </row>
    <row r="2731" spans="1:12" x14ac:dyDescent="0.25">
      <c r="A2731" s="115"/>
      <c r="B2731" s="115"/>
      <c r="C2731" s="115"/>
      <c r="D2731" s="115"/>
      <c r="E2731" s="115"/>
      <c r="F2731" s="115"/>
      <c r="G2731" s="116"/>
      <c r="I2731" s="118"/>
      <c r="J2731" s="118"/>
      <c r="L2731" s="125"/>
    </row>
    <row r="2732" spans="1:12" x14ac:dyDescent="0.25">
      <c r="A2732" s="115"/>
      <c r="B2732" s="115"/>
      <c r="C2732" s="115"/>
      <c r="D2732" s="115"/>
      <c r="E2732" s="115"/>
      <c r="F2732" s="115"/>
      <c r="G2732" s="116"/>
      <c r="I2732" s="118"/>
      <c r="J2732" s="118"/>
      <c r="L2732" s="125"/>
    </row>
    <row r="2733" spans="1:12" x14ac:dyDescent="0.25">
      <c r="A2733" s="115"/>
      <c r="B2733" s="115"/>
      <c r="C2733" s="115"/>
      <c r="D2733" s="115"/>
      <c r="E2733" s="115"/>
      <c r="F2733" s="115"/>
      <c r="G2733" s="116"/>
      <c r="I2733" s="118"/>
      <c r="J2733" s="118"/>
      <c r="L2733" s="125"/>
    </row>
    <row r="2734" spans="1:12" x14ac:dyDescent="0.25">
      <c r="A2734" s="115"/>
      <c r="B2734" s="115"/>
      <c r="C2734" s="115"/>
      <c r="D2734" s="115"/>
      <c r="E2734" s="115"/>
      <c r="F2734" s="115"/>
      <c r="G2734" s="116"/>
      <c r="I2734" s="118"/>
      <c r="J2734" s="118"/>
      <c r="L2734" s="125"/>
    </row>
    <row r="2735" spans="1:12" x14ac:dyDescent="0.25">
      <c r="A2735" s="115"/>
      <c r="B2735" s="115"/>
      <c r="C2735" s="115"/>
      <c r="D2735" s="115"/>
      <c r="E2735" s="115"/>
      <c r="F2735" s="115"/>
      <c r="G2735" s="116"/>
      <c r="I2735" s="118"/>
      <c r="J2735" s="118"/>
      <c r="L2735" s="125"/>
    </row>
    <row r="2736" spans="1:12" x14ac:dyDescent="0.25">
      <c r="A2736" s="115"/>
      <c r="B2736" s="115"/>
      <c r="C2736" s="115"/>
      <c r="D2736" s="115"/>
      <c r="E2736" s="115"/>
      <c r="F2736" s="115"/>
      <c r="G2736" s="116"/>
      <c r="I2736" s="118"/>
      <c r="J2736" s="118"/>
      <c r="L2736" s="125"/>
    </row>
    <row r="2737" spans="1:12" x14ac:dyDescent="0.25">
      <c r="A2737" s="115"/>
      <c r="B2737" s="115"/>
      <c r="C2737" s="115"/>
      <c r="D2737" s="115"/>
      <c r="E2737" s="115"/>
      <c r="F2737" s="115"/>
      <c r="G2737" s="116"/>
      <c r="I2737" s="118"/>
      <c r="J2737" s="118"/>
      <c r="L2737" s="125"/>
    </row>
    <row r="2738" spans="1:12" x14ac:dyDescent="0.25">
      <c r="A2738" s="115"/>
      <c r="B2738" s="115"/>
      <c r="C2738" s="115"/>
      <c r="D2738" s="115"/>
      <c r="E2738" s="115"/>
      <c r="F2738" s="115"/>
      <c r="G2738" s="116"/>
      <c r="I2738" s="118"/>
      <c r="J2738" s="118"/>
      <c r="L2738" s="125"/>
    </row>
    <row r="2739" spans="1:12" x14ac:dyDescent="0.25">
      <c r="A2739" s="115"/>
      <c r="B2739" s="115"/>
      <c r="C2739" s="115"/>
      <c r="D2739" s="115"/>
      <c r="E2739" s="115"/>
      <c r="F2739" s="115"/>
      <c r="G2739" s="116"/>
      <c r="I2739" s="118"/>
      <c r="J2739" s="118"/>
      <c r="L2739" s="125"/>
    </row>
    <row r="2740" spans="1:12" x14ac:dyDescent="0.25">
      <c r="A2740" s="115"/>
      <c r="B2740" s="115"/>
      <c r="C2740" s="115"/>
      <c r="D2740" s="115"/>
      <c r="E2740" s="115"/>
      <c r="F2740" s="115"/>
      <c r="G2740" s="116"/>
      <c r="I2740" s="118"/>
      <c r="J2740" s="118"/>
      <c r="L2740" s="125"/>
    </row>
    <row r="2741" spans="1:12" x14ac:dyDescent="0.25">
      <c r="A2741" s="115"/>
      <c r="B2741" s="115"/>
      <c r="C2741" s="115"/>
      <c r="D2741" s="115"/>
      <c r="E2741" s="115"/>
      <c r="F2741" s="115"/>
      <c r="G2741" s="116"/>
      <c r="I2741" s="118"/>
      <c r="J2741" s="118"/>
      <c r="L2741" s="125"/>
    </row>
    <row r="2742" spans="1:12" x14ac:dyDescent="0.25">
      <c r="A2742" s="115"/>
      <c r="B2742" s="115"/>
      <c r="C2742" s="115"/>
      <c r="D2742" s="115"/>
      <c r="E2742" s="115"/>
      <c r="F2742" s="115"/>
      <c r="G2742" s="116"/>
      <c r="I2742" s="118"/>
      <c r="J2742" s="118"/>
      <c r="L2742" s="125"/>
    </row>
    <row r="2743" spans="1:12" x14ac:dyDescent="0.25">
      <c r="A2743" s="115"/>
      <c r="B2743" s="115"/>
      <c r="C2743" s="115"/>
      <c r="D2743" s="115"/>
      <c r="E2743" s="115"/>
      <c r="F2743" s="115"/>
      <c r="G2743" s="116"/>
      <c r="I2743" s="118"/>
      <c r="J2743" s="118"/>
      <c r="L2743" s="125"/>
    </row>
    <row r="2744" spans="1:12" x14ac:dyDescent="0.25">
      <c r="A2744" s="115"/>
      <c r="B2744" s="115"/>
      <c r="C2744" s="115"/>
      <c r="D2744" s="115"/>
      <c r="E2744" s="115"/>
      <c r="F2744" s="115"/>
      <c r="G2744" s="116"/>
      <c r="I2744" s="118"/>
      <c r="J2744" s="118"/>
      <c r="L2744" s="125"/>
    </row>
    <row r="2745" spans="1:12" x14ac:dyDescent="0.25">
      <c r="A2745" s="115"/>
      <c r="B2745" s="115"/>
      <c r="C2745" s="115"/>
      <c r="D2745" s="115"/>
      <c r="E2745" s="115"/>
      <c r="F2745" s="115"/>
      <c r="G2745" s="116"/>
      <c r="I2745" s="118"/>
      <c r="J2745" s="118"/>
      <c r="L2745" s="125"/>
    </row>
    <row r="2746" spans="1:12" x14ac:dyDescent="0.25">
      <c r="A2746" s="115"/>
      <c r="B2746" s="115"/>
      <c r="C2746" s="115"/>
      <c r="D2746" s="115"/>
      <c r="E2746" s="115"/>
      <c r="F2746" s="115"/>
      <c r="G2746" s="116"/>
      <c r="I2746" s="118"/>
      <c r="J2746" s="118"/>
      <c r="L2746" s="125"/>
    </row>
    <row r="2747" spans="1:12" x14ac:dyDescent="0.25">
      <c r="A2747" s="115"/>
      <c r="B2747" s="115"/>
      <c r="C2747" s="115"/>
      <c r="D2747" s="115"/>
      <c r="E2747" s="115"/>
      <c r="F2747" s="115"/>
      <c r="G2747" s="116"/>
      <c r="I2747" s="118"/>
      <c r="J2747" s="118"/>
      <c r="L2747" s="125"/>
    </row>
    <row r="2748" spans="1:12" x14ac:dyDescent="0.25">
      <c r="A2748" s="115"/>
      <c r="B2748" s="115"/>
      <c r="C2748" s="115"/>
      <c r="D2748" s="115"/>
      <c r="E2748" s="115"/>
      <c r="F2748" s="115"/>
      <c r="G2748" s="116"/>
      <c r="I2748" s="118"/>
      <c r="J2748" s="118"/>
      <c r="L2748" s="125"/>
    </row>
    <row r="2749" spans="1:12" x14ac:dyDescent="0.25">
      <c r="A2749" s="115"/>
      <c r="B2749" s="115"/>
      <c r="C2749" s="115"/>
      <c r="D2749" s="115"/>
      <c r="E2749" s="115"/>
      <c r="F2749" s="115"/>
      <c r="G2749" s="116"/>
      <c r="I2749" s="118"/>
      <c r="J2749" s="118"/>
      <c r="L2749" s="125"/>
    </row>
    <row r="2750" spans="1:12" x14ac:dyDescent="0.25">
      <c r="A2750" s="115"/>
      <c r="B2750" s="115"/>
      <c r="C2750" s="115"/>
      <c r="D2750" s="115"/>
      <c r="E2750" s="115"/>
      <c r="F2750" s="115"/>
      <c r="G2750" s="116"/>
      <c r="I2750" s="118"/>
      <c r="J2750" s="118"/>
      <c r="L2750" s="125"/>
    </row>
    <row r="2751" spans="1:12" x14ac:dyDescent="0.25">
      <c r="A2751" s="115"/>
      <c r="B2751" s="115"/>
      <c r="C2751" s="115"/>
      <c r="D2751" s="115"/>
      <c r="E2751" s="115"/>
      <c r="F2751" s="115"/>
      <c r="G2751" s="116"/>
      <c r="I2751" s="118"/>
      <c r="J2751" s="118"/>
      <c r="L2751" s="125"/>
    </row>
    <row r="2752" spans="1:12" x14ac:dyDescent="0.25">
      <c r="A2752" s="115"/>
      <c r="B2752" s="115"/>
      <c r="C2752" s="115"/>
      <c r="D2752" s="115"/>
      <c r="E2752" s="115"/>
      <c r="F2752" s="115"/>
      <c r="G2752" s="116"/>
      <c r="I2752" s="118"/>
      <c r="J2752" s="118"/>
      <c r="L2752" s="125"/>
    </row>
    <row r="2753" spans="1:12" x14ac:dyDescent="0.25">
      <c r="A2753" s="115"/>
      <c r="B2753" s="115"/>
      <c r="C2753" s="115"/>
      <c r="D2753" s="115"/>
      <c r="E2753" s="115"/>
      <c r="F2753" s="115"/>
      <c r="G2753" s="116"/>
      <c r="I2753" s="118"/>
      <c r="J2753" s="118"/>
      <c r="L2753" s="125"/>
    </row>
    <row r="2754" spans="1:12" x14ac:dyDescent="0.25">
      <c r="A2754" s="115"/>
      <c r="B2754" s="115"/>
      <c r="C2754" s="115"/>
      <c r="D2754" s="115"/>
      <c r="E2754" s="115"/>
      <c r="F2754" s="115"/>
      <c r="G2754" s="116"/>
      <c r="I2754" s="118"/>
      <c r="J2754" s="118"/>
      <c r="L2754" s="125"/>
    </row>
    <row r="2755" spans="1:12" x14ac:dyDescent="0.25">
      <c r="A2755" s="115"/>
      <c r="B2755" s="115"/>
      <c r="C2755" s="115"/>
      <c r="D2755" s="115"/>
      <c r="E2755" s="115"/>
      <c r="F2755" s="115"/>
      <c r="G2755" s="116"/>
      <c r="I2755" s="118"/>
      <c r="J2755" s="118"/>
      <c r="L2755" s="125"/>
    </row>
    <row r="2756" spans="1:12" x14ac:dyDescent="0.25">
      <c r="A2756" s="115"/>
      <c r="B2756" s="115"/>
      <c r="C2756" s="115"/>
      <c r="D2756" s="115"/>
      <c r="E2756" s="115"/>
      <c r="F2756" s="115"/>
      <c r="G2756" s="116"/>
      <c r="I2756" s="118"/>
      <c r="J2756" s="118"/>
      <c r="L2756" s="125"/>
    </row>
    <row r="2757" spans="1:12" x14ac:dyDescent="0.25">
      <c r="A2757" s="115"/>
      <c r="B2757" s="115"/>
      <c r="C2757" s="115"/>
      <c r="D2757" s="115"/>
      <c r="E2757" s="115"/>
      <c r="F2757" s="115"/>
      <c r="G2757" s="116"/>
      <c r="I2757" s="118"/>
      <c r="J2757" s="118"/>
      <c r="L2757" s="125"/>
    </row>
    <row r="2758" spans="1:12" x14ac:dyDescent="0.25">
      <c r="A2758" s="115"/>
      <c r="B2758" s="115"/>
      <c r="C2758" s="115"/>
      <c r="D2758" s="115"/>
      <c r="E2758" s="115"/>
      <c r="F2758" s="115"/>
      <c r="G2758" s="116"/>
      <c r="I2758" s="118"/>
      <c r="J2758" s="118"/>
      <c r="L2758" s="125"/>
    </row>
    <row r="2759" spans="1:12" x14ac:dyDescent="0.25">
      <c r="A2759" s="115"/>
      <c r="B2759" s="115"/>
      <c r="C2759" s="115"/>
      <c r="D2759" s="115"/>
      <c r="E2759" s="115"/>
      <c r="F2759" s="115"/>
      <c r="G2759" s="116"/>
      <c r="I2759" s="118"/>
      <c r="J2759" s="118"/>
      <c r="L2759" s="125"/>
    </row>
    <row r="2760" spans="1:12" x14ac:dyDescent="0.25">
      <c r="A2760" s="115"/>
      <c r="B2760" s="115"/>
      <c r="C2760" s="115"/>
      <c r="D2760" s="115"/>
      <c r="E2760" s="115"/>
      <c r="F2760" s="115"/>
      <c r="G2760" s="116"/>
      <c r="I2760" s="118"/>
      <c r="J2760" s="118"/>
      <c r="L2760" s="125"/>
    </row>
    <row r="2761" spans="1:12" x14ac:dyDescent="0.25">
      <c r="A2761" s="115"/>
      <c r="B2761" s="115"/>
      <c r="C2761" s="115"/>
      <c r="D2761" s="115"/>
      <c r="E2761" s="115"/>
      <c r="F2761" s="115"/>
      <c r="G2761" s="116"/>
      <c r="I2761" s="118"/>
      <c r="J2761" s="118"/>
      <c r="L2761" s="125"/>
    </row>
    <row r="2762" spans="1:12" x14ac:dyDescent="0.25">
      <c r="A2762" s="115"/>
      <c r="B2762" s="115"/>
      <c r="C2762" s="115"/>
      <c r="D2762" s="115"/>
      <c r="E2762" s="115"/>
      <c r="F2762" s="115"/>
      <c r="G2762" s="116"/>
      <c r="I2762" s="118"/>
      <c r="J2762" s="118"/>
      <c r="L2762" s="125"/>
    </row>
    <row r="2763" spans="1:12" x14ac:dyDescent="0.25">
      <c r="A2763" s="115"/>
      <c r="B2763" s="115"/>
      <c r="C2763" s="115"/>
      <c r="D2763" s="115"/>
      <c r="E2763" s="115"/>
      <c r="F2763" s="115"/>
      <c r="G2763" s="116"/>
      <c r="I2763" s="118"/>
      <c r="J2763" s="118"/>
      <c r="L2763" s="125"/>
    </row>
    <row r="2764" spans="1:12" x14ac:dyDescent="0.25">
      <c r="A2764" s="115"/>
      <c r="B2764" s="115"/>
      <c r="C2764" s="115"/>
      <c r="D2764" s="115"/>
      <c r="E2764" s="115"/>
      <c r="F2764" s="115"/>
      <c r="G2764" s="116"/>
      <c r="I2764" s="118"/>
      <c r="J2764" s="118"/>
      <c r="L2764" s="125"/>
    </row>
    <row r="2765" spans="1:12" x14ac:dyDescent="0.25">
      <c r="A2765" s="115"/>
      <c r="B2765" s="115"/>
      <c r="C2765" s="115"/>
      <c r="D2765" s="115"/>
      <c r="E2765" s="115"/>
      <c r="F2765" s="115"/>
      <c r="G2765" s="116"/>
      <c r="I2765" s="118"/>
      <c r="J2765" s="118"/>
      <c r="L2765" s="125"/>
    </row>
    <row r="2766" spans="1:12" x14ac:dyDescent="0.25">
      <c r="A2766" s="115"/>
      <c r="B2766" s="115"/>
      <c r="C2766" s="115"/>
      <c r="D2766" s="115"/>
      <c r="E2766" s="115"/>
      <c r="F2766" s="115"/>
      <c r="G2766" s="116"/>
      <c r="I2766" s="118"/>
      <c r="J2766" s="118"/>
      <c r="L2766" s="125"/>
    </row>
    <row r="2767" spans="1:12" x14ac:dyDescent="0.25">
      <c r="A2767" s="115"/>
      <c r="B2767" s="115"/>
      <c r="C2767" s="115"/>
      <c r="D2767" s="115"/>
      <c r="E2767" s="115"/>
      <c r="F2767" s="115"/>
      <c r="G2767" s="116"/>
      <c r="I2767" s="118"/>
      <c r="J2767" s="118"/>
      <c r="L2767" s="125"/>
    </row>
    <row r="2768" spans="1:12" x14ac:dyDescent="0.25">
      <c r="A2768" s="115"/>
      <c r="B2768" s="115"/>
      <c r="C2768" s="115"/>
      <c r="D2768" s="115"/>
      <c r="E2768" s="115"/>
      <c r="F2768" s="115"/>
      <c r="G2768" s="116"/>
      <c r="I2768" s="118"/>
      <c r="J2768" s="118"/>
      <c r="L2768" s="125"/>
    </row>
    <row r="2769" spans="1:12" x14ac:dyDescent="0.25">
      <c r="A2769" s="115"/>
      <c r="B2769" s="115"/>
      <c r="C2769" s="115"/>
      <c r="D2769" s="115"/>
      <c r="E2769" s="115"/>
      <c r="F2769" s="115"/>
      <c r="G2769" s="116"/>
      <c r="I2769" s="118"/>
      <c r="J2769" s="118"/>
      <c r="L2769" s="125"/>
    </row>
    <row r="2770" spans="1:12" x14ac:dyDescent="0.25">
      <c r="A2770" s="115"/>
      <c r="B2770" s="115"/>
      <c r="C2770" s="115"/>
      <c r="D2770" s="115"/>
      <c r="E2770" s="115"/>
      <c r="F2770" s="115"/>
      <c r="G2770" s="116"/>
      <c r="I2770" s="118"/>
      <c r="J2770" s="118"/>
      <c r="L2770" s="125"/>
    </row>
    <row r="2771" spans="1:12" x14ac:dyDescent="0.25">
      <c r="A2771" s="115"/>
      <c r="B2771" s="115"/>
      <c r="C2771" s="115"/>
      <c r="D2771" s="115"/>
      <c r="E2771" s="115"/>
      <c r="F2771" s="115"/>
      <c r="G2771" s="116"/>
      <c r="I2771" s="118"/>
      <c r="J2771" s="118"/>
      <c r="L2771" s="125"/>
    </row>
    <row r="2772" spans="1:12" x14ac:dyDescent="0.25">
      <c r="A2772" s="115"/>
      <c r="B2772" s="115"/>
      <c r="C2772" s="115"/>
      <c r="D2772" s="115"/>
      <c r="E2772" s="115"/>
      <c r="F2772" s="115"/>
      <c r="G2772" s="116"/>
      <c r="I2772" s="118"/>
      <c r="J2772" s="118"/>
      <c r="L2772" s="125"/>
    </row>
    <row r="2773" spans="1:12" x14ac:dyDescent="0.25">
      <c r="A2773" s="115"/>
      <c r="B2773" s="115"/>
      <c r="C2773" s="115"/>
      <c r="D2773" s="115"/>
      <c r="E2773" s="115"/>
      <c r="F2773" s="115"/>
      <c r="G2773" s="116"/>
      <c r="I2773" s="118"/>
      <c r="J2773" s="118"/>
      <c r="L2773" s="125"/>
    </row>
    <row r="2774" spans="1:12" x14ac:dyDescent="0.25">
      <c r="A2774" s="115"/>
      <c r="B2774" s="115"/>
      <c r="C2774" s="115"/>
      <c r="D2774" s="115"/>
      <c r="E2774" s="115"/>
      <c r="F2774" s="115"/>
      <c r="G2774" s="116"/>
      <c r="I2774" s="118"/>
      <c r="J2774" s="118"/>
      <c r="L2774" s="125"/>
    </row>
    <row r="2775" spans="1:12" x14ac:dyDescent="0.25">
      <c r="A2775" s="115"/>
      <c r="B2775" s="115"/>
      <c r="C2775" s="115"/>
      <c r="D2775" s="115"/>
      <c r="E2775" s="115"/>
      <c r="F2775" s="115"/>
      <c r="G2775" s="116"/>
      <c r="I2775" s="118"/>
      <c r="J2775" s="118"/>
      <c r="L2775" s="125"/>
    </row>
    <row r="2776" spans="1:12" x14ac:dyDescent="0.25">
      <c r="A2776" s="115"/>
      <c r="B2776" s="115"/>
      <c r="C2776" s="115"/>
      <c r="D2776" s="115"/>
      <c r="E2776" s="115"/>
      <c r="F2776" s="115"/>
      <c r="G2776" s="116"/>
      <c r="I2776" s="118"/>
      <c r="J2776" s="118"/>
      <c r="L2776" s="125"/>
    </row>
    <row r="2777" spans="1:12" x14ac:dyDescent="0.25">
      <c r="A2777" s="115"/>
      <c r="B2777" s="115"/>
      <c r="C2777" s="115"/>
      <c r="D2777" s="115"/>
      <c r="E2777" s="115"/>
      <c r="F2777" s="115"/>
      <c r="G2777" s="116"/>
      <c r="I2777" s="118"/>
      <c r="J2777" s="118"/>
      <c r="L2777" s="125"/>
    </row>
    <row r="2778" spans="1:12" x14ac:dyDescent="0.25">
      <c r="A2778" s="115"/>
      <c r="B2778" s="115"/>
      <c r="C2778" s="115"/>
      <c r="D2778" s="115"/>
      <c r="E2778" s="115"/>
      <c r="F2778" s="115"/>
      <c r="G2778" s="116"/>
      <c r="I2778" s="118"/>
      <c r="J2778" s="118"/>
      <c r="L2778" s="125"/>
    </row>
    <row r="2779" spans="1:12" x14ac:dyDescent="0.25">
      <c r="A2779" s="115"/>
      <c r="B2779" s="115"/>
      <c r="C2779" s="115"/>
      <c r="D2779" s="115"/>
      <c r="E2779" s="115"/>
      <c r="F2779" s="115"/>
      <c r="G2779" s="116"/>
      <c r="I2779" s="118"/>
      <c r="J2779" s="118"/>
      <c r="L2779" s="125"/>
    </row>
    <row r="2780" spans="1:12" x14ac:dyDescent="0.25">
      <c r="A2780" s="115"/>
      <c r="B2780" s="115"/>
      <c r="C2780" s="115"/>
      <c r="D2780" s="115"/>
      <c r="E2780" s="115"/>
      <c r="F2780" s="115"/>
      <c r="G2780" s="116"/>
      <c r="I2780" s="118"/>
      <c r="J2780" s="118"/>
      <c r="L2780" s="125"/>
    </row>
    <row r="2781" spans="1:12" x14ac:dyDescent="0.25">
      <c r="A2781" s="115"/>
      <c r="B2781" s="115"/>
      <c r="C2781" s="115"/>
      <c r="D2781" s="115"/>
      <c r="E2781" s="115"/>
      <c r="F2781" s="115"/>
      <c r="G2781" s="116"/>
      <c r="I2781" s="118"/>
      <c r="J2781" s="118"/>
      <c r="L2781" s="125"/>
    </row>
    <row r="2782" spans="1:12" x14ac:dyDescent="0.25">
      <c r="A2782" s="115"/>
      <c r="B2782" s="115"/>
      <c r="C2782" s="115"/>
      <c r="D2782" s="115"/>
      <c r="E2782" s="115"/>
      <c r="F2782" s="115"/>
      <c r="G2782" s="116"/>
      <c r="I2782" s="118"/>
      <c r="J2782" s="118"/>
      <c r="L2782" s="125"/>
    </row>
    <row r="2783" spans="1:12" x14ac:dyDescent="0.25">
      <c r="A2783" s="115"/>
      <c r="B2783" s="115"/>
      <c r="C2783" s="115"/>
      <c r="D2783" s="115"/>
      <c r="E2783" s="115"/>
      <c r="F2783" s="115"/>
      <c r="G2783" s="116"/>
      <c r="I2783" s="118"/>
      <c r="J2783" s="118"/>
      <c r="L2783" s="125"/>
    </row>
    <row r="2784" spans="1:12" x14ac:dyDescent="0.25">
      <c r="A2784" s="115"/>
      <c r="B2784" s="115"/>
      <c r="C2784" s="115"/>
      <c r="D2784" s="115"/>
      <c r="E2784" s="115"/>
      <c r="F2784" s="115"/>
      <c r="G2784" s="116"/>
      <c r="I2784" s="118"/>
      <c r="J2784" s="118"/>
      <c r="L2784" s="125"/>
    </row>
    <row r="2785" spans="1:12" x14ac:dyDescent="0.25">
      <c r="A2785" s="115"/>
      <c r="B2785" s="115"/>
      <c r="C2785" s="115"/>
      <c r="D2785" s="115"/>
      <c r="E2785" s="115"/>
      <c r="F2785" s="115"/>
      <c r="G2785" s="116"/>
      <c r="I2785" s="118"/>
      <c r="J2785" s="118"/>
      <c r="L2785" s="125"/>
    </row>
    <row r="2786" spans="1:12" x14ac:dyDescent="0.25">
      <c r="A2786" s="115"/>
      <c r="B2786" s="115"/>
      <c r="C2786" s="115"/>
      <c r="D2786" s="115"/>
      <c r="E2786" s="115"/>
      <c r="F2786" s="115"/>
      <c r="G2786" s="116"/>
      <c r="I2786" s="118"/>
      <c r="J2786" s="118"/>
      <c r="L2786" s="125"/>
    </row>
    <row r="2787" spans="1:12" x14ac:dyDescent="0.25">
      <c r="A2787" s="115"/>
      <c r="B2787" s="115"/>
      <c r="C2787" s="115"/>
      <c r="D2787" s="115"/>
      <c r="E2787" s="115"/>
      <c r="F2787" s="115"/>
      <c r="G2787" s="116"/>
      <c r="I2787" s="118"/>
      <c r="J2787" s="118"/>
      <c r="L2787" s="125"/>
    </row>
    <row r="2788" spans="1:12" x14ac:dyDescent="0.25">
      <c r="A2788" s="115"/>
      <c r="B2788" s="115"/>
      <c r="C2788" s="115"/>
      <c r="D2788" s="115"/>
      <c r="E2788" s="115"/>
      <c r="F2788" s="115"/>
      <c r="G2788" s="116"/>
      <c r="I2788" s="118"/>
      <c r="J2788" s="118"/>
      <c r="L2788" s="125"/>
    </row>
    <row r="2789" spans="1:12" x14ac:dyDescent="0.25">
      <c r="A2789" s="115"/>
      <c r="B2789" s="115"/>
      <c r="C2789" s="115"/>
      <c r="D2789" s="115"/>
      <c r="E2789" s="115"/>
      <c r="F2789" s="115"/>
      <c r="G2789" s="116"/>
      <c r="I2789" s="118"/>
      <c r="J2789" s="118"/>
      <c r="L2789" s="125"/>
    </row>
    <row r="2790" spans="1:12" x14ac:dyDescent="0.25">
      <c r="A2790" s="115"/>
      <c r="B2790" s="115"/>
      <c r="C2790" s="115"/>
      <c r="D2790" s="115"/>
      <c r="E2790" s="115"/>
      <c r="F2790" s="115"/>
      <c r="G2790" s="116"/>
      <c r="I2790" s="118"/>
      <c r="J2790" s="118"/>
      <c r="L2790" s="125"/>
    </row>
    <row r="2791" spans="1:12" x14ac:dyDescent="0.25">
      <c r="A2791" s="115"/>
      <c r="B2791" s="115"/>
      <c r="C2791" s="115"/>
      <c r="D2791" s="115"/>
      <c r="E2791" s="115"/>
      <c r="F2791" s="115"/>
      <c r="G2791" s="116"/>
      <c r="I2791" s="118"/>
      <c r="J2791" s="118"/>
      <c r="L2791" s="125"/>
    </row>
    <row r="2792" spans="1:12" x14ac:dyDescent="0.25">
      <c r="A2792" s="115"/>
      <c r="B2792" s="115"/>
      <c r="C2792" s="115"/>
      <c r="D2792" s="115"/>
      <c r="E2792" s="115"/>
      <c r="F2792" s="115"/>
      <c r="G2792" s="116"/>
      <c r="I2792" s="118"/>
      <c r="J2792" s="118"/>
      <c r="L2792" s="125"/>
    </row>
    <row r="2793" spans="1:12" x14ac:dyDescent="0.25">
      <c r="A2793" s="115"/>
      <c r="B2793" s="115"/>
      <c r="C2793" s="115"/>
      <c r="D2793" s="115"/>
      <c r="E2793" s="115"/>
      <c r="F2793" s="115"/>
      <c r="G2793" s="116"/>
      <c r="I2793" s="118"/>
      <c r="J2793" s="118"/>
      <c r="L2793" s="125"/>
    </row>
    <row r="2794" spans="1:12" x14ac:dyDescent="0.25">
      <c r="A2794" s="115"/>
      <c r="B2794" s="115"/>
      <c r="C2794" s="115"/>
      <c r="D2794" s="115"/>
      <c r="E2794" s="115"/>
      <c r="F2794" s="115"/>
      <c r="G2794" s="116"/>
      <c r="I2794" s="118"/>
      <c r="J2794" s="118"/>
      <c r="L2794" s="125"/>
    </row>
    <row r="2795" spans="1:12" x14ac:dyDescent="0.25">
      <c r="A2795" s="115"/>
      <c r="B2795" s="115"/>
      <c r="C2795" s="115"/>
      <c r="D2795" s="115"/>
      <c r="E2795" s="115"/>
      <c r="F2795" s="115"/>
      <c r="G2795" s="116"/>
      <c r="I2795" s="118"/>
      <c r="J2795" s="118"/>
      <c r="L2795" s="125"/>
    </row>
    <row r="2796" spans="1:12" x14ac:dyDescent="0.25">
      <c r="A2796" s="115"/>
      <c r="B2796" s="115"/>
      <c r="C2796" s="115"/>
      <c r="D2796" s="115"/>
      <c r="E2796" s="115"/>
      <c r="F2796" s="115"/>
      <c r="G2796" s="116"/>
      <c r="I2796" s="118"/>
      <c r="J2796" s="118"/>
      <c r="L2796" s="125"/>
    </row>
    <row r="2797" spans="1:12" x14ac:dyDescent="0.25">
      <c r="A2797" s="115"/>
      <c r="B2797" s="115"/>
      <c r="C2797" s="115"/>
      <c r="D2797" s="115"/>
      <c r="E2797" s="115"/>
      <c r="F2797" s="115"/>
      <c r="G2797" s="116"/>
      <c r="I2797" s="118"/>
      <c r="J2797" s="118"/>
      <c r="L2797" s="125"/>
    </row>
    <row r="2798" spans="1:12" x14ac:dyDescent="0.25">
      <c r="A2798" s="115"/>
      <c r="B2798" s="115"/>
      <c r="C2798" s="115"/>
      <c r="D2798" s="115"/>
      <c r="E2798" s="115"/>
      <c r="F2798" s="115"/>
      <c r="G2798" s="116"/>
      <c r="I2798" s="118"/>
      <c r="J2798" s="118"/>
      <c r="L2798" s="125"/>
    </row>
    <row r="2799" spans="1:12" x14ac:dyDescent="0.25">
      <c r="A2799" s="115"/>
      <c r="B2799" s="115"/>
      <c r="C2799" s="115"/>
      <c r="D2799" s="115"/>
      <c r="E2799" s="115"/>
      <c r="F2799" s="115"/>
      <c r="G2799" s="116"/>
      <c r="I2799" s="118"/>
      <c r="J2799" s="118"/>
      <c r="L2799" s="125"/>
    </row>
    <row r="2800" spans="1:12" x14ac:dyDescent="0.25">
      <c r="A2800" s="115"/>
      <c r="B2800" s="115"/>
      <c r="C2800" s="115"/>
      <c r="D2800" s="115"/>
      <c r="E2800" s="115"/>
      <c r="F2800" s="115"/>
      <c r="G2800" s="116"/>
      <c r="I2800" s="118"/>
      <c r="J2800" s="118"/>
      <c r="L2800" s="125"/>
    </row>
    <row r="2801" spans="1:12" x14ac:dyDescent="0.25">
      <c r="A2801" s="115"/>
      <c r="B2801" s="115"/>
      <c r="C2801" s="115"/>
      <c r="D2801" s="115"/>
      <c r="E2801" s="115"/>
      <c r="F2801" s="115"/>
      <c r="G2801" s="116"/>
      <c r="I2801" s="118"/>
      <c r="J2801" s="118"/>
      <c r="L2801" s="125"/>
    </row>
    <row r="2802" spans="1:12" x14ac:dyDescent="0.25">
      <c r="A2802" s="115"/>
      <c r="B2802" s="115"/>
      <c r="C2802" s="115"/>
      <c r="D2802" s="115"/>
      <c r="E2802" s="115"/>
      <c r="F2802" s="115"/>
      <c r="G2802" s="116"/>
      <c r="I2802" s="118"/>
      <c r="J2802" s="118"/>
      <c r="L2802" s="125"/>
    </row>
    <row r="2803" spans="1:12" x14ac:dyDescent="0.25">
      <c r="A2803" s="115"/>
      <c r="B2803" s="115"/>
      <c r="C2803" s="115"/>
      <c r="D2803" s="115"/>
      <c r="E2803" s="115"/>
      <c r="F2803" s="115"/>
      <c r="G2803" s="116"/>
      <c r="I2803" s="118"/>
      <c r="J2803" s="118"/>
      <c r="L2803" s="125"/>
    </row>
    <row r="2804" spans="1:12" x14ac:dyDescent="0.25">
      <c r="A2804" s="115"/>
      <c r="B2804" s="115"/>
      <c r="C2804" s="115"/>
      <c r="D2804" s="115"/>
      <c r="E2804" s="115"/>
      <c r="F2804" s="115"/>
      <c r="G2804" s="116"/>
      <c r="I2804" s="118"/>
      <c r="J2804" s="118"/>
      <c r="L2804" s="125"/>
    </row>
    <row r="2805" spans="1:12" x14ac:dyDescent="0.25">
      <c r="A2805" s="115"/>
      <c r="B2805" s="115"/>
      <c r="C2805" s="115"/>
      <c r="D2805" s="115"/>
      <c r="E2805" s="115"/>
      <c r="F2805" s="115"/>
      <c r="G2805" s="116"/>
      <c r="I2805" s="118"/>
      <c r="J2805" s="118"/>
      <c r="L2805" s="125"/>
    </row>
    <row r="2806" spans="1:12" x14ac:dyDescent="0.25">
      <c r="A2806" s="115"/>
      <c r="B2806" s="115"/>
      <c r="C2806" s="115"/>
      <c r="D2806" s="115"/>
      <c r="E2806" s="115"/>
      <c r="F2806" s="115"/>
      <c r="G2806" s="116"/>
      <c r="I2806" s="118"/>
      <c r="J2806" s="118"/>
      <c r="L2806" s="125"/>
    </row>
    <row r="2807" spans="1:12" x14ac:dyDescent="0.25">
      <c r="A2807" s="115"/>
      <c r="B2807" s="115"/>
      <c r="C2807" s="115"/>
      <c r="D2807" s="115"/>
      <c r="E2807" s="115"/>
      <c r="F2807" s="115"/>
      <c r="G2807" s="116"/>
      <c r="I2807" s="118"/>
      <c r="J2807" s="118"/>
      <c r="L2807" s="125"/>
    </row>
    <row r="2808" spans="1:12" x14ac:dyDescent="0.25">
      <c r="A2808" s="115"/>
      <c r="B2808" s="115"/>
      <c r="C2808" s="115"/>
      <c r="D2808" s="115"/>
      <c r="E2808" s="115"/>
      <c r="F2808" s="115"/>
      <c r="G2808" s="116"/>
      <c r="I2808" s="118"/>
      <c r="J2808" s="118"/>
      <c r="L2808" s="125"/>
    </row>
    <row r="2809" spans="1:12" x14ac:dyDescent="0.25">
      <c r="A2809" s="115"/>
      <c r="B2809" s="115"/>
      <c r="C2809" s="115"/>
      <c r="D2809" s="115"/>
      <c r="E2809" s="115"/>
      <c r="F2809" s="115"/>
      <c r="G2809" s="116"/>
      <c r="I2809" s="118"/>
      <c r="J2809" s="118"/>
      <c r="L2809" s="125"/>
    </row>
    <row r="2810" spans="1:12" x14ac:dyDescent="0.25">
      <c r="A2810" s="115"/>
      <c r="B2810" s="115"/>
      <c r="C2810" s="115"/>
      <c r="D2810" s="115"/>
      <c r="E2810" s="115"/>
      <c r="F2810" s="115"/>
      <c r="G2810" s="116"/>
      <c r="I2810" s="118"/>
      <c r="J2810" s="118"/>
      <c r="L2810" s="125"/>
    </row>
    <row r="2811" spans="1:12" x14ac:dyDescent="0.25">
      <c r="A2811" s="115"/>
      <c r="B2811" s="115"/>
      <c r="C2811" s="115"/>
      <c r="D2811" s="115"/>
      <c r="E2811" s="115"/>
      <c r="F2811" s="115"/>
      <c r="G2811" s="116"/>
      <c r="I2811" s="118"/>
      <c r="J2811" s="118"/>
      <c r="L2811" s="125"/>
    </row>
    <row r="2812" spans="1:12" x14ac:dyDescent="0.25">
      <c r="A2812" s="115"/>
      <c r="B2812" s="115"/>
      <c r="C2812" s="115"/>
      <c r="D2812" s="115"/>
      <c r="E2812" s="115"/>
      <c r="F2812" s="115"/>
      <c r="G2812" s="116"/>
      <c r="I2812" s="118"/>
      <c r="J2812" s="118"/>
      <c r="L2812" s="125"/>
    </row>
    <row r="2813" spans="1:12" x14ac:dyDescent="0.25">
      <c r="A2813" s="115"/>
      <c r="B2813" s="115"/>
      <c r="C2813" s="115"/>
      <c r="D2813" s="115"/>
      <c r="E2813" s="115"/>
      <c r="F2813" s="115"/>
      <c r="G2813" s="116"/>
      <c r="I2813" s="118"/>
      <c r="J2813" s="118"/>
      <c r="L2813" s="125"/>
    </row>
    <row r="2814" spans="1:12" x14ac:dyDescent="0.25">
      <c r="A2814" s="115"/>
      <c r="B2814" s="115"/>
      <c r="C2814" s="115"/>
      <c r="D2814" s="115"/>
      <c r="E2814" s="115"/>
      <c r="F2814" s="115"/>
      <c r="G2814" s="116"/>
      <c r="I2814" s="118"/>
      <c r="J2814" s="118"/>
      <c r="L2814" s="125"/>
    </row>
    <row r="2815" spans="1:12" x14ac:dyDescent="0.25">
      <c r="A2815" s="115"/>
      <c r="B2815" s="115"/>
      <c r="C2815" s="115"/>
      <c r="D2815" s="115"/>
      <c r="E2815" s="115"/>
      <c r="F2815" s="115"/>
      <c r="G2815" s="116"/>
      <c r="I2815" s="118"/>
      <c r="J2815" s="118"/>
      <c r="L2815" s="125"/>
    </row>
    <row r="2816" spans="1:12" x14ac:dyDescent="0.25">
      <c r="A2816" s="115"/>
      <c r="B2816" s="115"/>
      <c r="C2816" s="115"/>
      <c r="D2816" s="115"/>
      <c r="E2816" s="115"/>
      <c r="F2816" s="115"/>
      <c r="G2816" s="116"/>
      <c r="I2816" s="118"/>
      <c r="J2816" s="118"/>
      <c r="L2816" s="125"/>
    </row>
    <row r="2817" spans="1:12" x14ac:dyDescent="0.25">
      <c r="A2817" s="115"/>
      <c r="B2817" s="115"/>
      <c r="C2817" s="115"/>
      <c r="D2817" s="115"/>
      <c r="E2817" s="115"/>
      <c r="F2817" s="115"/>
      <c r="G2817" s="116"/>
      <c r="I2817" s="118"/>
      <c r="J2817" s="118"/>
      <c r="L2817" s="125"/>
    </row>
    <row r="2818" spans="1:12" x14ac:dyDescent="0.25">
      <c r="A2818" s="115"/>
      <c r="B2818" s="115"/>
      <c r="C2818" s="115"/>
      <c r="D2818" s="115"/>
      <c r="E2818" s="115"/>
      <c r="F2818" s="115"/>
      <c r="G2818" s="116"/>
      <c r="I2818" s="118"/>
      <c r="J2818" s="118"/>
      <c r="L2818" s="125"/>
    </row>
    <row r="2819" spans="1:12" x14ac:dyDescent="0.25">
      <c r="A2819" s="115"/>
      <c r="B2819" s="115"/>
      <c r="C2819" s="115"/>
      <c r="D2819" s="115"/>
      <c r="E2819" s="115"/>
      <c r="F2819" s="115"/>
      <c r="G2819" s="116"/>
      <c r="I2819" s="118"/>
      <c r="J2819" s="118"/>
      <c r="L2819" s="125"/>
    </row>
    <row r="2820" spans="1:12" x14ac:dyDescent="0.25">
      <c r="A2820" s="115"/>
      <c r="B2820" s="115"/>
      <c r="C2820" s="115"/>
      <c r="D2820" s="115"/>
      <c r="E2820" s="115"/>
      <c r="F2820" s="115"/>
      <c r="G2820" s="116"/>
      <c r="I2820" s="118"/>
      <c r="J2820" s="118"/>
      <c r="L2820" s="125"/>
    </row>
    <row r="2821" spans="1:12" x14ac:dyDescent="0.25">
      <c r="A2821" s="115"/>
      <c r="B2821" s="115"/>
      <c r="C2821" s="115"/>
      <c r="D2821" s="115"/>
      <c r="E2821" s="115"/>
      <c r="F2821" s="115"/>
      <c r="G2821" s="116"/>
      <c r="I2821" s="118"/>
      <c r="J2821" s="118"/>
      <c r="L2821" s="125"/>
    </row>
    <row r="2822" spans="1:12" x14ac:dyDescent="0.25">
      <c r="A2822" s="115"/>
      <c r="B2822" s="115"/>
      <c r="C2822" s="115"/>
      <c r="D2822" s="115"/>
      <c r="E2822" s="115"/>
      <c r="F2822" s="115"/>
      <c r="G2822" s="116"/>
      <c r="I2822" s="118"/>
      <c r="J2822" s="118"/>
      <c r="L2822" s="125"/>
    </row>
    <row r="2823" spans="1:12" x14ac:dyDescent="0.25">
      <c r="A2823" s="115"/>
      <c r="B2823" s="115"/>
      <c r="C2823" s="115"/>
      <c r="D2823" s="115"/>
      <c r="E2823" s="115"/>
      <c r="F2823" s="115"/>
      <c r="G2823" s="116"/>
      <c r="I2823" s="118"/>
      <c r="J2823" s="118"/>
      <c r="L2823" s="125"/>
    </row>
    <row r="2824" spans="1:12" x14ac:dyDescent="0.25">
      <c r="A2824" s="115"/>
      <c r="B2824" s="115"/>
      <c r="C2824" s="115"/>
      <c r="D2824" s="115"/>
      <c r="E2824" s="115"/>
      <c r="F2824" s="115"/>
      <c r="G2824" s="116"/>
      <c r="I2824" s="118"/>
      <c r="J2824" s="118"/>
      <c r="L2824" s="125"/>
    </row>
    <row r="2825" spans="1:12" x14ac:dyDescent="0.25">
      <c r="A2825" s="115"/>
      <c r="B2825" s="115"/>
      <c r="C2825" s="115"/>
      <c r="D2825" s="115"/>
      <c r="E2825" s="115"/>
      <c r="F2825" s="115"/>
      <c r="G2825" s="116"/>
      <c r="I2825" s="118"/>
      <c r="J2825" s="118"/>
      <c r="L2825" s="125"/>
    </row>
    <row r="2826" spans="1:12" x14ac:dyDescent="0.25">
      <c r="A2826" s="115"/>
      <c r="B2826" s="115"/>
      <c r="C2826" s="115"/>
      <c r="D2826" s="115"/>
      <c r="E2826" s="115"/>
      <c r="F2826" s="115"/>
      <c r="G2826" s="116"/>
      <c r="I2826" s="118"/>
      <c r="J2826" s="118"/>
      <c r="L2826" s="125"/>
    </row>
    <row r="2827" spans="1:12" x14ac:dyDescent="0.25">
      <c r="A2827" s="115"/>
      <c r="B2827" s="115"/>
      <c r="C2827" s="115"/>
      <c r="D2827" s="115"/>
      <c r="E2827" s="115"/>
      <c r="F2827" s="115"/>
      <c r="G2827" s="116"/>
      <c r="I2827" s="118"/>
      <c r="J2827" s="118"/>
      <c r="L2827" s="125"/>
    </row>
    <row r="2828" spans="1:12" x14ac:dyDescent="0.25">
      <c r="A2828" s="115"/>
      <c r="B2828" s="115"/>
      <c r="C2828" s="115"/>
      <c r="D2828" s="115"/>
      <c r="E2828" s="115"/>
      <c r="F2828" s="115"/>
      <c r="G2828" s="116"/>
      <c r="I2828" s="118"/>
      <c r="J2828" s="118"/>
      <c r="L2828" s="125"/>
    </row>
    <row r="2829" spans="1:12" x14ac:dyDescent="0.25">
      <c r="A2829" s="115"/>
      <c r="B2829" s="115"/>
      <c r="C2829" s="115"/>
      <c r="D2829" s="115"/>
      <c r="E2829" s="115"/>
      <c r="F2829" s="115"/>
      <c r="G2829" s="116"/>
      <c r="I2829" s="118"/>
      <c r="J2829" s="118"/>
      <c r="L2829" s="125"/>
    </row>
    <row r="2830" spans="1:12" x14ac:dyDescent="0.25">
      <c r="A2830" s="115"/>
      <c r="B2830" s="115"/>
      <c r="C2830" s="115"/>
      <c r="D2830" s="115"/>
      <c r="E2830" s="115"/>
      <c r="F2830" s="115"/>
      <c r="G2830" s="116"/>
      <c r="I2830" s="118"/>
      <c r="J2830" s="118"/>
      <c r="L2830" s="125"/>
    </row>
    <row r="2831" spans="1:12" x14ac:dyDescent="0.25">
      <c r="A2831" s="115"/>
      <c r="B2831" s="115"/>
      <c r="C2831" s="115"/>
      <c r="D2831" s="115"/>
      <c r="E2831" s="115"/>
      <c r="F2831" s="115"/>
      <c r="G2831" s="116"/>
      <c r="I2831" s="118"/>
      <c r="J2831" s="118"/>
      <c r="L2831" s="125"/>
    </row>
    <row r="2832" spans="1:12" x14ac:dyDescent="0.25">
      <c r="A2832" s="115"/>
      <c r="B2832" s="115"/>
      <c r="C2832" s="115"/>
      <c r="D2832" s="115"/>
      <c r="E2832" s="115"/>
      <c r="F2832" s="115"/>
      <c r="G2832" s="116"/>
      <c r="I2832" s="118"/>
      <c r="J2832" s="118"/>
      <c r="L2832" s="125"/>
    </row>
    <row r="2833" spans="1:12" x14ac:dyDescent="0.25">
      <c r="A2833" s="115"/>
      <c r="B2833" s="115"/>
      <c r="C2833" s="115"/>
      <c r="D2833" s="115"/>
      <c r="E2833" s="115"/>
      <c r="F2833" s="115"/>
      <c r="G2833" s="116"/>
      <c r="I2833" s="118"/>
      <c r="J2833" s="118"/>
      <c r="L2833" s="125"/>
    </row>
    <row r="2834" spans="1:12" x14ac:dyDescent="0.25">
      <c r="A2834" s="115"/>
      <c r="B2834" s="115"/>
      <c r="C2834" s="115"/>
      <c r="D2834" s="115"/>
      <c r="E2834" s="115"/>
      <c r="F2834" s="115"/>
      <c r="G2834" s="116"/>
      <c r="I2834" s="118"/>
      <c r="J2834" s="118"/>
      <c r="L2834" s="125"/>
    </row>
    <row r="2835" spans="1:12" x14ac:dyDescent="0.25">
      <c r="A2835" s="115"/>
      <c r="B2835" s="115"/>
      <c r="C2835" s="115"/>
      <c r="D2835" s="115"/>
      <c r="E2835" s="115"/>
      <c r="F2835" s="115"/>
      <c r="G2835" s="116"/>
      <c r="I2835" s="118"/>
      <c r="J2835" s="118"/>
      <c r="L2835" s="125"/>
    </row>
    <row r="2836" spans="1:12" x14ac:dyDescent="0.25">
      <c r="A2836" s="115"/>
      <c r="B2836" s="115"/>
      <c r="C2836" s="115"/>
      <c r="D2836" s="115"/>
      <c r="E2836" s="115"/>
      <c r="F2836" s="115"/>
      <c r="G2836" s="116"/>
      <c r="I2836" s="118"/>
      <c r="J2836" s="118"/>
      <c r="L2836" s="125"/>
    </row>
    <row r="2837" spans="1:12" x14ac:dyDescent="0.25">
      <c r="A2837" s="115"/>
      <c r="B2837" s="115"/>
      <c r="C2837" s="115"/>
      <c r="D2837" s="115"/>
      <c r="E2837" s="115"/>
      <c r="F2837" s="115"/>
      <c r="G2837" s="116"/>
      <c r="I2837" s="118"/>
      <c r="J2837" s="118"/>
      <c r="L2837" s="125"/>
    </row>
    <row r="2838" spans="1:12" x14ac:dyDescent="0.25">
      <c r="A2838" s="115"/>
      <c r="B2838" s="115"/>
      <c r="C2838" s="115"/>
      <c r="D2838" s="115"/>
      <c r="E2838" s="115"/>
      <c r="F2838" s="115"/>
      <c r="G2838" s="116"/>
      <c r="I2838" s="118"/>
      <c r="J2838" s="118"/>
      <c r="L2838" s="125"/>
    </row>
    <row r="2839" spans="1:12" x14ac:dyDescent="0.25">
      <c r="A2839" s="115"/>
      <c r="B2839" s="115"/>
      <c r="C2839" s="115"/>
      <c r="D2839" s="115"/>
      <c r="E2839" s="115"/>
      <c r="F2839" s="115"/>
      <c r="G2839" s="116"/>
      <c r="I2839" s="118"/>
      <c r="J2839" s="118"/>
      <c r="L2839" s="125"/>
    </row>
    <row r="2840" spans="1:12" x14ac:dyDescent="0.25">
      <c r="A2840" s="115"/>
      <c r="B2840" s="115"/>
      <c r="C2840" s="115"/>
      <c r="D2840" s="115"/>
      <c r="E2840" s="115"/>
      <c r="F2840" s="115"/>
      <c r="G2840" s="116"/>
      <c r="I2840" s="118"/>
      <c r="J2840" s="118"/>
      <c r="L2840" s="125"/>
    </row>
    <row r="2841" spans="1:12" x14ac:dyDescent="0.25">
      <c r="A2841" s="115"/>
      <c r="B2841" s="115"/>
      <c r="C2841" s="115"/>
      <c r="D2841" s="115"/>
      <c r="E2841" s="115"/>
      <c r="F2841" s="115"/>
      <c r="G2841" s="116"/>
      <c r="I2841" s="118"/>
      <c r="J2841" s="118"/>
      <c r="L2841" s="125"/>
    </row>
    <row r="2842" spans="1:12" x14ac:dyDescent="0.25">
      <c r="A2842" s="115"/>
      <c r="B2842" s="115"/>
      <c r="C2842" s="115"/>
      <c r="D2842" s="115"/>
      <c r="E2842" s="115"/>
      <c r="F2842" s="115"/>
      <c r="G2842" s="116"/>
      <c r="I2842" s="118"/>
      <c r="J2842" s="118"/>
      <c r="L2842" s="125"/>
    </row>
    <row r="2843" spans="1:12" x14ac:dyDescent="0.25">
      <c r="A2843" s="115"/>
      <c r="B2843" s="115"/>
      <c r="C2843" s="115"/>
      <c r="D2843" s="115"/>
      <c r="E2843" s="115"/>
      <c r="F2843" s="115"/>
      <c r="G2843" s="116"/>
      <c r="I2843" s="118"/>
      <c r="J2843" s="118"/>
      <c r="L2843" s="125"/>
    </row>
    <row r="2844" spans="1:12" x14ac:dyDescent="0.25">
      <c r="A2844" s="115"/>
      <c r="B2844" s="115"/>
      <c r="C2844" s="115"/>
      <c r="D2844" s="115"/>
      <c r="E2844" s="115"/>
      <c r="F2844" s="115"/>
      <c r="G2844" s="116"/>
      <c r="I2844" s="118"/>
      <c r="J2844" s="118"/>
      <c r="L2844" s="125"/>
    </row>
    <row r="2845" spans="1:12" x14ac:dyDescent="0.25">
      <c r="A2845" s="115"/>
      <c r="B2845" s="115"/>
      <c r="C2845" s="115"/>
      <c r="D2845" s="115"/>
      <c r="E2845" s="115"/>
      <c r="F2845" s="115"/>
      <c r="G2845" s="116"/>
      <c r="I2845" s="118"/>
      <c r="J2845" s="118"/>
      <c r="L2845" s="125"/>
    </row>
    <row r="2846" spans="1:12" x14ac:dyDescent="0.25">
      <c r="A2846" s="115"/>
      <c r="B2846" s="115"/>
      <c r="C2846" s="115"/>
      <c r="D2846" s="115"/>
      <c r="E2846" s="115"/>
      <c r="F2846" s="115"/>
      <c r="G2846" s="116"/>
      <c r="I2846" s="118"/>
      <c r="J2846" s="118"/>
      <c r="L2846" s="125"/>
    </row>
    <row r="2847" spans="1:12" x14ac:dyDescent="0.25">
      <c r="A2847" s="115"/>
      <c r="B2847" s="115"/>
      <c r="C2847" s="115"/>
      <c r="D2847" s="115"/>
      <c r="E2847" s="115"/>
      <c r="F2847" s="115"/>
      <c r="G2847" s="116"/>
      <c r="I2847" s="118"/>
      <c r="J2847" s="118"/>
      <c r="L2847" s="125"/>
    </row>
    <row r="2848" spans="1:12" x14ac:dyDescent="0.25">
      <c r="A2848" s="115"/>
      <c r="B2848" s="115"/>
      <c r="C2848" s="115"/>
      <c r="D2848" s="115"/>
      <c r="E2848" s="115"/>
      <c r="F2848" s="115"/>
      <c r="G2848" s="116"/>
      <c r="I2848" s="118"/>
      <c r="J2848" s="118"/>
      <c r="L2848" s="125"/>
    </row>
    <row r="2849" spans="1:12" x14ac:dyDescent="0.25">
      <c r="A2849" s="115"/>
      <c r="B2849" s="115"/>
      <c r="C2849" s="115"/>
      <c r="D2849" s="115"/>
      <c r="E2849" s="115"/>
      <c r="F2849" s="115"/>
      <c r="G2849" s="116"/>
      <c r="I2849" s="118"/>
      <c r="J2849" s="118"/>
      <c r="L2849" s="125"/>
    </row>
    <row r="2850" spans="1:12" x14ac:dyDescent="0.25">
      <c r="A2850" s="115"/>
      <c r="B2850" s="115"/>
      <c r="C2850" s="115"/>
      <c r="D2850" s="115"/>
      <c r="E2850" s="115"/>
      <c r="F2850" s="115"/>
      <c r="G2850" s="116"/>
      <c r="I2850" s="118"/>
      <c r="J2850" s="118"/>
      <c r="L2850" s="125"/>
    </row>
    <row r="2851" spans="1:12" x14ac:dyDescent="0.25">
      <c r="A2851" s="115"/>
      <c r="B2851" s="115"/>
      <c r="C2851" s="115"/>
      <c r="D2851" s="115"/>
      <c r="E2851" s="115"/>
      <c r="F2851" s="115"/>
      <c r="G2851" s="116"/>
      <c r="I2851" s="118"/>
      <c r="J2851" s="118"/>
      <c r="L2851" s="125"/>
    </row>
    <row r="2852" spans="1:12" x14ac:dyDescent="0.25">
      <c r="A2852" s="115"/>
      <c r="B2852" s="115"/>
      <c r="C2852" s="115"/>
      <c r="D2852" s="115"/>
      <c r="E2852" s="115"/>
      <c r="F2852" s="115"/>
      <c r="G2852" s="116"/>
      <c r="I2852" s="118"/>
      <c r="J2852" s="118"/>
      <c r="L2852" s="125"/>
    </row>
    <row r="2853" spans="1:12" x14ac:dyDescent="0.25">
      <c r="A2853" s="115"/>
      <c r="B2853" s="115"/>
      <c r="C2853" s="115"/>
      <c r="D2853" s="115"/>
      <c r="E2853" s="115"/>
      <c r="F2853" s="115"/>
      <c r="G2853" s="116"/>
      <c r="I2853" s="118"/>
      <c r="J2853" s="118"/>
      <c r="L2853" s="125"/>
    </row>
    <row r="2854" spans="1:12" x14ac:dyDescent="0.25">
      <c r="A2854" s="115"/>
      <c r="B2854" s="115"/>
      <c r="C2854" s="115"/>
      <c r="D2854" s="115"/>
      <c r="E2854" s="115"/>
      <c r="F2854" s="115"/>
      <c r="G2854" s="116"/>
      <c r="I2854" s="118"/>
      <c r="J2854" s="118"/>
      <c r="L2854" s="125"/>
    </row>
    <row r="2855" spans="1:12" x14ac:dyDescent="0.25">
      <c r="A2855" s="115"/>
      <c r="B2855" s="115"/>
      <c r="C2855" s="115"/>
      <c r="D2855" s="115"/>
      <c r="E2855" s="115"/>
      <c r="F2855" s="115"/>
      <c r="G2855" s="116"/>
      <c r="I2855" s="118"/>
      <c r="J2855" s="118"/>
      <c r="L2855" s="125"/>
    </row>
    <row r="2856" spans="1:12" x14ac:dyDescent="0.25">
      <c r="A2856" s="115"/>
      <c r="B2856" s="115"/>
      <c r="C2856" s="115"/>
      <c r="D2856" s="115"/>
      <c r="E2856" s="115"/>
      <c r="F2856" s="115"/>
      <c r="G2856" s="116"/>
      <c r="I2856" s="118"/>
      <c r="J2856" s="118"/>
      <c r="L2856" s="125"/>
    </row>
    <row r="2857" spans="1:12" x14ac:dyDescent="0.25">
      <c r="A2857" s="115"/>
      <c r="B2857" s="115"/>
      <c r="C2857" s="115"/>
      <c r="D2857" s="115"/>
      <c r="E2857" s="115"/>
      <c r="F2857" s="115"/>
      <c r="G2857" s="116"/>
      <c r="I2857" s="118"/>
      <c r="J2857" s="118"/>
      <c r="L2857" s="125"/>
    </row>
    <row r="2858" spans="1:12" x14ac:dyDescent="0.25">
      <c r="A2858" s="115"/>
      <c r="B2858" s="115"/>
      <c r="C2858" s="115"/>
      <c r="D2858" s="115"/>
      <c r="E2858" s="115"/>
      <c r="F2858" s="115"/>
      <c r="G2858" s="116"/>
      <c r="I2858" s="118"/>
      <c r="J2858" s="118"/>
      <c r="L2858" s="125"/>
    </row>
    <row r="2859" spans="1:12" x14ac:dyDescent="0.25">
      <c r="A2859" s="115"/>
      <c r="B2859" s="115"/>
      <c r="C2859" s="115"/>
      <c r="D2859" s="115"/>
      <c r="E2859" s="115"/>
      <c r="F2859" s="115"/>
      <c r="G2859" s="116"/>
      <c r="I2859" s="118"/>
      <c r="J2859" s="118"/>
      <c r="L2859" s="125"/>
    </row>
    <row r="2860" spans="1:12" x14ac:dyDescent="0.25">
      <c r="A2860" s="115"/>
      <c r="B2860" s="115"/>
      <c r="C2860" s="115"/>
      <c r="D2860" s="115"/>
      <c r="E2860" s="115"/>
      <c r="F2860" s="115"/>
      <c r="G2860" s="116"/>
      <c r="I2860" s="118"/>
      <c r="J2860" s="118"/>
      <c r="L2860" s="125"/>
    </row>
    <row r="2861" spans="1:12" x14ac:dyDescent="0.25">
      <c r="A2861" s="115"/>
      <c r="B2861" s="115"/>
      <c r="C2861" s="115"/>
      <c r="D2861" s="115"/>
      <c r="E2861" s="115"/>
      <c r="F2861" s="115"/>
      <c r="G2861" s="116"/>
      <c r="I2861" s="118"/>
      <c r="J2861" s="118"/>
      <c r="L2861" s="125"/>
    </row>
    <row r="2862" spans="1:12" x14ac:dyDescent="0.25">
      <c r="A2862" s="115"/>
      <c r="B2862" s="115"/>
      <c r="C2862" s="115"/>
      <c r="D2862" s="115"/>
      <c r="E2862" s="115"/>
      <c r="F2862" s="115"/>
      <c r="G2862" s="116"/>
      <c r="I2862" s="118"/>
      <c r="J2862" s="118"/>
      <c r="L2862" s="125"/>
    </row>
    <row r="2863" spans="1:12" x14ac:dyDescent="0.25">
      <c r="A2863" s="115"/>
      <c r="B2863" s="115"/>
      <c r="C2863" s="115"/>
      <c r="D2863" s="115"/>
      <c r="E2863" s="115"/>
      <c r="F2863" s="115"/>
      <c r="G2863" s="116"/>
      <c r="I2863" s="118"/>
      <c r="J2863" s="118"/>
      <c r="L2863" s="125"/>
    </row>
    <row r="2864" spans="1:12" x14ac:dyDescent="0.25">
      <c r="A2864" s="115"/>
      <c r="B2864" s="115"/>
      <c r="C2864" s="115"/>
      <c r="D2864" s="115"/>
      <c r="E2864" s="115"/>
      <c r="F2864" s="115"/>
      <c r="G2864" s="116"/>
      <c r="I2864" s="118"/>
      <c r="J2864" s="118"/>
      <c r="L2864" s="125"/>
    </row>
    <row r="2865" spans="1:12" x14ac:dyDescent="0.25">
      <c r="A2865" s="115"/>
      <c r="B2865" s="115"/>
      <c r="C2865" s="115"/>
      <c r="D2865" s="115"/>
      <c r="E2865" s="115"/>
      <c r="F2865" s="115"/>
      <c r="G2865" s="116"/>
      <c r="I2865" s="118"/>
      <c r="J2865" s="118"/>
      <c r="L2865" s="125"/>
    </row>
    <row r="2866" spans="1:12" x14ac:dyDescent="0.25">
      <c r="A2866" s="115"/>
      <c r="B2866" s="115"/>
      <c r="C2866" s="115"/>
      <c r="D2866" s="115"/>
      <c r="E2866" s="115"/>
      <c r="F2866" s="115"/>
      <c r="G2866" s="116"/>
      <c r="I2866" s="118"/>
      <c r="J2866" s="118"/>
      <c r="L2866" s="125"/>
    </row>
    <row r="2867" spans="1:12" x14ac:dyDescent="0.25">
      <c r="A2867" s="115"/>
      <c r="B2867" s="115"/>
      <c r="C2867" s="115"/>
      <c r="D2867" s="115"/>
      <c r="E2867" s="115"/>
      <c r="F2867" s="115"/>
      <c r="G2867" s="116"/>
      <c r="I2867" s="118"/>
      <c r="J2867" s="118"/>
      <c r="L2867" s="125"/>
    </row>
    <row r="2868" spans="1:12" x14ac:dyDescent="0.25">
      <c r="A2868" s="115"/>
      <c r="B2868" s="115"/>
      <c r="C2868" s="115"/>
      <c r="D2868" s="115"/>
      <c r="E2868" s="115"/>
      <c r="F2868" s="115"/>
      <c r="G2868" s="116"/>
      <c r="I2868" s="118"/>
      <c r="J2868" s="118"/>
      <c r="L2868" s="125"/>
    </row>
    <row r="2869" spans="1:12" x14ac:dyDescent="0.25">
      <c r="A2869" s="115"/>
      <c r="B2869" s="115"/>
      <c r="C2869" s="115"/>
      <c r="D2869" s="115"/>
      <c r="E2869" s="115"/>
      <c r="F2869" s="115"/>
      <c r="G2869" s="116"/>
      <c r="I2869" s="118"/>
      <c r="J2869" s="118"/>
      <c r="L2869" s="125"/>
    </row>
    <row r="2870" spans="1:12" x14ac:dyDescent="0.25">
      <c r="A2870" s="115"/>
      <c r="B2870" s="115"/>
      <c r="C2870" s="115"/>
      <c r="D2870" s="115"/>
      <c r="E2870" s="115"/>
      <c r="F2870" s="115"/>
      <c r="G2870" s="116"/>
      <c r="I2870" s="118"/>
      <c r="J2870" s="118"/>
      <c r="L2870" s="125"/>
    </row>
    <row r="2871" spans="1:12" x14ac:dyDescent="0.25">
      <c r="A2871" s="115"/>
      <c r="B2871" s="115"/>
      <c r="C2871" s="115"/>
      <c r="D2871" s="115"/>
      <c r="E2871" s="115"/>
      <c r="F2871" s="115"/>
      <c r="G2871" s="116"/>
      <c r="I2871" s="118"/>
      <c r="J2871" s="118"/>
      <c r="L2871" s="125"/>
    </row>
    <row r="2872" spans="1:12" x14ac:dyDescent="0.25">
      <c r="A2872" s="115"/>
      <c r="B2872" s="115"/>
      <c r="C2872" s="115"/>
      <c r="D2872" s="115"/>
      <c r="E2872" s="115"/>
      <c r="F2872" s="115"/>
      <c r="G2872" s="116"/>
      <c r="I2872" s="118"/>
      <c r="J2872" s="118"/>
      <c r="L2872" s="125"/>
    </row>
    <row r="2873" spans="1:12" x14ac:dyDescent="0.25">
      <c r="A2873" s="115"/>
      <c r="B2873" s="115"/>
      <c r="C2873" s="115"/>
      <c r="D2873" s="115"/>
      <c r="E2873" s="115"/>
      <c r="F2873" s="115"/>
      <c r="G2873" s="116"/>
      <c r="I2873" s="118"/>
      <c r="J2873" s="118"/>
      <c r="L2873" s="125"/>
    </row>
    <row r="2874" spans="1:12" x14ac:dyDescent="0.25">
      <c r="A2874" s="115"/>
      <c r="B2874" s="115"/>
      <c r="C2874" s="115"/>
      <c r="D2874" s="115"/>
      <c r="E2874" s="115"/>
      <c r="F2874" s="115"/>
      <c r="G2874" s="116"/>
      <c r="I2874" s="118"/>
      <c r="J2874" s="118"/>
      <c r="L2874" s="125"/>
    </row>
    <row r="2875" spans="1:12" x14ac:dyDescent="0.25">
      <c r="A2875" s="115"/>
      <c r="B2875" s="115"/>
      <c r="C2875" s="115"/>
      <c r="D2875" s="115"/>
      <c r="E2875" s="115"/>
      <c r="F2875" s="115"/>
      <c r="G2875" s="116"/>
      <c r="I2875" s="118"/>
      <c r="J2875" s="118"/>
      <c r="L2875" s="125"/>
    </row>
    <row r="2876" spans="1:12" x14ac:dyDescent="0.25">
      <c r="A2876" s="115"/>
      <c r="B2876" s="115"/>
      <c r="C2876" s="115"/>
      <c r="D2876" s="115"/>
      <c r="E2876" s="115"/>
      <c r="F2876" s="115"/>
      <c r="G2876" s="116"/>
      <c r="I2876" s="118"/>
      <c r="J2876" s="118"/>
      <c r="L2876" s="125"/>
    </row>
    <row r="2877" spans="1:12" x14ac:dyDescent="0.25">
      <c r="A2877" s="115"/>
      <c r="B2877" s="115"/>
      <c r="C2877" s="115"/>
      <c r="D2877" s="115"/>
      <c r="E2877" s="115"/>
      <c r="F2877" s="115"/>
      <c r="G2877" s="116"/>
      <c r="I2877" s="118"/>
      <c r="J2877" s="118"/>
      <c r="L2877" s="125"/>
    </row>
    <row r="2878" spans="1:12" x14ac:dyDescent="0.25">
      <c r="A2878" s="115"/>
      <c r="B2878" s="115"/>
      <c r="C2878" s="115"/>
      <c r="D2878" s="115"/>
      <c r="E2878" s="115"/>
      <c r="F2878" s="115"/>
      <c r="G2878" s="116"/>
      <c r="I2878" s="118"/>
      <c r="J2878" s="118"/>
      <c r="L2878" s="125"/>
    </row>
    <row r="2879" spans="1:12" x14ac:dyDescent="0.25">
      <c r="A2879" s="115"/>
      <c r="B2879" s="115"/>
      <c r="C2879" s="115"/>
      <c r="D2879" s="115"/>
      <c r="E2879" s="115"/>
      <c r="F2879" s="115"/>
      <c r="G2879" s="116"/>
      <c r="I2879" s="118"/>
      <c r="J2879" s="118"/>
      <c r="L2879" s="125"/>
    </row>
    <row r="2880" spans="1:12" x14ac:dyDescent="0.25">
      <c r="A2880" s="115"/>
      <c r="B2880" s="115"/>
      <c r="C2880" s="115"/>
      <c r="D2880" s="115"/>
      <c r="E2880" s="115"/>
      <c r="F2880" s="115"/>
      <c r="G2880" s="116"/>
      <c r="I2880" s="118"/>
      <c r="J2880" s="118"/>
      <c r="L2880" s="125"/>
    </row>
    <row r="2881" spans="1:12" x14ac:dyDescent="0.25">
      <c r="A2881" s="115"/>
      <c r="B2881" s="115"/>
      <c r="C2881" s="115"/>
      <c r="D2881" s="115"/>
      <c r="E2881" s="115"/>
      <c r="F2881" s="115"/>
      <c r="G2881" s="116"/>
      <c r="I2881" s="118"/>
      <c r="J2881" s="118"/>
      <c r="L2881" s="125"/>
    </row>
    <row r="2882" spans="1:12" x14ac:dyDescent="0.25">
      <c r="A2882" s="115"/>
      <c r="B2882" s="115"/>
      <c r="C2882" s="115"/>
      <c r="D2882" s="115"/>
      <c r="E2882" s="115"/>
      <c r="F2882" s="115"/>
      <c r="G2882" s="116"/>
      <c r="I2882" s="118"/>
      <c r="J2882" s="118"/>
      <c r="L2882" s="125"/>
    </row>
    <row r="2883" spans="1:12" x14ac:dyDescent="0.25">
      <c r="A2883" s="115"/>
      <c r="B2883" s="115"/>
      <c r="C2883" s="115"/>
      <c r="D2883" s="115"/>
      <c r="E2883" s="115"/>
      <c r="F2883" s="115"/>
      <c r="G2883" s="116"/>
      <c r="I2883" s="118"/>
      <c r="J2883" s="118"/>
      <c r="L2883" s="125"/>
    </row>
    <row r="2884" spans="1:12" x14ac:dyDescent="0.25">
      <c r="A2884" s="115"/>
      <c r="B2884" s="115"/>
      <c r="C2884" s="115"/>
      <c r="D2884" s="115"/>
      <c r="E2884" s="115"/>
      <c r="F2884" s="115"/>
      <c r="G2884" s="116"/>
      <c r="I2884" s="118"/>
      <c r="J2884" s="118"/>
      <c r="L2884" s="125"/>
    </row>
    <row r="2885" spans="1:12" x14ac:dyDescent="0.25">
      <c r="A2885" s="115"/>
      <c r="B2885" s="115"/>
      <c r="C2885" s="115"/>
      <c r="D2885" s="115"/>
      <c r="E2885" s="115"/>
      <c r="F2885" s="115"/>
      <c r="G2885" s="116"/>
      <c r="I2885" s="118"/>
      <c r="J2885" s="118"/>
      <c r="L2885" s="125"/>
    </row>
    <row r="2886" spans="1:12" x14ac:dyDescent="0.25">
      <c r="A2886" s="115"/>
      <c r="B2886" s="115"/>
      <c r="C2886" s="115"/>
      <c r="D2886" s="115"/>
      <c r="E2886" s="115"/>
      <c r="F2886" s="115"/>
      <c r="G2886" s="116"/>
      <c r="I2886" s="118"/>
      <c r="J2886" s="118"/>
      <c r="L2886" s="125"/>
    </row>
    <row r="2887" spans="1:12" x14ac:dyDescent="0.25">
      <c r="A2887" s="115"/>
      <c r="B2887" s="115"/>
      <c r="C2887" s="115"/>
      <c r="D2887" s="115"/>
      <c r="E2887" s="115"/>
      <c r="F2887" s="115"/>
      <c r="G2887" s="116"/>
      <c r="I2887" s="118"/>
      <c r="J2887" s="118"/>
      <c r="L2887" s="125"/>
    </row>
    <row r="2888" spans="1:12" x14ac:dyDescent="0.25">
      <c r="A2888" s="115"/>
      <c r="B2888" s="115"/>
      <c r="C2888" s="115"/>
      <c r="D2888" s="115"/>
      <c r="E2888" s="115"/>
      <c r="F2888" s="115"/>
      <c r="G2888" s="116"/>
      <c r="I2888" s="118"/>
      <c r="J2888" s="118"/>
      <c r="L2888" s="125"/>
    </row>
    <row r="2889" spans="1:12" x14ac:dyDescent="0.25">
      <c r="A2889" s="115"/>
      <c r="B2889" s="115"/>
      <c r="C2889" s="115"/>
      <c r="D2889" s="115"/>
      <c r="E2889" s="115"/>
      <c r="F2889" s="115"/>
      <c r="G2889" s="116"/>
      <c r="I2889" s="118"/>
      <c r="J2889" s="118"/>
      <c r="L2889" s="125"/>
    </row>
    <row r="2890" spans="1:12" x14ac:dyDescent="0.25">
      <c r="A2890" s="115"/>
      <c r="B2890" s="115"/>
      <c r="C2890" s="115"/>
      <c r="D2890" s="115"/>
      <c r="E2890" s="115"/>
      <c r="F2890" s="115"/>
      <c r="G2890" s="116"/>
      <c r="I2890" s="118"/>
      <c r="J2890" s="118"/>
      <c r="L2890" s="125"/>
    </row>
    <row r="2891" spans="1:12" x14ac:dyDescent="0.25">
      <c r="A2891" s="115"/>
      <c r="B2891" s="115"/>
      <c r="C2891" s="115"/>
      <c r="D2891" s="115"/>
      <c r="E2891" s="115"/>
      <c r="F2891" s="115"/>
      <c r="G2891" s="116"/>
      <c r="I2891" s="118"/>
      <c r="J2891" s="118"/>
      <c r="L2891" s="125"/>
    </row>
    <row r="2892" spans="1:12" x14ac:dyDescent="0.25">
      <c r="A2892" s="115"/>
      <c r="B2892" s="115"/>
      <c r="C2892" s="115"/>
      <c r="D2892" s="115"/>
      <c r="E2892" s="115"/>
      <c r="F2892" s="115"/>
      <c r="G2892" s="116"/>
      <c r="I2892" s="118"/>
      <c r="J2892" s="118"/>
      <c r="L2892" s="125"/>
    </row>
    <row r="2893" spans="1:12" x14ac:dyDescent="0.25">
      <c r="A2893" s="115"/>
      <c r="B2893" s="115"/>
      <c r="C2893" s="115"/>
      <c r="D2893" s="115"/>
      <c r="E2893" s="115"/>
      <c r="F2893" s="115"/>
      <c r="G2893" s="116"/>
      <c r="I2893" s="118"/>
      <c r="J2893" s="118"/>
      <c r="L2893" s="125"/>
    </row>
    <row r="2894" spans="1:12" x14ac:dyDescent="0.25">
      <c r="A2894" s="115"/>
      <c r="B2894" s="115"/>
      <c r="C2894" s="115"/>
      <c r="D2894" s="115"/>
      <c r="E2894" s="115"/>
      <c r="F2894" s="115"/>
      <c r="G2894" s="116"/>
      <c r="I2894" s="118"/>
      <c r="J2894" s="118"/>
      <c r="L2894" s="125"/>
    </row>
    <row r="2895" spans="1:12" x14ac:dyDescent="0.25">
      <c r="A2895" s="115"/>
      <c r="B2895" s="115"/>
      <c r="C2895" s="115"/>
      <c r="D2895" s="115"/>
      <c r="E2895" s="115"/>
      <c r="F2895" s="115"/>
      <c r="G2895" s="116"/>
      <c r="I2895" s="118"/>
      <c r="J2895" s="118"/>
      <c r="L2895" s="125"/>
    </row>
    <row r="2896" spans="1:12" x14ac:dyDescent="0.25">
      <c r="A2896" s="115"/>
      <c r="B2896" s="115"/>
      <c r="C2896" s="115"/>
      <c r="D2896" s="115"/>
      <c r="E2896" s="115"/>
      <c r="F2896" s="115"/>
      <c r="G2896" s="116"/>
      <c r="I2896" s="118"/>
      <c r="J2896" s="118"/>
      <c r="L2896" s="125"/>
    </row>
    <row r="2897" spans="1:12" x14ac:dyDescent="0.25">
      <c r="A2897" s="115"/>
      <c r="B2897" s="115"/>
      <c r="C2897" s="115"/>
      <c r="D2897" s="115"/>
      <c r="E2897" s="115"/>
      <c r="F2897" s="115"/>
      <c r="G2897" s="116"/>
      <c r="I2897" s="118"/>
      <c r="J2897" s="118"/>
      <c r="L2897" s="125"/>
    </row>
    <row r="2898" spans="1:12" x14ac:dyDescent="0.25">
      <c r="A2898" s="115"/>
      <c r="B2898" s="115"/>
      <c r="C2898" s="115"/>
      <c r="D2898" s="115"/>
      <c r="E2898" s="115"/>
      <c r="F2898" s="115"/>
      <c r="G2898" s="116"/>
      <c r="I2898" s="118"/>
      <c r="J2898" s="118"/>
      <c r="L2898" s="125"/>
    </row>
    <row r="2899" spans="1:12" x14ac:dyDescent="0.25">
      <c r="A2899" s="115"/>
      <c r="B2899" s="115"/>
      <c r="C2899" s="115"/>
      <c r="D2899" s="115"/>
      <c r="E2899" s="115"/>
      <c r="F2899" s="115"/>
      <c r="G2899" s="116"/>
      <c r="I2899" s="118"/>
      <c r="J2899" s="118"/>
      <c r="L2899" s="125"/>
    </row>
    <row r="2900" spans="1:12" x14ac:dyDescent="0.25">
      <c r="A2900" s="115"/>
      <c r="B2900" s="115"/>
      <c r="C2900" s="115"/>
      <c r="D2900" s="115"/>
      <c r="E2900" s="115"/>
      <c r="F2900" s="115"/>
      <c r="G2900" s="116"/>
      <c r="I2900" s="118"/>
      <c r="J2900" s="118"/>
      <c r="L2900" s="125"/>
    </row>
    <row r="2901" spans="1:12" x14ac:dyDescent="0.25">
      <c r="A2901" s="115"/>
      <c r="B2901" s="115"/>
      <c r="C2901" s="115"/>
      <c r="D2901" s="115"/>
      <c r="E2901" s="115"/>
      <c r="F2901" s="115"/>
      <c r="G2901" s="116"/>
      <c r="I2901" s="118"/>
      <c r="J2901" s="118"/>
      <c r="L2901" s="125"/>
    </row>
    <row r="2902" spans="1:12" x14ac:dyDescent="0.25">
      <c r="A2902" s="115"/>
      <c r="B2902" s="115"/>
      <c r="C2902" s="115"/>
      <c r="D2902" s="115"/>
      <c r="E2902" s="115"/>
      <c r="F2902" s="115"/>
      <c r="G2902" s="116"/>
      <c r="I2902" s="118"/>
      <c r="J2902" s="118"/>
      <c r="L2902" s="125"/>
    </row>
    <row r="2903" spans="1:12" x14ac:dyDescent="0.25">
      <c r="A2903" s="115"/>
      <c r="B2903" s="115"/>
      <c r="C2903" s="115"/>
      <c r="D2903" s="115"/>
      <c r="E2903" s="115"/>
      <c r="F2903" s="115"/>
      <c r="G2903" s="116"/>
      <c r="I2903" s="118"/>
      <c r="J2903" s="118"/>
      <c r="L2903" s="125"/>
    </row>
    <row r="2904" spans="1:12" x14ac:dyDescent="0.25">
      <c r="A2904" s="115"/>
      <c r="B2904" s="115"/>
      <c r="C2904" s="115"/>
      <c r="D2904" s="115"/>
      <c r="E2904" s="115"/>
      <c r="F2904" s="115"/>
      <c r="G2904" s="116"/>
      <c r="I2904" s="118"/>
      <c r="J2904" s="118"/>
      <c r="L2904" s="125"/>
    </row>
    <row r="2905" spans="1:12" x14ac:dyDescent="0.25">
      <c r="A2905" s="115"/>
      <c r="B2905" s="115"/>
      <c r="C2905" s="115"/>
      <c r="D2905" s="115"/>
      <c r="E2905" s="115"/>
      <c r="F2905" s="115"/>
      <c r="G2905" s="116"/>
      <c r="I2905" s="118"/>
      <c r="J2905" s="118"/>
      <c r="L2905" s="125"/>
    </row>
    <row r="2906" spans="1:12" x14ac:dyDescent="0.25">
      <c r="A2906" s="115"/>
      <c r="B2906" s="115"/>
      <c r="C2906" s="115"/>
      <c r="D2906" s="115"/>
      <c r="E2906" s="115"/>
      <c r="F2906" s="115"/>
      <c r="G2906" s="116"/>
      <c r="I2906" s="118"/>
      <c r="J2906" s="118"/>
      <c r="L2906" s="125"/>
    </row>
    <row r="2907" spans="1:12" x14ac:dyDescent="0.25">
      <c r="A2907" s="115"/>
      <c r="B2907" s="115"/>
      <c r="C2907" s="115"/>
      <c r="D2907" s="115"/>
      <c r="E2907" s="115"/>
      <c r="F2907" s="115"/>
      <c r="G2907" s="116"/>
      <c r="I2907" s="118"/>
      <c r="J2907" s="118"/>
      <c r="L2907" s="125"/>
    </row>
    <row r="2908" spans="1:12" x14ac:dyDescent="0.25">
      <c r="A2908" s="115"/>
      <c r="B2908" s="115"/>
      <c r="C2908" s="115"/>
      <c r="D2908" s="115"/>
      <c r="E2908" s="115"/>
      <c r="F2908" s="115"/>
      <c r="G2908" s="116"/>
      <c r="I2908" s="118"/>
      <c r="J2908" s="118"/>
      <c r="L2908" s="125"/>
    </row>
    <row r="2909" spans="1:12" x14ac:dyDescent="0.25">
      <c r="A2909" s="115"/>
      <c r="B2909" s="115"/>
      <c r="C2909" s="115"/>
      <c r="D2909" s="115"/>
      <c r="E2909" s="115"/>
      <c r="F2909" s="115"/>
      <c r="G2909" s="116"/>
      <c r="I2909" s="118"/>
      <c r="J2909" s="118"/>
      <c r="L2909" s="125"/>
    </row>
    <row r="2910" spans="1:12" x14ac:dyDescent="0.25">
      <c r="A2910" s="115"/>
      <c r="B2910" s="115"/>
      <c r="C2910" s="115"/>
      <c r="D2910" s="115"/>
      <c r="E2910" s="115"/>
      <c r="F2910" s="115"/>
      <c r="G2910" s="116"/>
      <c r="I2910" s="118"/>
      <c r="J2910" s="118"/>
      <c r="L2910" s="125"/>
    </row>
    <row r="2911" spans="1:12" x14ac:dyDescent="0.25">
      <c r="A2911" s="115"/>
      <c r="B2911" s="115"/>
      <c r="C2911" s="115"/>
      <c r="D2911" s="115"/>
      <c r="E2911" s="115"/>
      <c r="F2911" s="115"/>
      <c r="G2911" s="116"/>
      <c r="I2911" s="118"/>
      <c r="J2911" s="118"/>
      <c r="L2911" s="125"/>
    </row>
    <row r="2912" spans="1:12" x14ac:dyDescent="0.25">
      <c r="A2912" s="115"/>
      <c r="B2912" s="115"/>
      <c r="C2912" s="115"/>
      <c r="D2912" s="115"/>
      <c r="E2912" s="115"/>
      <c r="F2912" s="115"/>
      <c r="G2912" s="116"/>
      <c r="I2912" s="118"/>
      <c r="J2912" s="118"/>
      <c r="L2912" s="125"/>
    </row>
    <row r="2913" spans="1:12" x14ac:dyDescent="0.25">
      <c r="A2913" s="115"/>
      <c r="B2913" s="115"/>
      <c r="C2913" s="115"/>
      <c r="D2913" s="115"/>
      <c r="E2913" s="115"/>
      <c r="F2913" s="115"/>
      <c r="G2913" s="116"/>
      <c r="I2913" s="118"/>
      <c r="J2913" s="118"/>
      <c r="L2913" s="125"/>
    </row>
    <row r="2914" spans="1:12" x14ac:dyDescent="0.25">
      <c r="A2914" s="115"/>
      <c r="B2914" s="115"/>
      <c r="C2914" s="115"/>
      <c r="D2914" s="115"/>
      <c r="E2914" s="115"/>
      <c r="F2914" s="115"/>
      <c r="G2914" s="116"/>
      <c r="I2914" s="118"/>
      <c r="J2914" s="118"/>
      <c r="L2914" s="125"/>
    </row>
    <row r="2915" spans="1:12" x14ac:dyDescent="0.25">
      <c r="A2915" s="115"/>
      <c r="B2915" s="115"/>
      <c r="C2915" s="115"/>
      <c r="D2915" s="115"/>
      <c r="E2915" s="115"/>
      <c r="F2915" s="115"/>
      <c r="G2915" s="116"/>
      <c r="I2915" s="118"/>
      <c r="J2915" s="118"/>
      <c r="L2915" s="125"/>
    </row>
    <row r="2916" spans="1:12" x14ac:dyDescent="0.25">
      <c r="A2916" s="115"/>
      <c r="B2916" s="115"/>
      <c r="C2916" s="115"/>
      <c r="D2916" s="115"/>
      <c r="E2916" s="115"/>
      <c r="F2916" s="115"/>
      <c r="G2916" s="116"/>
      <c r="I2916" s="118"/>
      <c r="J2916" s="118"/>
      <c r="L2916" s="125"/>
    </row>
    <row r="2917" spans="1:12" x14ac:dyDescent="0.25">
      <c r="A2917" s="115"/>
      <c r="B2917" s="115"/>
      <c r="C2917" s="115"/>
      <c r="D2917" s="115"/>
      <c r="E2917" s="115"/>
      <c r="F2917" s="115"/>
      <c r="G2917" s="116"/>
      <c r="I2917" s="118"/>
      <c r="J2917" s="118"/>
      <c r="L2917" s="125"/>
    </row>
    <row r="2918" spans="1:12" x14ac:dyDescent="0.25">
      <c r="A2918" s="115"/>
      <c r="B2918" s="115"/>
      <c r="C2918" s="115"/>
      <c r="D2918" s="115"/>
      <c r="E2918" s="115"/>
      <c r="F2918" s="115"/>
      <c r="G2918" s="116"/>
      <c r="I2918" s="118"/>
      <c r="J2918" s="118"/>
      <c r="L2918" s="125"/>
    </row>
    <row r="2919" spans="1:12" x14ac:dyDescent="0.25">
      <c r="A2919" s="115"/>
      <c r="B2919" s="115"/>
      <c r="C2919" s="115"/>
      <c r="D2919" s="115"/>
      <c r="E2919" s="115"/>
      <c r="F2919" s="115"/>
      <c r="G2919" s="116"/>
      <c r="I2919" s="118"/>
      <c r="J2919" s="118"/>
      <c r="L2919" s="125"/>
    </row>
    <row r="2920" spans="1:12" x14ac:dyDescent="0.25">
      <c r="A2920" s="115"/>
      <c r="B2920" s="115"/>
      <c r="C2920" s="115"/>
      <c r="D2920" s="115"/>
      <c r="E2920" s="115"/>
      <c r="F2920" s="115"/>
      <c r="G2920" s="116"/>
      <c r="I2920" s="118"/>
      <c r="J2920" s="118"/>
      <c r="L2920" s="125"/>
    </row>
    <row r="2921" spans="1:12" x14ac:dyDescent="0.25">
      <c r="A2921" s="115"/>
      <c r="B2921" s="115"/>
      <c r="C2921" s="115"/>
      <c r="D2921" s="115"/>
      <c r="E2921" s="115"/>
      <c r="F2921" s="115"/>
      <c r="G2921" s="116"/>
      <c r="I2921" s="118"/>
      <c r="J2921" s="118"/>
      <c r="L2921" s="125"/>
    </row>
    <row r="2922" spans="1:12" x14ac:dyDescent="0.25">
      <c r="A2922" s="115"/>
      <c r="B2922" s="115"/>
      <c r="C2922" s="115"/>
      <c r="D2922" s="115"/>
      <c r="E2922" s="115"/>
      <c r="F2922" s="115"/>
      <c r="G2922" s="116"/>
      <c r="I2922" s="118"/>
      <c r="J2922" s="118"/>
      <c r="L2922" s="125"/>
    </row>
    <row r="2923" spans="1:12" x14ac:dyDescent="0.25">
      <c r="A2923" s="115"/>
      <c r="B2923" s="115"/>
      <c r="C2923" s="115"/>
      <c r="D2923" s="115"/>
      <c r="E2923" s="115"/>
      <c r="F2923" s="115"/>
      <c r="G2923" s="116"/>
      <c r="I2923" s="118"/>
      <c r="J2923" s="118"/>
      <c r="L2923" s="125"/>
    </row>
    <row r="2924" spans="1:12" x14ac:dyDescent="0.25">
      <c r="A2924" s="115"/>
      <c r="B2924" s="115"/>
      <c r="C2924" s="115"/>
      <c r="D2924" s="115"/>
      <c r="E2924" s="115"/>
      <c r="F2924" s="115"/>
      <c r="G2924" s="116"/>
      <c r="I2924" s="118"/>
      <c r="J2924" s="118"/>
      <c r="L2924" s="125"/>
    </row>
    <row r="2925" spans="1:12" x14ac:dyDescent="0.25">
      <c r="A2925" s="115"/>
      <c r="B2925" s="115"/>
      <c r="C2925" s="115"/>
      <c r="D2925" s="115"/>
      <c r="E2925" s="115"/>
      <c r="F2925" s="115"/>
      <c r="G2925" s="116"/>
      <c r="I2925" s="118"/>
      <c r="J2925" s="118"/>
      <c r="L2925" s="125"/>
    </row>
    <row r="2926" spans="1:12" x14ac:dyDescent="0.25">
      <c r="A2926" s="115"/>
      <c r="B2926" s="115"/>
      <c r="C2926" s="115"/>
      <c r="D2926" s="115"/>
      <c r="E2926" s="115"/>
      <c r="F2926" s="115"/>
      <c r="G2926" s="116"/>
      <c r="I2926" s="118"/>
      <c r="J2926" s="118"/>
      <c r="L2926" s="125"/>
    </row>
    <row r="2927" spans="1:12" x14ac:dyDescent="0.25">
      <c r="A2927" s="115"/>
      <c r="B2927" s="115"/>
      <c r="C2927" s="115"/>
      <c r="D2927" s="115"/>
      <c r="E2927" s="115"/>
      <c r="F2927" s="115"/>
      <c r="G2927" s="116"/>
      <c r="I2927" s="118"/>
      <c r="J2927" s="118"/>
      <c r="L2927" s="125"/>
    </row>
    <row r="2928" spans="1:12" x14ac:dyDescent="0.25">
      <c r="A2928" s="115"/>
      <c r="B2928" s="115"/>
      <c r="C2928" s="115"/>
      <c r="D2928" s="115"/>
      <c r="E2928" s="115"/>
      <c r="F2928" s="115"/>
      <c r="G2928" s="116"/>
      <c r="I2928" s="118"/>
      <c r="J2928" s="118"/>
      <c r="L2928" s="125"/>
    </row>
    <row r="2929" spans="1:12" x14ac:dyDescent="0.25">
      <c r="A2929" s="115"/>
      <c r="B2929" s="115"/>
      <c r="C2929" s="115"/>
      <c r="D2929" s="115"/>
      <c r="E2929" s="115"/>
      <c r="F2929" s="115"/>
      <c r="G2929" s="116"/>
      <c r="I2929" s="118"/>
      <c r="J2929" s="118"/>
      <c r="L2929" s="125"/>
    </row>
    <row r="2930" spans="1:12" x14ac:dyDescent="0.25">
      <c r="A2930" s="115"/>
      <c r="B2930" s="115"/>
      <c r="C2930" s="115"/>
      <c r="D2930" s="115"/>
      <c r="E2930" s="115"/>
      <c r="F2930" s="115"/>
      <c r="G2930" s="116"/>
      <c r="I2930" s="118"/>
      <c r="J2930" s="118"/>
      <c r="L2930" s="125"/>
    </row>
    <row r="2931" spans="1:12" x14ac:dyDescent="0.25">
      <c r="A2931" s="115"/>
      <c r="B2931" s="115"/>
      <c r="C2931" s="115"/>
      <c r="D2931" s="115"/>
      <c r="E2931" s="115"/>
      <c r="F2931" s="115"/>
      <c r="G2931" s="116"/>
      <c r="I2931" s="118"/>
      <c r="J2931" s="118"/>
      <c r="L2931" s="125"/>
    </row>
    <row r="2932" spans="1:12" x14ac:dyDescent="0.25">
      <c r="A2932" s="115"/>
      <c r="B2932" s="115"/>
      <c r="C2932" s="115"/>
      <c r="D2932" s="115"/>
      <c r="E2932" s="115"/>
      <c r="F2932" s="115"/>
      <c r="G2932" s="116"/>
      <c r="I2932" s="118"/>
      <c r="J2932" s="118"/>
      <c r="L2932" s="125"/>
    </row>
    <row r="2933" spans="1:12" x14ac:dyDescent="0.25">
      <c r="A2933" s="115"/>
      <c r="B2933" s="115"/>
      <c r="C2933" s="115"/>
      <c r="D2933" s="115"/>
      <c r="E2933" s="115"/>
      <c r="F2933" s="115"/>
      <c r="G2933" s="116"/>
      <c r="I2933" s="118"/>
      <c r="J2933" s="118"/>
      <c r="L2933" s="125"/>
    </row>
    <row r="2934" spans="1:12" x14ac:dyDescent="0.25">
      <c r="A2934" s="115"/>
      <c r="B2934" s="115"/>
      <c r="C2934" s="115"/>
      <c r="D2934" s="115"/>
      <c r="E2934" s="115"/>
      <c r="F2934" s="115"/>
      <c r="G2934" s="116"/>
      <c r="I2934" s="118"/>
      <c r="J2934" s="118"/>
      <c r="L2934" s="125"/>
    </row>
    <row r="2935" spans="1:12" x14ac:dyDescent="0.25">
      <c r="A2935" s="115"/>
      <c r="B2935" s="115"/>
      <c r="C2935" s="115"/>
      <c r="D2935" s="115"/>
      <c r="E2935" s="115"/>
      <c r="F2935" s="115"/>
      <c r="G2935" s="116"/>
      <c r="I2935" s="118"/>
      <c r="J2935" s="118"/>
      <c r="L2935" s="125"/>
    </row>
    <row r="2936" spans="1:12" x14ac:dyDescent="0.25">
      <c r="A2936" s="115"/>
      <c r="B2936" s="115"/>
      <c r="C2936" s="115"/>
      <c r="D2936" s="115"/>
      <c r="E2936" s="115"/>
      <c r="F2936" s="115"/>
      <c r="G2936" s="116"/>
      <c r="I2936" s="118"/>
      <c r="J2936" s="118"/>
      <c r="L2936" s="125"/>
    </row>
    <row r="2937" spans="1:12" x14ac:dyDescent="0.25">
      <c r="A2937" s="115"/>
      <c r="B2937" s="115"/>
      <c r="C2937" s="115"/>
      <c r="D2937" s="115"/>
      <c r="E2937" s="115"/>
      <c r="F2937" s="115"/>
      <c r="G2937" s="116"/>
      <c r="I2937" s="118"/>
      <c r="J2937" s="118"/>
      <c r="L2937" s="125"/>
    </row>
    <row r="2938" spans="1:12" x14ac:dyDescent="0.25">
      <c r="A2938" s="115"/>
      <c r="B2938" s="115"/>
      <c r="C2938" s="115"/>
      <c r="D2938" s="115"/>
      <c r="E2938" s="115"/>
      <c r="F2938" s="115"/>
      <c r="G2938" s="116"/>
      <c r="I2938" s="118"/>
      <c r="J2938" s="118"/>
      <c r="L2938" s="125"/>
    </row>
    <row r="2939" spans="1:12" x14ac:dyDescent="0.25">
      <c r="A2939" s="115"/>
      <c r="B2939" s="115"/>
      <c r="C2939" s="115"/>
      <c r="D2939" s="115"/>
      <c r="E2939" s="115"/>
      <c r="F2939" s="115"/>
      <c r="G2939" s="116"/>
      <c r="I2939" s="118"/>
      <c r="J2939" s="118"/>
      <c r="L2939" s="125"/>
    </row>
    <row r="2940" spans="1:12" x14ac:dyDescent="0.25">
      <c r="A2940" s="115"/>
      <c r="B2940" s="115"/>
      <c r="C2940" s="115"/>
      <c r="D2940" s="115"/>
      <c r="E2940" s="115"/>
      <c r="F2940" s="115"/>
      <c r="G2940" s="116"/>
      <c r="I2940" s="118"/>
      <c r="J2940" s="118"/>
      <c r="L2940" s="125"/>
    </row>
    <row r="2941" spans="1:12" x14ac:dyDescent="0.25">
      <c r="A2941" s="115"/>
      <c r="B2941" s="115"/>
      <c r="C2941" s="115"/>
      <c r="D2941" s="115"/>
      <c r="E2941" s="115"/>
      <c r="F2941" s="115"/>
      <c r="G2941" s="116"/>
      <c r="I2941" s="118"/>
      <c r="J2941" s="118"/>
      <c r="L2941" s="125"/>
    </row>
    <row r="2942" spans="1:12" x14ac:dyDescent="0.25">
      <c r="A2942" s="115"/>
      <c r="B2942" s="115"/>
      <c r="C2942" s="115"/>
      <c r="D2942" s="115"/>
      <c r="E2942" s="115"/>
      <c r="F2942" s="115"/>
      <c r="G2942" s="116"/>
      <c r="I2942" s="118"/>
      <c r="J2942" s="118"/>
      <c r="L2942" s="125"/>
    </row>
    <row r="2943" spans="1:12" x14ac:dyDescent="0.25">
      <c r="A2943" s="115"/>
      <c r="B2943" s="115"/>
      <c r="C2943" s="115"/>
      <c r="D2943" s="115"/>
      <c r="E2943" s="115"/>
      <c r="F2943" s="115"/>
      <c r="G2943" s="116"/>
      <c r="I2943" s="118"/>
      <c r="J2943" s="118"/>
      <c r="L2943" s="125"/>
    </row>
    <row r="2944" spans="1:12" x14ac:dyDescent="0.25">
      <c r="A2944" s="115"/>
      <c r="B2944" s="115"/>
      <c r="C2944" s="115"/>
      <c r="D2944" s="115"/>
      <c r="E2944" s="115"/>
      <c r="F2944" s="115"/>
      <c r="G2944" s="116"/>
      <c r="I2944" s="118"/>
      <c r="J2944" s="118"/>
      <c r="L2944" s="125"/>
    </row>
    <row r="2945" spans="1:12" x14ac:dyDescent="0.25">
      <c r="A2945" s="115"/>
      <c r="B2945" s="115"/>
      <c r="C2945" s="115"/>
      <c r="D2945" s="115"/>
      <c r="E2945" s="115"/>
      <c r="F2945" s="115"/>
      <c r="G2945" s="116"/>
      <c r="I2945" s="118"/>
      <c r="J2945" s="118"/>
      <c r="L2945" s="125"/>
    </row>
    <row r="2946" spans="1:12" x14ac:dyDescent="0.25">
      <c r="A2946" s="115"/>
      <c r="B2946" s="115"/>
      <c r="C2946" s="115"/>
      <c r="D2946" s="115"/>
      <c r="E2946" s="115"/>
      <c r="F2946" s="115"/>
      <c r="G2946" s="116"/>
      <c r="I2946" s="118"/>
      <c r="J2946" s="118"/>
      <c r="L2946" s="125"/>
    </row>
    <row r="2947" spans="1:12" x14ac:dyDescent="0.25">
      <c r="A2947" s="115"/>
      <c r="B2947" s="115"/>
      <c r="C2947" s="115"/>
      <c r="D2947" s="115"/>
      <c r="E2947" s="115"/>
      <c r="F2947" s="115"/>
      <c r="G2947" s="116"/>
      <c r="I2947" s="118"/>
      <c r="J2947" s="118"/>
      <c r="L2947" s="125"/>
    </row>
    <row r="2948" spans="1:12" x14ac:dyDescent="0.25">
      <c r="A2948" s="115"/>
      <c r="B2948" s="115"/>
      <c r="C2948" s="115"/>
      <c r="D2948" s="115"/>
      <c r="E2948" s="115"/>
      <c r="F2948" s="115"/>
      <c r="G2948" s="116"/>
      <c r="I2948" s="118"/>
      <c r="J2948" s="118"/>
      <c r="L2948" s="125"/>
    </row>
    <row r="2949" spans="1:12" x14ac:dyDescent="0.25">
      <c r="A2949" s="115"/>
      <c r="B2949" s="115"/>
      <c r="C2949" s="115"/>
      <c r="D2949" s="115"/>
      <c r="E2949" s="115"/>
      <c r="F2949" s="115"/>
      <c r="G2949" s="116"/>
      <c r="I2949" s="118"/>
      <c r="J2949" s="118"/>
      <c r="L2949" s="125"/>
    </row>
    <row r="2950" spans="1:12" x14ac:dyDescent="0.25">
      <c r="A2950" s="115"/>
      <c r="B2950" s="115"/>
      <c r="C2950" s="115"/>
      <c r="D2950" s="115"/>
      <c r="E2950" s="115"/>
      <c r="F2950" s="115"/>
      <c r="G2950" s="116"/>
      <c r="I2950" s="118"/>
      <c r="J2950" s="118"/>
      <c r="L2950" s="125"/>
    </row>
    <row r="2951" spans="1:12" x14ac:dyDescent="0.25">
      <c r="A2951" s="115"/>
      <c r="B2951" s="115"/>
      <c r="C2951" s="115"/>
      <c r="D2951" s="115"/>
      <c r="E2951" s="115"/>
      <c r="F2951" s="115"/>
      <c r="G2951" s="116"/>
      <c r="I2951" s="118"/>
      <c r="J2951" s="118"/>
      <c r="L2951" s="125"/>
    </row>
    <row r="2952" spans="1:12" x14ac:dyDescent="0.25">
      <c r="A2952" s="115"/>
      <c r="B2952" s="115"/>
      <c r="C2952" s="115"/>
      <c r="D2952" s="115"/>
      <c r="E2952" s="115"/>
      <c r="F2952" s="115"/>
      <c r="G2952" s="116"/>
      <c r="I2952" s="118"/>
      <c r="J2952" s="118"/>
      <c r="L2952" s="125"/>
    </row>
    <row r="2953" spans="1:12" x14ac:dyDescent="0.25">
      <c r="A2953" s="115"/>
      <c r="B2953" s="115"/>
      <c r="C2953" s="115"/>
      <c r="D2953" s="115"/>
      <c r="E2953" s="115"/>
      <c r="F2953" s="115"/>
      <c r="G2953" s="116"/>
      <c r="I2953" s="118"/>
      <c r="J2953" s="118"/>
      <c r="L2953" s="125"/>
    </row>
    <row r="2954" spans="1:12" x14ac:dyDescent="0.25">
      <c r="A2954" s="115"/>
      <c r="B2954" s="115"/>
      <c r="C2954" s="115"/>
      <c r="D2954" s="115"/>
      <c r="E2954" s="115"/>
      <c r="F2954" s="115"/>
      <c r="G2954" s="116"/>
      <c r="I2954" s="118"/>
      <c r="J2954" s="118"/>
      <c r="L2954" s="125"/>
    </row>
    <row r="2955" spans="1:12" x14ac:dyDescent="0.25">
      <c r="A2955" s="115"/>
      <c r="B2955" s="115"/>
      <c r="C2955" s="115"/>
      <c r="D2955" s="115"/>
      <c r="E2955" s="115"/>
      <c r="F2955" s="115"/>
      <c r="G2955" s="116"/>
      <c r="I2955" s="118"/>
      <c r="J2955" s="118"/>
      <c r="L2955" s="125"/>
    </row>
    <row r="2956" spans="1:12" x14ac:dyDescent="0.25">
      <c r="A2956" s="115"/>
      <c r="B2956" s="115"/>
      <c r="C2956" s="115"/>
      <c r="D2956" s="115"/>
      <c r="E2956" s="115"/>
      <c r="F2956" s="115"/>
      <c r="G2956" s="116"/>
      <c r="I2956" s="118"/>
      <c r="J2956" s="118"/>
      <c r="L2956" s="125"/>
    </row>
    <row r="2957" spans="1:12" x14ac:dyDescent="0.25">
      <c r="A2957" s="115"/>
      <c r="B2957" s="115"/>
      <c r="C2957" s="115"/>
      <c r="D2957" s="115"/>
      <c r="E2957" s="115"/>
      <c r="F2957" s="115"/>
      <c r="G2957" s="116"/>
      <c r="I2957" s="118"/>
      <c r="J2957" s="118"/>
      <c r="L2957" s="125"/>
    </row>
    <row r="2958" spans="1:12" x14ac:dyDescent="0.25">
      <c r="A2958" s="115"/>
      <c r="B2958" s="115"/>
      <c r="C2958" s="115"/>
      <c r="D2958" s="115"/>
      <c r="E2958" s="115"/>
      <c r="F2958" s="115"/>
      <c r="G2958" s="116"/>
      <c r="I2958" s="118"/>
      <c r="J2958" s="118"/>
      <c r="L2958" s="125"/>
    </row>
    <row r="2959" spans="1:12" x14ac:dyDescent="0.25">
      <c r="A2959" s="115"/>
      <c r="B2959" s="115"/>
      <c r="C2959" s="115"/>
      <c r="D2959" s="115"/>
      <c r="E2959" s="115"/>
      <c r="F2959" s="115"/>
      <c r="G2959" s="116"/>
      <c r="I2959" s="118"/>
      <c r="J2959" s="118"/>
      <c r="L2959" s="125"/>
    </row>
    <row r="2960" spans="1:12" x14ac:dyDescent="0.25">
      <c r="A2960" s="115"/>
      <c r="B2960" s="115"/>
      <c r="C2960" s="115"/>
      <c r="D2960" s="115"/>
      <c r="E2960" s="115"/>
      <c r="F2960" s="115"/>
      <c r="G2960" s="116"/>
      <c r="I2960" s="118"/>
      <c r="J2960" s="118"/>
      <c r="L2960" s="125"/>
    </row>
    <row r="2961" spans="1:12" x14ac:dyDescent="0.25">
      <c r="A2961" s="115"/>
      <c r="B2961" s="115"/>
      <c r="C2961" s="115"/>
      <c r="D2961" s="115"/>
      <c r="E2961" s="115"/>
      <c r="F2961" s="115"/>
      <c r="G2961" s="116"/>
      <c r="I2961" s="118"/>
      <c r="J2961" s="118"/>
      <c r="L2961" s="125"/>
    </row>
    <row r="2962" spans="1:12" x14ac:dyDescent="0.25">
      <c r="A2962" s="115"/>
      <c r="B2962" s="115"/>
      <c r="C2962" s="115"/>
      <c r="D2962" s="115"/>
      <c r="E2962" s="115"/>
      <c r="F2962" s="115"/>
      <c r="G2962" s="116"/>
      <c r="I2962" s="118"/>
      <c r="J2962" s="118"/>
      <c r="L2962" s="125"/>
    </row>
    <row r="2963" spans="1:12" x14ac:dyDescent="0.25">
      <c r="A2963" s="115"/>
      <c r="B2963" s="115"/>
      <c r="C2963" s="115"/>
      <c r="D2963" s="115"/>
      <c r="E2963" s="115"/>
      <c r="F2963" s="115"/>
      <c r="G2963" s="116"/>
      <c r="I2963" s="118"/>
      <c r="J2963" s="118"/>
      <c r="L2963" s="125"/>
    </row>
    <row r="2964" spans="1:12" x14ac:dyDescent="0.25">
      <c r="A2964" s="115"/>
      <c r="B2964" s="115"/>
      <c r="C2964" s="115"/>
      <c r="D2964" s="115"/>
      <c r="E2964" s="115"/>
      <c r="F2964" s="115"/>
      <c r="G2964" s="116"/>
      <c r="I2964" s="118"/>
      <c r="J2964" s="118"/>
      <c r="L2964" s="125"/>
    </row>
    <row r="2965" spans="1:12" x14ac:dyDescent="0.25">
      <c r="A2965" s="115"/>
      <c r="B2965" s="115"/>
      <c r="C2965" s="115"/>
      <c r="D2965" s="115"/>
      <c r="E2965" s="115"/>
      <c r="F2965" s="115"/>
      <c r="G2965" s="116"/>
      <c r="I2965" s="118"/>
      <c r="J2965" s="118"/>
      <c r="L2965" s="125"/>
    </row>
    <row r="2966" spans="1:12" x14ac:dyDescent="0.25">
      <c r="A2966" s="115"/>
      <c r="B2966" s="115"/>
      <c r="C2966" s="115"/>
      <c r="D2966" s="115"/>
      <c r="E2966" s="115"/>
      <c r="F2966" s="115"/>
      <c r="G2966" s="116"/>
      <c r="I2966" s="118"/>
      <c r="J2966" s="118"/>
      <c r="L2966" s="125"/>
    </row>
    <row r="2967" spans="1:12" x14ac:dyDescent="0.25">
      <c r="A2967" s="115"/>
      <c r="B2967" s="115"/>
      <c r="C2967" s="115"/>
      <c r="D2967" s="115"/>
      <c r="E2967" s="115"/>
      <c r="F2967" s="115"/>
      <c r="G2967" s="116"/>
      <c r="I2967" s="118"/>
      <c r="J2967" s="118"/>
      <c r="L2967" s="125"/>
    </row>
    <row r="2968" spans="1:12" x14ac:dyDescent="0.25">
      <c r="A2968" s="115"/>
      <c r="B2968" s="115"/>
      <c r="C2968" s="115"/>
      <c r="D2968" s="115"/>
      <c r="E2968" s="115"/>
      <c r="F2968" s="115"/>
      <c r="G2968" s="116"/>
      <c r="I2968" s="118"/>
      <c r="J2968" s="118"/>
      <c r="L2968" s="125"/>
    </row>
    <row r="2969" spans="1:12" x14ac:dyDescent="0.25">
      <c r="A2969" s="115"/>
      <c r="B2969" s="115"/>
      <c r="C2969" s="115"/>
      <c r="D2969" s="115"/>
      <c r="E2969" s="115"/>
      <c r="F2969" s="115"/>
      <c r="G2969" s="116"/>
      <c r="I2969" s="118"/>
      <c r="J2969" s="118"/>
      <c r="L2969" s="125"/>
    </row>
    <row r="2970" spans="1:12" x14ac:dyDescent="0.25">
      <c r="A2970" s="115"/>
      <c r="B2970" s="115"/>
      <c r="C2970" s="115"/>
      <c r="D2970" s="115"/>
      <c r="E2970" s="115"/>
      <c r="F2970" s="115"/>
      <c r="G2970" s="116"/>
      <c r="I2970" s="118"/>
      <c r="J2970" s="118"/>
      <c r="L2970" s="125"/>
    </row>
    <row r="2971" spans="1:12" x14ac:dyDescent="0.25">
      <c r="A2971" s="115"/>
      <c r="B2971" s="115"/>
      <c r="C2971" s="115"/>
      <c r="D2971" s="115"/>
      <c r="E2971" s="115"/>
      <c r="F2971" s="115"/>
      <c r="G2971" s="116"/>
      <c r="I2971" s="118"/>
      <c r="J2971" s="118"/>
      <c r="L2971" s="125"/>
    </row>
    <row r="2972" spans="1:12" x14ac:dyDescent="0.25">
      <c r="A2972" s="115"/>
      <c r="B2972" s="115"/>
      <c r="C2972" s="115"/>
      <c r="D2972" s="115"/>
      <c r="E2972" s="115"/>
      <c r="F2972" s="115"/>
      <c r="G2972" s="116"/>
      <c r="I2972" s="118"/>
      <c r="J2972" s="118"/>
      <c r="L2972" s="125"/>
    </row>
    <row r="2973" spans="1:12" x14ac:dyDescent="0.25">
      <c r="A2973" s="115"/>
      <c r="B2973" s="115"/>
      <c r="C2973" s="115"/>
      <c r="D2973" s="115"/>
      <c r="E2973" s="115"/>
      <c r="F2973" s="115"/>
      <c r="G2973" s="116"/>
      <c r="I2973" s="118"/>
      <c r="J2973" s="118"/>
      <c r="L2973" s="125"/>
    </row>
    <row r="2974" spans="1:12" x14ac:dyDescent="0.25">
      <c r="A2974" s="115"/>
      <c r="B2974" s="115"/>
      <c r="C2974" s="115"/>
      <c r="D2974" s="115"/>
      <c r="E2974" s="115"/>
      <c r="F2974" s="115"/>
      <c r="G2974" s="116"/>
      <c r="I2974" s="118"/>
      <c r="J2974" s="118"/>
      <c r="L2974" s="125"/>
    </row>
    <row r="2975" spans="1:12" x14ac:dyDescent="0.25">
      <c r="A2975" s="115"/>
      <c r="B2975" s="115"/>
      <c r="C2975" s="115"/>
      <c r="D2975" s="115"/>
      <c r="E2975" s="115"/>
      <c r="F2975" s="115"/>
      <c r="G2975" s="116"/>
      <c r="I2975" s="118"/>
      <c r="J2975" s="118"/>
      <c r="L2975" s="125"/>
    </row>
    <row r="2976" spans="1:12" x14ac:dyDescent="0.25">
      <c r="A2976" s="115"/>
      <c r="B2976" s="115"/>
      <c r="C2976" s="115"/>
      <c r="D2976" s="115"/>
      <c r="E2976" s="115"/>
      <c r="F2976" s="115"/>
      <c r="G2976" s="116"/>
      <c r="I2976" s="118"/>
      <c r="J2976" s="118"/>
      <c r="L2976" s="125"/>
    </row>
    <row r="2977" spans="1:12" x14ac:dyDescent="0.25">
      <c r="A2977" s="115"/>
      <c r="B2977" s="115"/>
      <c r="C2977" s="115"/>
      <c r="D2977" s="115"/>
      <c r="E2977" s="115"/>
      <c r="F2977" s="115"/>
      <c r="G2977" s="116"/>
      <c r="I2977" s="118"/>
      <c r="J2977" s="118"/>
      <c r="L2977" s="125"/>
    </row>
    <row r="2978" spans="1:12" x14ac:dyDescent="0.25">
      <c r="A2978" s="115"/>
      <c r="B2978" s="115"/>
      <c r="C2978" s="115"/>
      <c r="D2978" s="115"/>
      <c r="E2978" s="115"/>
      <c r="F2978" s="115"/>
      <c r="G2978" s="116"/>
      <c r="I2978" s="118"/>
      <c r="J2978" s="118"/>
      <c r="L2978" s="125"/>
    </row>
    <row r="2979" spans="1:12" x14ac:dyDescent="0.25">
      <c r="A2979" s="115"/>
      <c r="B2979" s="115"/>
      <c r="C2979" s="115"/>
      <c r="D2979" s="115"/>
      <c r="E2979" s="115"/>
      <c r="F2979" s="115"/>
      <c r="G2979" s="116"/>
      <c r="I2979" s="118"/>
      <c r="J2979" s="118"/>
      <c r="L2979" s="125"/>
    </row>
    <row r="2980" spans="1:12" x14ac:dyDescent="0.25">
      <c r="A2980" s="115"/>
      <c r="B2980" s="115"/>
      <c r="C2980" s="115"/>
      <c r="D2980" s="115"/>
      <c r="E2980" s="115"/>
      <c r="F2980" s="115"/>
      <c r="G2980" s="116"/>
      <c r="I2980" s="118"/>
      <c r="J2980" s="118"/>
      <c r="L2980" s="125"/>
    </row>
    <row r="2981" spans="1:12" x14ac:dyDescent="0.25">
      <c r="A2981" s="115"/>
      <c r="B2981" s="115"/>
      <c r="C2981" s="115"/>
      <c r="D2981" s="115"/>
      <c r="E2981" s="115"/>
      <c r="F2981" s="115"/>
      <c r="G2981" s="116"/>
      <c r="I2981" s="118"/>
      <c r="J2981" s="118"/>
      <c r="L2981" s="125"/>
    </row>
    <row r="2982" spans="1:12" x14ac:dyDescent="0.25">
      <c r="A2982" s="115"/>
      <c r="B2982" s="115"/>
      <c r="C2982" s="115"/>
      <c r="D2982" s="115"/>
      <c r="E2982" s="115"/>
      <c r="F2982" s="115"/>
      <c r="G2982" s="116"/>
      <c r="I2982" s="118"/>
      <c r="J2982" s="118"/>
      <c r="L2982" s="125"/>
    </row>
    <row r="2983" spans="1:12" x14ac:dyDescent="0.25">
      <c r="A2983" s="115"/>
      <c r="B2983" s="115"/>
      <c r="C2983" s="115"/>
      <c r="D2983" s="115"/>
      <c r="E2983" s="115"/>
      <c r="F2983" s="115"/>
      <c r="G2983" s="116"/>
      <c r="I2983" s="118"/>
      <c r="J2983" s="118"/>
      <c r="L2983" s="125"/>
    </row>
    <row r="2984" spans="1:12" x14ac:dyDescent="0.25">
      <c r="A2984" s="115"/>
      <c r="B2984" s="115"/>
      <c r="C2984" s="115"/>
      <c r="D2984" s="115"/>
      <c r="E2984" s="115"/>
      <c r="F2984" s="115"/>
      <c r="G2984" s="116"/>
      <c r="I2984" s="118"/>
      <c r="J2984" s="118"/>
      <c r="L2984" s="125"/>
    </row>
    <row r="2985" spans="1:12" x14ac:dyDescent="0.25">
      <c r="A2985" s="115"/>
      <c r="B2985" s="115"/>
      <c r="C2985" s="115"/>
      <c r="D2985" s="115"/>
      <c r="E2985" s="115"/>
      <c r="F2985" s="115"/>
      <c r="G2985" s="116"/>
      <c r="I2985" s="118"/>
      <c r="J2985" s="118"/>
      <c r="L2985" s="125"/>
    </row>
    <row r="2986" spans="1:12" x14ac:dyDescent="0.25">
      <c r="A2986" s="115"/>
      <c r="B2986" s="115"/>
      <c r="C2986" s="115"/>
      <c r="D2986" s="115"/>
      <c r="E2986" s="115"/>
      <c r="F2986" s="115"/>
      <c r="G2986" s="116"/>
      <c r="I2986" s="118"/>
      <c r="J2986" s="118"/>
      <c r="L2986" s="125"/>
    </row>
    <row r="2987" spans="1:12" x14ac:dyDescent="0.25">
      <c r="A2987" s="115"/>
      <c r="B2987" s="115"/>
      <c r="C2987" s="115"/>
      <c r="D2987" s="115"/>
      <c r="E2987" s="115"/>
      <c r="F2987" s="115"/>
      <c r="G2987" s="116"/>
      <c r="I2987" s="118"/>
      <c r="J2987" s="118"/>
      <c r="L2987" s="125"/>
    </row>
    <row r="2988" spans="1:12" x14ac:dyDescent="0.25">
      <c r="A2988" s="115"/>
      <c r="B2988" s="115"/>
      <c r="C2988" s="115"/>
      <c r="D2988" s="115"/>
      <c r="E2988" s="115"/>
      <c r="F2988" s="115"/>
      <c r="G2988" s="116"/>
      <c r="I2988" s="118"/>
      <c r="J2988" s="118"/>
      <c r="L2988" s="125"/>
    </row>
    <row r="2989" spans="1:12" x14ac:dyDescent="0.25">
      <c r="A2989" s="115"/>
      <c r="B2989" s="115"/>
      <c r="C2989" s="115"/>
      <c r="D2989" s="115"/>
      <c r="E2989" s="115"/>
      <c r="F2989" s="115"/>
      <c r="G2989" s="116"/>
      <c r="I2989" s="118"/>
      <c r="J2989" s="118"/>
      <c r="L2989" s="125"/>
    </row>
    <row r="2990" spans="1:12" x14ac:dyDescent="0.25">
      <c r="A2990" s="115"/>
      <c r="B2990" s="115"/>
      <c r="C2990" s="115"/>
      <c r="D2990" s="115"/>
      <c r="E2990" s="115"/>
      <c r="F2990" s="115"/>
      <c r="G2990" s="116"/>
      <c r="I2990" s="118"/>
      <c r="J2990" s="118"/>
      <c r="L2990" s="125"/>
    </row>
    <row r="2991" spans="1:12" x14ac:dyDescent="0.25">
      <c r="A2991" s="115"/>
      <c r="B2991" s="115"/>
      <c r="C2991" s="115"/>
      <c r="D2991" s="115"/>
      <c r="E2991" s="115"/>
      <c r="F2991" s="115"/>
      <c r="G2991" s="116"/>
      <c r="I2991" s="118"/>
      <c r="J2991" s="118"/>
      <c r="L2991" s="125"/>
    </row>
    <row r="2992" spans="1:12" x14ac:dyDescent="0.25">
      <c r="A2992" s="115"/>
      <c r="B2992" s="115"/>
      <c r="C2992" s="115"/>
      <c r="D2992" s="115"/>
      <c r="E2992" s="115"/>
      <c r="F2992" s="115"/>
      <c r="G2992" s="116"/>
      <c r="I2992" s="118"/>
      <c r="J2992" s="118"/>
      <c r="L2992" s="125"/>
    </row>
    <row r="2993" spans="1:12" x14ac:dyDescent="0.25">
      <c r="A2993" s="115"/>
      <c r="B2993" s="115"/>
      <c r="C2993" s="115"/>
      <c r="D2993" s="115"/>
      <c r="E2993" s="115"/>
      <c r="F2993" s="115"/>
      <c r="G2993" s="116"/>
      <c r="I2993" s="118"/>
      <c r="J2993" s="118"/>
      <c r="L2993" s="125"/>
    </row>
    <row r="2994" spans="1:12" x14ac:dyDescent="0.25">
      <c r="A2994" s="115"/>
      <c r="B2994" s="115"/>
      <c r="C2994" s="115"/>
      <c r="D2994" s="115"/>
      <c r="E2994" s="115"/>
      <c r="F2994" s="115"/>
      <c r="G2994" s="116"/>
      <c r="I2994" s="118"/>
      <c r="J2994" s="118"/>
      <c r="L2994" s="125"/>
    </row>
    <row r="2995" spans="1:12" x14ac:dyDescent="0.25">
      <c r="A2995" s="115"/>
      <c r="B2995" s="115"/>
      <c r="C2995" s="115"/>
      <c r="D2995" s="115"/>
      <c r="E2995" s="115"/>
      <c r="F2995" s="115"/>
      <c r="G2995" s="116"/>
      <c r="I2995" s="118"/>
      <c r="J2995" s="118"/>
      <c r="L2995" s="125"/>
    </row>
    <row r="2996" spans="1:12" x14ac:dyDescent="0.25">
      <c r="A2996" s="115"/>
      <c r="B2996" s="115"/>
      <c r="C2996" s="115"/>
      <c r="D2996" s="115"/>
      <c r="E2996" s="115"/>
      <c r="F2996" s="115"/>
      <c r="G2996" s="116"/>
      <c r="I2996" s="118"/>
      <c r="J2996" s="118"/>
      <c r="L2996" s="125"/>
    </row>
    <row r="2997" spans="1:12" x14ac:dyDescent="0.25">
      <c r="A2997" s="115"/>
      <c r="B2997" s="115"/>
      <c r="C2997" s="115"/>
      <c r="D2997" s="115"/>
      <c r="E2997" s="115"/>
      <c r="F2997" s="115"/>
      <c r="G2997" s="116"/>
      <c r="I2997" s="118"/>
      <c r="J2997" s="118"/>
      <c r="L2997" s="125"/>
    </row>
    <row r="2998" spans="1:12" x14ac:dyDescent="0.25">
      <c r="A2998" s="115"/>
      <c r="B2998" s="115"/>
      <c r="C2998" s="115"/>
      <c r="D2998" s="115"/>
      <c r="E2998" s="115"/>
      <c r="F2998" s="115"/>
      <c r="G2998" s="116"/>
      <c r="I2998" s="118"/>
      <c r="J2998" s="118"/>
      <c r="L2998" s="125"/>
    </row>
    <row r="2999" spans="1:12" x14ac:dyDescent="0.25">
      <c r="A2999" s="115"/>
      <c r="B2999" s="115"/>
      <c r="C2999" s="115"/>
      <c r="D2999" s="115"/>
      <c r="E2999" s="115"/>
      <c r="F2999" s="115"/>
      <c r="G2999" s="116"/>
      <c r="I2999" s="118"/>
      <c r="J2999" s="118"/>
      <c r="L2999" s="125"/>
    </row>
    <row r="3000" spans="1:12" x14ac:dyDescent="0.25">
      <c r="A3000" s="115"/>
      <c r="B3000" s="115"/>
      <c r="C3000" s="115"/>
      <c r="D3000" s="115"/>
      <c r="E3000" s="115"/>
      <c r="F3000" s="115"/>
      <c r="G3000" s="116"/>
      <c r="I3000" s="118"/>
      <c r="J3000" s="118"/>
      <c r="L3000" s="125"/>
    </row>
    <row r="3001" spans="1:12" x14ac:dyDescent="0.25">
      <c r="A3001" s="115"/>
      <c r="B3001" s="115"/>
      <c r="C3001" s="115"/>
      <c r="D3001" s="115"/>
      <c r="E3001" s="115"/>
      <c r="F3001" s="115"/>
      <c r="G3001" s="116"/>
      <c r="I3001" s="118"/>
      <c r="J3001" s="118"/>
      <c r="L3001" s="125"/>
    </row>
    <row r="3002" spans="1:12" x14ac:dyDescent="0.25">
      <c r="A3002" s="115"/>
      <c r="B3002" s="115"/>
      <c r="C3002" s="115"/>
      <c r="D3002" s="115"/>
      <c r="E3002" s="115"/>
      <c r="F3002" s="115"/>
      <c r="G3002" s="116"/>
      <c r="I3002" s="118"/>
      <c r="J3002" s="118"/>
      <c r="L3002" s="125"/>
    </row>
    <row r="3003" spans="1:12" x14ac:dyDescent="0.25">
      <c r="A3003" s="115"/>
      <c r="B3003" s="115"/>
      <c r="C3003" s="115"/>
      <c r="D3003" s="115"/>
      <c r="E3003" s="115"/>
      <c r="F3003" s="115"/>
      <c r="G3003" s="116"/>
      <c r="I3003" s="118"/>
      <c r="J3003" s="118"/>
      <c r="L3003" s="125"/>
    </row>
    <row r="3004" spans="1:12" x14ac:dyDescent="0.25">
      <c r="A3004" s="115"/>
      <c r="B3004" s="115"/>
      <c r="C3004" s="115"/>
      <c r="D3004" s="115"/>
      <c r="E3004" s="115"/>
      <c r="F3004" s="115"/>
      <c r="G3004" s="116"/>
      <c r="I3004" s="118"/>
      <c r="J3004" s="118"/>
      <c r="L3004" s="125"/>
    </row>
    <row r="3005" spans="1:12" x14ac:dyDescent="0.25">
      <c r="A3005" s="115"/>
      <c r="B3005" s="115"/>
      <c r="C3005" s="115"/>
      <c r="D3005" s="115"/>
      <c r="E3005" s="115"/>
      <c r="F3005" s="115"/>
      <c r="G3005" s="116"/>
      <c r="I3005" s="118"/>
      <c r="J3005" s="118"/>
      <c r="L3005" s="125"/>
    </row>
    <row r="3006" spans="1:12" x14ac:dyDescent="0.25">
      <c r="A3006" s="115"/>
      <c r="B3006" s="115"/>
      <c r="C3006" s="115"/>
      <c r="D3006" s="115"/>
      <c r="E3006" s="115"/>
      <c r="F3006" s="115"/>
      <c r="G3006" s="116"/>
      <c r="I3006" s="118"/>
      <c r="J3006" s="118"/>
      <c r="L3006" s="125"/>
    </row>
    <row r="3007" spans="1:12" x14ac:dyDescent="0.25">
      <c r="A3007" s="115"/>
      <c r="B3007" s="115"/>
      <c r="C3007" s="115"/>
      <c r="D3007" s="115"/>
      <c r="E3007" s="115"/>
      <c r="F3007" s="115"/>
      <c r="G3007" s="116"/>
      <c r="I3007" s="118"/>
      <c r="J3007" s="118"/>
      <c r="L3007" s="125"/>
    </row>
    <row r="3008" spans="1:12" x14ac:dyDescent="0.25">
      <c r="A3008" s="115"/>
      <c r="B3008" s="115"/>
      <c r="C3008" s="115"/>
      <c r="D3008" s="115"/>
      <c r="E3008" s="115"/>
      <c r="F3008" s="115"/>
      <c r="G3008" s="116"/>
      <c r="I3008" s="118"/>
      <c r="J3008" s="118"/>
      <c r="L3008" s="125"/>
    </row>
    <row r="3009" spans="1:12" x14ac:dyDescent="0.25">
      <c r="A3009" s="115"/>
      <c r="B3009" s="115"/>
      <c r="C3009" s="115"/>
      <c r="D3009" s="115"/>
      <c r="E3009" s="115"/>
      <c r="F3009" s="115"/>
      <c r="G3009" s="116"/>
      <c r="I3009" s="118"/>
      <c r="J3009" s="118"/>
      <c r="L3009" s="125"/>
    </row>
    <row r="3010" spans="1:12" x14ac:dyDescent="0.25">
      <c r="A3010" s="115"/>
      <c r="B3010" s="115"/>
      <c r="C3010" s="115"/>
      <c r="D3010" s="115"/>
      <c r="E3010" s="115"/>
      <c r="F3010" s="115"/>
      <c r="G3010" s="116"/>
      <c r="I3010" s="118"/>
      <c r="J3010" s="118"/>
      <c r="L3010" s="125"/>
    </row>
    <row r="3011" spans="1:12" x14ac:dyDescent="0.25">
      <c r="A3011" s="115"/>
      <c r="B3011" s="115"/>
      <c r="C3011" s="115"/>
      <c r="D3011" s="115"/>
      <c r="E3011" s="115"/>
      <c r="F3011" s="115"/>
      <c r="G3011" s="116"/>
      <c r="I3011" s="118"/>
      <c r="J3011" s="118"/>
      <c r="L3011" s="125"/>
    </row>
    <row r="3012" spans="1:12" x14ac:dyDescent="0.25">
      <c r="A3012" s="115"/>
      <c r="B3012" s="115"/>
      <c r="C3012" s="115"/>
      <c r="D3012" s="115"/>
      <c r="E3012" s="115"/>
      <c r="F3012" s="115"/>
      <c r="G3012" s="116"/>
      <c r="I3012" s="118"/>
      <c r="J3012" s="118"/>
      <c r="L3012" s="125"/>
    </row>
    <row r="3013" spans="1:12" x14ac:dyDescent="0.25">
      <c r="A3013" s="115"/>
      <c r="B3013" s="115"/>
      <c r="C3013" s="115"/>
      <c r="D3013" s="115"/>
      <c r="E3013" s="115"/>
      <c r="F3013" s="115"/>
      <c r="G3013" s="116"/>
      <c r="I3013" s="118"/>
      <c r="J3013" s="118"/>
      <c r="L3013" s="125"/>
    </row>
    <row r="3014" spans="1:12" x14ac:dyDescent="0.25">
      <c r="A3014" s="115"/>
      <c r="B3014" s="115"/>
      <c r="C3014" s="115"/>
      <c r="D3014" s="115"/>
      <c r="E3014" s="115"/>
      <c r="F3014" s="115"/>
      <c r="G3014" s="116"/>
      <c r="I3014" s="118"/>
      <c r="J3014" s="118"/>
      <c r="L3014" s="125"/>
    </row>
    <row r="3015" spans="1:12" x14ac:dyDescent="0.25">
      <c r="A3015" s="115"/>
      <c r="B3015" s="115"/>
      <c r="C3015" s="115"/>
      <c r="D3015" s="115"/>
      <c r="E3015" s="115"/>
      <c r="F3015" s="115"/>
      <c r="G3015" s="116"/>
      <c r="I3015" s="118"/>
      <c r="J3015" s="118"/>
      <c r="L3015" s="125"/>
    </row>
    <row r="3016" spans="1:12" x14ac:dyDescent="0.25">
      <c r="A3016" s="115"/>
      <c r="B3016" s="115"/>
      <c r="C3016" s="115"/>
      <c r="D3016" s="115"/>
      <c r="E3016" s="115"/>
      <c r="F3016" s="115"/>
      <c r="G3016" s="116"/>
      <c r="I3016" s="118"/>
      <c r="J3016" s="118"/>
      <c r="L3016" s="125"/>
    </row>
    <row r="3017" spans="1:12" x14ac:dyDescent="0.25">
      <c r="A3017" s="115"/>
      <c r="B3017" s="115"/>
      <c r="C3017" s="115"/>
      <c r="D3017" s="115"/>
      <c r="E3017" s="115"/>
      <c r="F3017" s="115"/>
      <c r="G3017" s="116"/>
      <c r="I3017" s="118"/>
      <c r="J3017" s="118"/>
      <c r="L3017" s="125"/>
    </row>
    <row r="3018" spans="1:12" x14ac:dyDescent="0.25">
      <c r="A3018" s="115"/>
      <c r="B3018" s="115"/>
      <c r="C3018" s="115"/>
      <c r="D3018" s="115"/>
      <c r="E3018" s="115"/>
      <c r="F3018" s="115"/>
      <c r="G3018" s="116"/>
      <c r="I3018" s="118"/>
      <c r="J3018" s="118"/>
      <c r="L3018" s="125"/>
    </row>
    <row r="3019" spans="1:12" x14ac:dyDescent="0.25">
      <c r="A3019" s="115"/>
      <c r="B3019" s="115"/>
      <c r="C3019" s="115"/>
      <c r="D3019" s="115"/>
      <c r="E3019" s="115"/>
      <c r="F3019" s="115"/>
      <c r="G3019" s="116"/>
      <c r="I3019" s="118"/>
      <c r="J3019" s="118"/>
      <c r="L3019" s="125"/>
    </row>
    <row r="3020" spans="1:12" x14ac:dyDescent="0.25">
      <c r="A3020" s="115"/>
      <c r="B3020" s="115"/>
      <c r="C3020" s="115"/>
      <c r="D3020" s="115"/>
      <c r="E3020" s="115"/>
      <c r="F3020" s="115"/>
      <c r="G3020" s="116"/>
      <c r="I3020" s="118"/>
      <c r="J3020" s="118"/>
      <c r="L3020" s="125"/>
    </row>
    <row r="3021" spans="1:12" x14ac:dyDescent="0.25">
      <c r="A3021" s="115"/>
      <c r="B3021" s="115"/>
      <c r="C3021" s="115"/>
      <c r="D3021" s="115"/>
      <c r="E3021" s="115"/>
      <c r="F3021" s="115"/>
      <c r="G3021" s="116"/>
      <c r="I3021" s="118"/>
      <c r="J3021" s="118"/>
      <c r="L3021" s="125"/>
    </row>
    <row r="3022" spans="1:12" x14ac:dyDescent="0.25">
      <c r="A3022" s="115"/>
      <c r="B3022" s="115"/>
      <c r="C3022" s="115"/>
      <c r="D3022" s="115"/>
      <c r="E3022" s="115"/>
      <c r="F3022" s="115"/>
      <c r="G3022" s="116"/>
      <c r="I3022" s="118"/>
      <c r="J3022" s="118"/>
      <c r="L3022" s="125"/>
    </row>
    <row r="3023" spans="1:12" x14ac:dyDescent="0.25">
      <c r="A3023" s="115"/>
      <c r="B3023" s="115"/>
      <c r="C3023" s="115"/>
      <c r="D3023" s="115"/>
      <c r="E3023" s="115"/>
      <c r="F3023" s="115"/>
      <c r="G3023" s="116"/>
      <c r="I3023" s="118"/>
      <c r="J3023" s="118"/>
      <c r="L3023" s="125"/>
    </row>
    <row r="3024" spans="1:12" x14ac:dyDescent="0.25">
      <c r="A3024" s="115"/>
      <c r="B3024" s="115"/>
      <c r="C3024" s="115"/>
      <c r="D3024" s="115"/>
      <c r="E3024" s="115"/>
      <c r="F3024" s="115"/>
      <c r="G3024" s="116"/>
      <c r="I3024" s="118"/>
      <c r="J3024" s="118"/>
      <c r="L3024" s="125"/>
    </row>
    <row r="3025" spans="1:12" x14ac:dyDescent="0.25">
      <c r="A3025" s="115"/>
      <c r="B3025" s="115"/>
      <c r="C3025" s="115"/>
      <c r="D3025" s="115"/>
      <c r="E3025" s="115"/>
      <c r="F3025" s="115"/>
      <c r="G3025" s="116"/>
      <c r="I3025" s="118"/>
      <c r="J3025" s="118"/>
      <c r="L3025" s="125"/>
    </row>
    <row r="3026" spans="1:12" x14ac:dyDescent="0.25">
      <c r="A3026" s="115"/>
      <c r="B3026" s="115"/>
      <c r="C3026" s="115"/>
      <c r="D3026" s="115"/>
      <c r="E3026" s="115"/>
      <c r="F3026" s="115"/>
      <c r="G3026" s="116"/>
      <c r="I3026" s="118"/>
      <c r="J3026" s="118"/>
      <c r="L3026" s="125"/>
    </row>
    <row r="3027" spans="1:12" x14ac:dyDescent="0.25">
      <c r="A3027" s="115"/>
      <c r="B3027" s="115"/>
      <c r="C3027" s="115"/>
      <c r="D3027" s="115"/>
      <c r="E3027" s="115"/>
      <c r="F3027" s="115"/>
      <c r="G3027" s="116"/>
      <c r="I3027" s="118"/>
      <c r="J3027" s="118"/>
      <c r="L3027" s="125"/>
    </row>
    <row r="3028" spans="1:12" x14ac:dyDescent="0.25">
      <c r="A3028" s="115"/>
      <c r="B3028" s="115"/>
      <c r="C3028" s="115"/>
      <c r="D3028" s="115"/>
      <c r="E3028" s="115"/>
      <c r="F3028" s="115"/>
      <c r="G3028" s="116"/>
      <c r="I3028" s="118"/>
      <c r="J3028" s="118"/>
      <c r="L3028" s="125"/>
    </row>
    <row r="3029" spans="1:12" x14ac:dyDescent="0.25">
      <c r="A3029" s="115"/>
      <c r="B3029" s="115"/>
      <c r="C3029" s="115"/>
      <c r="D3029" s="115"/>
      <c r="E3029" s="115"/>
      <c r="F3029" s="115"/>
      <c r="G3029" s="116"/>
      <c r="I3029" s="118"/>
      <c r="J3029" s="118"/>
      <c r="L3029" s="125"/>
    </row>
    <row r="3030" spans="1:12" x14ac:dyDescent="0.25">
      <c r="A3030" s="115"/>
      <c r="B3030" s="115"/>
      <c r="C3030" s="115"/>
      <c r="D3030" s="115"/>
      <c r="E3030" s="115"/>
      <c r="F3030" s="115"/>
      <c r="G3030" s="116"/>
      <c r="I3030" s="118"/>
      <c r="J3030" s="118"/>
      <c r="L3030" s="125"/>
    </row>
    <row r="3031" spans="1:12" x14ac:dyDescent="0.25">
      <c r="A3031" s="115"/>
      <c r="B3031" s="115"/>
      <c r="C3031" s="115"/>
      <c r="D3031" s="115"/>
      <c r="E3031" s="115"/>
      <c r="F3031" s="115"/>
      <c r="G3031" s="116"/>
      <c r="I3031" s="118"/>
      <c r="J3031" s="118"/>
      <c r="L3031" s="125"/>
    </row>
    <row r="3032" spans="1:12" x14ac:dyDescent="0.25">
      <c r="A3032" s="115"/>
      <c r="B3032" s="115"/>
      <c r="C3032" s="115"/>
      <c r="D3032" s="115"/>
      <c r="E3032" s="115"/>
      <c r="F3032" s="115"/>
      <c r="G3032" s="116"/>
      <c r="I3032" s="118"/>
      <c r="J3032" s="118"/>
      <c r="L3032" s="125"/>
    </row>
    <row r="3033" spans="1:12" x14ac:dyDescent="0.25">
      <c r="A3033" s="115"/>
      <c r="B3033" s="115"/>
      <c r="C3033" s="115"/>
      <c r="D3033" s="115"/>
      <c r="E3033" s="115"/>
      <c r="F3033" s="115"/>
      <c r="G3033" s="116"/>
      <c r="I3033" s="118"/>
      <c r="J3033" s="118"/>
      <c r="L3033" s="125"/>
    </row>
    <row r="3034" spans="1:12" x14ac:dyDescent="0.25">
      <c r="A3034" s="115"/>
      <c r="B3034" s="115"/>
      <c r="C3034" s="115"/>
      <c r="D3034" s="115"/>
      <c r="E3034" s="115"/>
      <c r="F3034" s="115"/>
      <c r="G3034" s="116"/>
      <c r="I3034" s="118"/>
      <c r="J3034" s="118"/>
      <c r="L3034" s="125"/>
    </row>
    <row r="3035" spans="1:12" x14ac:dyDescent="0.25">
      <c r="A3035" s="115"/>
      <c r="B3035" s="115"/>
      <c r="C3035" s="115"/>
      <c r="D3035" s="115"/>
      <c r="E3035" s="115"/>
      <c r="F3035" s="115"/>
      <c r="G3035" s="116"/>
      <c r="I3035" s="118"/>
      <c r="J3035" s="118"/>
      <c r="L3035" s="125"/>
    </row>
    <row r="3036" spans="1:12" x14ac:dyDescent="0.25">
      <c r="A3036" s="115"/>
      <c r="B3036" s="115"/>
      <c r="C3036" s="115"/>
      <c r="D3036" s="115"/>
      <c r="E3036" s="115"/>
      <c r="F3036" s="115"/>
      <c r="G3036" s="116"/>
      <c r="I3036" s="118"/>
      <c r="J3036" s="118"/>
      <c r="L3036" s="125"/>
    </row>
    <row r="3037" spans="1:12" x14ac:dyDescent="0.25">
      <c r="A3037" s="115"/>
      <c r="B3037" s="115"/>
      <c r="C3037" s="115"/>
      <c r="D3037" s="115"/>
      <c r="E3037" s="115"/>
      <c r="F3037" s="115"/>
      <c r="G3037" s="116"/>
      <c r="I3037" s="118"/>
      <c r="J3037" s="118"/>
      <c r="L3037" s="125"/>
    </row>
    <row r="3038" spans="1:12" x14ac:dyDescent="0.25">
      <c r="A3038" s="115"/>
      <c r="B3038" s="115"/>
      <c r="C3038" s="115"/>
      <c r="D3038" s="115"/>
      <c r="E3038" s="115"/>
      <c r="F3038" s="115"/>
      <c r="G3038" s="116"/>
      <c r="I3038" s="118"/>
      <c r="J3038" s="118"/>
      <c r="L3038" s="125"/>
    </row>
    <row r="3039" spans="1:12" x14ac:dyDescent="0.25">
      <c r="A3039" s="115"/>
      <c r="B3039" s="115"/>
      <c r="C3039" s="115"/>
      <c r="D3039" s="115"/>
      <c r="E3039" s="115"/>
      <c r="F3039" s="115"/>
      <c r="G3039" s="116"/>
      <c r="I3039" s="118"/>
      <c r="J3039" s="118"/>
      <c r="L3039" s="125"/>
    </row>
    <row r="3040" spans="1:12" x14ac:dyDescent="0.25">
      <c r="A3040" s="115"/>
      <c r="B3040" s="115"/>
      <c r="C3040" s="115"/>
      <c r="D3040" s="115"/>
      <c r="E3040" s="115"/>
      <c r="F3040" s="115"/>
      <c r="G3040" s="116"/>
      <c r="I3040" s="118"/>
      <c r="J3040" s="118"/>
      <c r="L3040" s="125"/>
    </row>
    <row r="3041" spans="1:12" x14ac:dyDescent="0.25">
      <c r="A3041" s="115"/>
      <c r="B3041" s="115"/>
      <c r="C3041" s="115"/>
      <c r="D3041" s="115"/>
      <c r="E3041" s="115"/>
      <c r="F3041" s="115"/>
      <c r="G3041" s="116"/>
      <c r="I3041" s="118"/>
      <c r="J3041" s="118"/>
      <c r="L3041" s="125"/>
    </row>
    <row r="3042" spans="1:12" x14ac:dyDescent="0.25">
      <c r="A3042" s="115"/>
      <c r="B3042" s="115"/>
      <c r="C3042" s="115"/>
      <c r="D3042" s="115"/>
      <c r="E3042" s="115"/>
      <c r="F3042" s="115"/>
      <c r="G3042" s="116"/>
      <c r="I3042" s="118"/>
      <c r="J3042" s="118"/>
      <c r="L3042" s="125"/>
    </row>
    <row r="3043" spans="1:12" x14ac:dyDescent="0.25">
      <c r="A3043" s="115"/>
      <c r="B3043" s="115"/>
      <c r="C3043" s="115"/>
      <c r="D3043" s="115"/>
      <c r="E3043" s="115"/>
      <c r="F3043" s="115"/>
      <c r="G3043" s="116"/>
      <c r="I3043" s="118"/>
      <c r="J3043" s="118"/>
      <c r="L3043" s="125"/>
    </row>
    <row r="3044" spans="1:12" x14ac:dyDescent="0.25">
      <c r="A3044" s="115"/>
      <c r="B3044" s="115"/>
      <c r="C3044" s="115"/>
      <c r="D3044" s="115"/>
      <c r="E3044" s="115"/>
      <c r="F3044" s="115"/>
      <c r="G3044" s="116"/>
      <c r="I3044" s="118"/>
      <c r="J3044" s="118"/>
      <c r="L3044" s="125"/>
    </row>
    <row r="3045" spans="1:12" x14ac:dyDescent="0.25">
      <c r="A3045" s="115"/>
      <c r="B3045" s="115"/>
      <c r="C3045" s="115"/>
      <c r="D3045" s="115"/>
      <c r="E3045" s="115"/>
      <c r="F3045" s="115"/>
      <c r="G3045" s="116"/>
      <c r="I3045" s="118"/>
      <c r="J3045" s="118"/>
      <c r="L3045" s="125"/>
    </row>
    <row r="3046" spans="1:12" x14ac:dyDescent="0.25">
      <c r="A3046" s="115"/>
      <c r="B3046" s="115"/>
      <c r="C3046" s="115"/>
      <c r="D3046" s="115"/>
      <c r="E3046" s="115"/>
      <c r="F3046" s="115"/>
      <c r="G3046" s="116"/>
      <c r="I3046" s="118"/>
      <c r="J3046" s="118"/>
      <c r="L3046" s="125"/>
    </row>
    <row r="3047" spans="1:12" x14ac:dyDescent="0.25">
      <c r="A3047" s="115"/>
      <c r="B3047" s="115"/>
      <c r="C3047" s="115"/>
      <c r="D3047" s="115"/>
      <c r="E3047" s="115"/>
      <c r="F3047" s="115"/>
      <c r="G3047" s="116"/>
      <c r="I3047" s="118"/>
      <c r="J3047" s="118"/>
      <c r="L3047" s="125"/>
    </row>
    <row r="3048" spans="1:12" x14ac:dyDescent="0.25">
      <c r="A3048" s="115"/>
      <c r="B3048" s="115"/>
      <c r="C3048" s="115"/>
      <c r="D3048" s="115"/>
      <c r="E3048" s="115"/>
      <c r="F3048" s="115"/>
      <c r="G3048" s="116"/>
      <c r="I3048" s="118"/>
      <c r="J3048" s="118"/>
      <c r="L3048" s="125"/>
    </row>
    <row r="3049" spans="1:12" x14ac:dyDescent="0.25">
      <c r="A3049" s="115"/>
      <c r="B3049" s="115"/>
      <c r="C3049" s="115"/>
      <c r="D3049" s="115"/>
      <c r="E3049" s="115"/>
      <c r="F3049" s="115"/>
      <c r="G3049" s="116"/>
      <c r="I3049" s="118"/>
      <c r="J3049" s="118"/>
      <c r="L3049" s="125"/>
    </row>
    <row r="3050" spans="1:12" x14ac:dyDescent="0.25">
      <c r="A3050" s="115"/>
      <c r="B3050" s="115"/>
      <c r="C3050" s="115"/>
      <c r="D3050" s="115"/>
      <c r="E3050" s="115"/>
      <c r="F3050" s="115"/>
      <c r="G3050" s="116"/>
      <c r="I3050" s="118"/>
      <c r="J3050" s="118"/>
      <c r="L3050" s="125"/>
    </row>
    <row r="3051" spans="1:12" x14ac:dyDescent="0.25">
      <c r="A3051" s="115"/>
      <c r="B3051" s="115"/>
      <c r="C3051" s="115"/>
      <c r="D3051" s="115"/>
      <c r="E3051" s="115"/>
      <c r="F3051" s="115"/>
      <c r="G3051" s="116"/>
      <c r="I3051" s="118"/>
      <c r="J3051" s="118"/>
      <c r="L3051" s="125"/>
    </row>
    <row r="3052" spans="1:12" x14ac:dyDescent="0.25">
      <c r="A3052" s="115"/>
      <c r="B3052" s="115"/>
      <c r="C3052" s="115"/>
      <c r="D3052" s="115"/>
      <c r="E3052" s="115"/>
      <c r="F3052" s="115"/>
      <c r="G3052" s="116"/>
      <c r="I3052" s="118"/>
      <c r="J3052" s="118"/>
      <c r="L3052" s="125"/>
    </row>
    <row r="3053" spans="1:12" x14ac:dyDescent="0.25">
      <c r="A3053" s="115"/>
      <c r="B3053" s="115"/>
      <c r="C3053" s="115"/>
      <c r="D3053" s="115"/>
      <c r="E3053" s="115"/>
      <c r="F3053" s="115"/>
      <c r="G3053" s="116"/>
      <c r="I3053" s="118"/>
      <c r="J3053" s="118"/>
      <c r="L3053" s="125"/>
    </row>
    <row r="3054" spans="1:12" x14ac:dyDescent="0.25">
      <c r="A3054" s="115"/>
      <c r="B3054" s="115"/>
      <c r="C3054" s="115"/>
      <c r="D3054" s="115"/>
      <c r="E3054" s="115"/>
      <c r="F3054" s="115"/>
      <c r="G3054" s="116"/>
      <c r="I3054" s="118"/>
      <c r="J3054" s="118"/>
      <c r="L3054" s="125"/>
    </row>
    <row r="3055" spans="1:12" x14ac:dyDescent="0.25">
      <c r="A3055" s="115"/>
      <c r="B3055" s="115"/>
      <c r="C3055" s="115"/>
      <c r="D3055" s="115"/>
      <c r="E3055" s="115"/>
      <c r="F3055" s="115"/>
      <c r="G3055" s="116"/>
      <c r="I3055" s="118"/>
      <c r="J3055" s="118"/>
      <c r="L3055" s="125"/>
    </row>
    <row r="3056" spans="1:12" x14ac:dyDescent="0.25">
      <c r="A3056" s="115"/>
      <c r="B3056" s="115"/>
      <c r="C3056" s="115"/>
      <c r="D3056" s="115"/>
      <c r="E3056" s="115"/>
      <c r="F3056" s="115"/>
      <c r="G3056" s="116"/>
      <c r="I3056" s="118"/>
      <c r="J3056" s="118"/>
      <c r="L3056" s="125"/>
    </row>
    <row r="3057" spans="1:12" x14ac:dyDescent="0.25">
      <c r="A3057" s="115"/>
      <c r="B3057" s="115"/>
      <c r="C3057" s="115"/>
      <c r="D3057" s="115"/>
      <c r="E3057" s="115"/>
      <c r="F3057" s="115"/>
      <c r="G3057" s="116"/>
      <c r="I3057" s="118"/>
      <c r="J3057" s="118"/>
      <c r="L3057" s="125"/>
    </row>
    <row r="3058" spans="1:12" x14ac:dyDescent="0.25">
      <c r="A3058" s="115"/>
      <c r="B3058" s="115"/>
      <c r="C3058" s="115"/>
      <c r="D3058" s="115"/>
      <c r="E3058" s="115"/>
      <c r="F3058" s="115"/>
      <c r="G3058" s="116"/>
      <c r="I3058" s="118"/>
      <c r="J3058" s="118"/>
      <c r="L3058" s="125"/>
    </row>
    <row r="3059" spans="1:12" x14ac:dyDescent="0.25">
      <c r="A3059" s="115"/>
      <c r="B3059" s="115"/>
      <c r="C3059" s="115"/>
      <c r="D3059" s="115"/>
      <c r="E3059" s="115"/>
      <c r="F3059" s="115"/>
      <c r="G3059" s="116"/>
      <c r="I3059" s="118"/>
      <c r="J3059" s="118"/>
      <c r="L3059" s="125"/>
    </row>
    <row r="3060" spans="1:12" x14ac:dyDescent="0.25">
      <c r="A3060" s="115"/>
      <c r="B3060" s="115"/>
      <c r="C3060" s="115"/>
      <c r="D3060" s="115"/>
      <c r="E3060" s="115"/>
      <c r="F3060" s="115"/>
      <c r="G3060" s="116"/>
      <c r="I3060" s="118"/>
      <c r="J3060" s="118"/>
      <c r="L3060" s="125"/>
    </row>
    <row r="3061" spans="1:12" x14ac:dyDescent="0.25">
      <c r="A3061" s="115"/>
      <c r="B3061" s="115"/>
      <c r="C3061" s="115"/>
      <c r="D3061" s="115"/>
      <c r="E3061" s="115"/>
      <c r="F3061" s="115"/>
      <c r="G3061" s="116"/>
      <c r="I3061" s="118"/>
      <c r="J3061" s="118"/>
      <c r="L3061" s="125"/>
    </row>
    <row r="3062" spans="1:12" x14ac:dyDescent="0.25">
      <c r="A3062" s="115"/>
      <c r="B3062" s="115"/>
      <c r="C3062" s="115"/>
      <c r="D3062" s="115"/>
      <c r="E3062" s="115"/>
      <c r="F3062" s="115"/>
      <c r="G3062" s="116"/>
      <c r="I3062" s="118"/>
      <c r="J3062" s="118"/>
      <c r="L3062" s="125"/>
    </row>
    <row r="3063" spans="1:12" x14ac:dyDescent="0.25">
      <c r="A3063" s="115"/>
      <c r="B3063" s="115"/>
      <c r="C3063" s="115"/>
      <c r="D3063" s="115"/>
      <c r="E3063" s="115"/>
      <c r="F3063" s="115"/>
      <c r="G3063" s="116"/>
      <c r="I3063" s="118"/>
      <c r="J3063" s="118"/>
      <c r="L3063" s="125"/>
    </row>
    <row r="3064" spans="1:12" x14ac:dyDescent="0.25">
      <c r="A3064" s="115"/>
      <c r="B3064" s="115"/>
      <c r="C3064" s="115"/>
      <c r="D3064" s="115"/>
      <c r="E3064" s="115"/>
      <c r="F3064" s="115"/>
      <c r="G3064" s="116"/>
      <c r="I3064" s="118"/>
      <c r="J3064" s="118"/>
      <c r="L3064" s="125"/>
    </row>
    <row r="3065" spans="1:12" x14ac:dyDescent="0.25">
      <c r="A3065" s="115"/>
      <c r="B3065" s="115"/>
      <c r="C3065" s="115"/>
      <c r="D3065" s="115"/>
      <c r="E3065" s="115"/>
      <c r="F3065" s="115"/>
      <c r="G3065" s="116"/>
      <c r="I3065" s="118"/>
      <c r="J3065" s="118"/>
      <c r="L3065" s="125"/>
    </row>
    <row r="3066" spans="1:12" x14ac:dyDescent="0.25">
      <c r="A3066" s="115"/>
      <c r="B3066" s="115"/>
      <c r="C3066" s="115"/>
      <c r="D3066" s="115"/>
      <c r="E3066" s="115"/>
      <c r="F3066" s="115"/>
      <c r="G3066" s="116"/>
      <c r="I3066" s="118"/>
      <c r="J3066" s="118"/>
      <c r="L3066" s="125"/>
    </row>
    <row r="3067" spans="1:12" x14ac:dyDescent="0.25">
      <c r="A3067" s="115"/>
      <c r="B3067" s="115"/>
      <c r="C3067" s="115"/>
      <c r="D3067" s="115"/>
      <c r="E3067" s="115"/>
      <c r="F3067" s="115"/>
      <c r="G3067" s="116"/>
      <c r="I3067" s="118"/>
      <c r="J3067" s="118"/>
      <c r="L3067" s="125"/>
    </row>
    <row r="3068" spans="1:12" x14ac:dyDescent="0.25">
      <c r="A3068" s="115"/>
      <c r="B3068" s="115"/>
      <c r="C3068" s="115"/>
      <c r="D3068" s="115"/>
      <c r="E3068" s="115"/>
      <c r="F3068" s="115"/>
      <c r="G3068" s="116"/>
      <c r="I3068" s="118"/>
      <c r="J3068" s="118"/>
      <c r="L3068" s="125"/>
    </row>
    <row r="3069" spans="1:12" x14ac:dyDescent="0.25">
      <c r="A3069" s="115"/>
      <c r="B3069" s="115"/>
      <c r="C3069" s="115"/>
      <c r="D3069" s="115"/>
      <c r="E3069" s="115"/>
      <c r="F3069" s="115"/>
      <c r="G3069" s="116"/>
      <c r="I3069" s="118"/>
      <c r="J3069" s="118"/>
      <c r="L3069" s="125"/>
    </row>
    <row r="3070" spans="1:12" x14ac:dyDescent="0.25">
      <c r="A3070" s="115"/>
      <c r="B3070" s="115"/>
      <c r="C3070" s="115"/>
      <c r="D3070" s="115"/>
      <c r="E3070" s="115"/>
      <c r="F3070" s="115"/>
      <c r="G3070" s="116"/>
      <c r="I3070" s="118"/>
      <c r="J3070" s="118"/>
      <c r="L3070" s="125"/>
    </row>
    <row r="3071" spans="1:12" x14ac:dyDescent="0.25">
      <c r="A3071" s="115"/>
      <c r="B3071" s="115"/>
      <c r="C3071" s="115"/>
      <c r="D3071" s="115"/>
      <c r="E3071" s="115"/>
      <c r="F3071" s="115"/>
      <c r="G3071" s="116"/>
      <c r="I3071" s="118"/>
      <c r="J3071" s="118"/>
      <c r="L3071" s="125"/>
    </row>
    <row r="3072" spans="1:12" x14ac:dyDescent="0.25">
      <c r="A3072" s="115"/>
      <c r="B3072" s="115"/>
      <c r="C3072" s="115"/>
      <c r="D3072" s="115"/>
      <c r="E3072" s="115"/>
      <c r="F3072" s="115"/>
      <c r="G3072" s="116"/>
      <c r="I3072" s="118"/>
      <c r="J3072" s="118"/>
      <c r="L3072" s="125"/>
    </row>
    <row r="3073" spans="1:12" x14ac:dyDescent="0.25">
      <c r="A3073" s="115"/>
      <c r="B3073" s="115"/>
      <c r="C3073" s="115"/>
      <c r="D3073" s="115"/>
      <c r="E3073" s="115"/>
      <c r="F3073" s="115"/>
      <c r="G3073" s="116"/>
      <c r="I3073" s="118"/>
      <c r="J3073" s="118"/>
      <c r="L3073" s="125"/>
    </row>
    <row r="3074" spans="1:12" x14ac:dyDescent="0.25">
      <c r="A3074" s="115"/>
      <c r="B3074" s="115"/>
      <c r="C3074" s="115"/>
      <c r="D3074" s="115"/>
      <c r="E3074" s="115"/>
      <c r="F3074" s="115"/>
      <c r="G3074" s="116"/>
      <c r="I3074" s="118"/>
      <c r="J3074" s="118"/>
      <c r="L3074" s="125"/>
    </row>
    <row r="3075" spans="1:12" x14ac:dyDescent="0.25">
      <c r="A3075" s="115"/>
      <c r="B3075" s="115"/>
      <c r="C3075" s="115"/>
      <c r="D3075" s="115"/>
      <c r="E3075" s="115"/>
      <c r="F3075" s="115"/>
      <c r="G3075" s="116"/>
      <c r="I3075" s="118"/>
      <c r="J3075" s="118"/>
      <c r="L3075" s="125"/>
    </row>
    <row r="3076" spans="1:12" x14ac:dyDescent="0.25">
      <c r="A3076" s="115"/>
      <c r="B3076" s="115"/>
      <c r="C3076" s="115"/>
      <c r="D3076" s="115"/>
      <c r="E3076" s="115"/>
      <c r="F3076" s="115"/>
      <c r="G3076" s="116"/>
      <c r="I3076" s="118"/>
      <c r="J3076" s="118"/>
      <c r="L3076" s="125"/>
    </row>
    <row r="3077" spans="1:12" x14ac:dyDescent="0.25">
      <c r="A3077" s="115"/>
      <c r="B3077" s="115"/>
      <c r="C3077" s="115"/>
      <c r="D3077" s="115"/>
      <c r="E3077" s="115"/>
      <c r="F3077" s="115"/>
      <c r="G3077" s="116"/>
      <c r="I3077" s="118"/>
      <c r="J3077" s="118"/>
      <c r="L3077" s="125"/>
    </row>
    <row r="3078" spans="1:12" x14ac:dyDescent="0.25">
      <c r="A3078" s="115"/>
      <c r="B3078" s="115"/>
      <c r="C3078" s="115"/>
      <c r="D3078" s="115"/>
      <c r="E3078" s="115"/>
      <c r="F3078" s="115"/>
      <c r="G3078" s="116"/>
      <c r="I3078" s="118"/>
      <c r="J3078" s="118"/>
      <c r="L3078" s="125"/>
    </row>
    <row r="3079" spans="1:12" x14ac:dyDescent="0.25">
      <c r="A3079" s="115"/>
      <c r="B3079" s="115"/>
      <c r="C3079" s="115"/>
      <c r="D3079" s="115"/>
      <c r="E3079" s="115"/>
      <c r="F3079" s="115"/>
      <c r="G3079" s="116"/>
      <c r="I3079" s="118"/>
      <c r="J3079" s="118"/>
      <c r="L3079" s="125"/>
    </row>
    <row r="3080" spans="1:12" x14ac:dyDescent="0.25">
      <c r="A3080" s="115"/>
      <c r="B3080" s="115"/>
      <c r="C3080" s="115"/>
      <c r="D3080" s="115"/>
      <c r="E3080" s="115"/>
      <c r="F3080" s="115"/>
      <c r="G3080" s="116"/>
      <c r="I3080" s="118"/>
      <c r="J3080" s="118"/>
      <c r="L3080" s="125"/>
    </row>
    <row r="3081" spans="1:12" x14ac:dyDescent="0.25">
      <c r="A3081" s="115"/>
      <c r="B3081" s="115"/>
      <c r="C3081" s="115"/>
      <c r="D3081" s="115"/>
      <c r="E3081" s="115"/>
      <c r="F3081" s="115"/>
      <c r="G3081" s="116"/>
      <c r="I3081" s="118"/>
      <c r="J3081" s="118"/>
      <c r="L3081" s="125"/>
    </row>
    <row r="3082" spans="1:12" x14ac:dyDescent="0.25">
      <c r="A3082" s="115"/>
      <c r="B3082" s="115"/>
      <c r="C3082" s="115"/>
      <c r="D3082" s="115"/>
      <c r="E3082" s="115"/>
      <c r="F3082" s="115"/>
      <c r="G3082" s="116"/>
      <c r="I3082" s="118"/>
      <c r="J3082" s="118"/>
      <c r="L3082" s="125"/>
    </row>
    <row r="3083" spans="1:12" x14ac:dyDescent="0.25">
      <c r="A3083" s="115"/>
      <c r="B3083" s="115"/>
      <c r="C3083" s="115"/>
      <c r="D3083" s="115"/>
      <c r="E3083" s="115"/>
      <c r="F3083" s="115"/>
      <c r="G3083" s="116"/>
      <c r="I3083" s="118"/>
      <c r="J3083" s="118"/>
      <c r="L3083" s="125"/>
    </row>
    <row r="3084" spans="1:12" x14ac:dyDescent="0.25">
      <c r="A3084" s="115"/>
      <c r="B3084" s="115"/>
      <c r="C3084" s="115"/>
      <c r="D3084" s="115"/>
      <c r="E3084" s="115"/>
      <c r="F3084" s="115"/>
      <c r="G3084" s="116"/>
      <c r="I3084" s="118"/>
      <c r="J3084" s="118"/>
      <c r="L3084" s="125"/>
    </row>
    <row r="3085" spans="1:12" x14ac:dyDescent="0.25">
      <c r="A3085" s="115"/>
      <c r="B3085" s="115"/>
      <c r="C3085" s="115"/>
      <c r="D3085" s="115"/>
      <c r="E3085" s="115"/>
      <c r="F3085" s="115"/>
      <c r="G3085" s="116"/>
      <c r="I3085" s="118"/>
      <c r="J3085" s="118"/>
      <c r="L3085" s="125"/>
    </row>
    <row r="3086" spans="1:12" x14ac:dyDescent="0.25">
      <c r="A3086" s="115"/>
      <c r="B3086" s="115"/>
      <c r="C3086" s="115"/>
      <c r="D3086" s="115"/>
      <c r="E3086" s="115"/>
      <c r="F3086" s="115"/>
      <c r="G3086" s="116"/>
      <c r="I3086" s="118"/>
      <c r="J3086" s="118"/>
      <c r="L3086" s="125"/>
    </row>
    <row r="3087" spans="1:12" x14ac:dyDescent="0.25">
      <c r="A3087" s="115"/>
      <c r="B3087" s="115"/>
      <c r="C3087" s="115"/>
      <c r="D3087" s="115"/>
      <c r="E3087" s="115"/>
      <c r="F3087" s="115"/>
      <c r="G3087" s="116"/>
      <c r="I3087" s="118"/>
      <c r="J3087" s="118"/>
      <c r="L3087" s="125"/>
    </row>
    <row r="3088" spans="1:12" x14ac:dyDescent="0.25">
      <c r="A3088" s="115"/>
      <c r="B3088" s="115"/>
      <c r="C3088" s="115"/>
      <c r="D3088" s="115"/>
      <c r="E3088" s="115"/>
      <c r="F3088" s="115"/>
      <c r="G3088" s="116"/>
      <c r="I3088" s="118"/>
      <c r="J3088" s="118"/>
      <c r="L3088" s="125"/>
    </row>
    <row r="3089" spans="1:12" x14ac:dyDescent="0.25">
      <c r="A3089" s="115"/>
      <c r="B3089" s="115"/>
      <c r="C3089" s="115"/>
      <c r="D3089" s="115"/>
      <c r="E3089" s="115"/>
      <c r="F3089" s="115"/>
      <c r="G3089" s="116"/>
      <c r="I3089" s="118"/>
      <c r="J3089" s="118"/>
      <c r="L3089" s="125"/>
    </row>
    <row r="3090" spans="1:12" x14ac:dyDescent="0.25">
      <c r="A3090" s="115"/>
      <c r="B3090" s="115"/>
      <c r="C3090" s="115"/>
      <c r="D3090" s="115"/>
      <c r="E3090" s="115"/>
      <c r="F3090" s="115"/>
      <c r="G3090" s="116"/>
      <c r="I3090" s="118"/>
      <c r="J3090" s="118"/>
      <c r="L3090" s="125"/>
    </row>
    <row r="3091" spans="1:12" x14ac:dyDescent="0.25">
      <c r="A3091" s="115"/>
      <c r="B3091" s="115"/>
      <c r="C3091" s="115"/>
      <c r="D3091" s="115"/>
      <c r="E3091" s="115"/>
      <c r="F3091" s="115"/>
      <c r="G3091" s="116"/>
      <c r="I3091" s="118"/>
      <c r="J3091" s="118"/>
      <c r="L3091" s="125"/>
    </row>
    <row r="3092" spans="1:12" x14ac:dyDescent="0.25">
      <c r="A3092" s="115"/>
      <c r="B3092" s="115"/>
      <c r="C3092" s="115"/>
      <c r="D3092" s="115"/>
      <c r="E3092" s="115"/>
      <c r="F3092" s="115"/>
      <c r="G3092" s="116"/>
      <c r="I3092" s="118"/>
      <c r="J3092" s="118"/>
      <c r="L3092" s="125"/>
    </row>
    <row r="3093" spans="1:12" x14ac:dyDescent="0.25">
      <c r="A3093" s="115"/>
      <c r="B3093" s="115"/>
      <c r="C3093" s="115"/>
      <c r="D3093" s="115"/>
      <c r="E3093" s="115"/>
      <c r="F3093" s="115"/>
      <c r="G3093" s="116"/>
      <c r="I3093" s="118"/>
      <c r="J3093" s="118"/>
      <c r="L3093" s="125"/>
    </row>
    <row r="3094" spans="1:12" x14ac:dyDescent="0.25">
      <c r="A3094" s="115"/>
      <c r="B3094" s="115"/>
      <c r="C3094" s="115"/>
      <c r="D3094" s="115"/>
      <c r="E3094" s="115"/>
      <c r="F3094" s="115"/>
      <c r="G3094" s="116"/>
      <c r="I3094" s="118"/>
      <c r="J3094" s="118"/>
      <c r="L3094" s="125"/>
    </row>
    <row r="3095" spans="1:12" x14ac:dyDescent="0.25">
      <c r="A3095" s="115"/>
      <c r="B3095" s="115"/>
      <c r="C3095" s="115"/>
      <c r="D3095" s="115"/>
      <c r="E3095" s="115"/>
      <c r="F3095" s="115"/>
      <c r="G3095" s="116"/>
      <c r="I3095" s="118"/>
      <c r="J3095" s="118"/>
      <c r="L3095" s="125"/>
    </row>
    <row r="3096" spans="1:12" x14ac:dyDescent="0.25">
      <c r="A3096" s="115"/>
      <c r="B3096" s="115"/>
      <c r="C3096" s="115"/>
      <c r="D3096" s="115"/>
      <c r="E3096" s="115"/>
      <c r="F3096" s="115"/>
      <c r="G3096" s="116"/>
      <c r="I3096" s="118"/>
      <c r="J3096" s="118"/>
      <c r="L3096" s="125"/>
    </row>
    <row r="3097" spans="1:12" x14ac:dyDescent="0.25">
      <c r="A3097" s="115"/>
      <c r="B3097" s="115"/>
      <c r="C3097" s="115"/>
      <c r="D3097" s="115"/>
      <c r="E3097" s="115"/>
      <c r="F3097" s="115"/>
      <c r="G3097" s="116"/>
      <c r="I3097" s="118"/>
      <c r="J3097" s="118"/>
      <c r="L3097" s="125"/>
    </row>
    <row r="3098" spans="1:12" x14ac:dyDescent="0.25">
      <c r="A3098" s="115"/>
      <c r="B3098" s="115"/>
      <c r="C3098" s="115"/>
      <c r="D3098" s="115"/>
      <c r="E3098" s="115"/>
      <c r="F3098" s="115"/>
      <c r="G3098" s="116"/>
      <c r="I3098" s="118"/>
      <c r="J3098" s="118"/>
      <c r="L3098" s="125"/>
    </row>
    <row r="3099" spans="1:12" x14ac:dyDescent="0.25">
      <c r="A3099" s="115"/>
      <c r="B3099" s="115"/>
      <c r="C3099" s="115"/>
      <c r="D3099" s="115"/>
      <c r="E3099" s="115"/>
      <c r="F3099" s="115"/>
      <c r="G3099" s="116"/>
      <c r="I3099" s="118"/>
      <c r="J3099" s="118"/>
      <c r="L3099" s="125"/>
    </row>
    <row r="3100" spans="1:12" x14ac:dyDescent="0.25">
      <c r="A3100" s="115"/>
      <c r="B3100" s="115"/>
      <c r="C3100" s="115"/>
      <c r="D3100" s="115"/>
      <c r="E3100" s="115"/>
      <c r="F3100" s="115"/>
      <c r="G3100" s="116"/>
      <c r="I3100" s="118"/>
      <c r="J3100" s="118"/>
      <c r="L3100" s="125"/>
    </row>
    <row r="3101" spans="1:12" x14ac:dyDescent="0.25">
      <c r="A3101" s="115"/>
      <c r="B3101" s="115"/>
      <c r="C3101" s="115"/>
      <c r="D3101" s="115"/>
      <c r="E3101" s="115"/>
      <c r="F3101" s="115"/>
      <c r="G3101" s="116"/>
      <c r="I3101" s="118"/>
      <c r="J3101" s="118"/>
      <c r="L3101" s="125"/>
    </row>
    <row r="3102" spans="1:12" x14ac:dyDescent="0.25">
      <c r="A3102" s="115"/>
      <c r="B3102" s="115"/>
      <c r="C3102" s="115"/>
      <c r="D3102" s="115"/>
      <c r="E3102" s="115"/>
      <c r="F3102" s="115"/>
      <c r="G3102" s="116"/>
      <c r="I3102" s="118"/>
      <c r="J3102" s="118"/>
      <c r="L3102" s="125"/>
    </row>
    <row r="3103" spans="1:12" x14ac:dyDescent="0.25">
      <c r="A3103" s="115"/>
      <c r="B3103" s="115"/>
      <c r="C3103" s="115"/>
      <c r="D3103" s="115"/>
      <c r="E3103" s="115"/>
      <c r="F3103" s="115"/>
      <c r="G3103" s="116"/>
      <c r="I3103" s="118"/>
      <c r="J3103" s="118"/>
      <c r="L3103" s="125"/>
    </row>
    <row r="3104" spans="1:12" x14ac:dyDescent="0.25">
      <c r="A3104" s="115"/>
      <c r="B3104" s="115"/>
      <c r="C3104" s="115"/>
      <c r="D3104" s="115"/>
      <c r="E3104" s="115"/>
      <c r="F3104" s="115"/>
      <c r="G3104" s="116"/>
      <c r="I3104" s="118"/>
      <c r="J3104" s="118"/>
      <c r="L3104" s="125"/>
    </row>
    <row r="3105" spans="1:12" x14ac:dyDescent="0.25">
      <c r="A3105" s="115"/>
      <c r="B3105" s="115"/>
      <c r="C3105" s="115"/>
      <c r="D3105" s="115"/>
      <c r="E3105" s="115"/>
      <c r="F3105" s="115"/>
      <c r="G3105" s="116"/>
      <c r="I3105" s="118"/>
      <c r="J3105" s="118"/>
      <c r="L3105" s="125"/>
    </row>
    <row r="3106" spans="1:12" x14ac:dyDescent="0.25">
      <c r="A3106" s="115"/>
      <c r="B3106" s="115"/>
      <c r="C3106" s="115"/>
      <c r="D3106" s="115"/>
      <c r="E3106" s="115"/>
      <c r="F3106" s="115"/>
      <c r="G3106" s="116"/>
      <c r="I3106" s="118"/>
      <c r="J3106" s="118"/>
      <c r="L3106" s="125"/>
    </row>
    <row r="3107" spans="1:12" x14ac:dyDescent="0.25">
      <c r="A3107" s="115"/>
      <c r="B3107" s="115"/>
      <c r="C3107" s="115"/>
      <c r="D3107" s="115"/>
      <c r="E3107" s="115"/>
      <c r="F3107" s="115"/>
      <c r="G3107" s="116"/>
      <c r="I3107" s="118"/>
      <c r="J3107" s="118"/>
      <c r="L3107" s="125"/>
    </row>
    <row r="3108" spans="1:12" x14ac:dyDescent="0.25">
      <c r="A3108" s="115"/>
      <c r="B3108" s="115"/>
      <c r="C3108" s="115"/>
      <c r="D3108" s="115"/>
      <c r="E3108" s="115"/>
      <c r="F3108" s="115"/>
      <c r="G3108" s="116"/>
      <c r="I3108" s="118"/>
      <c r="J3108" s="118"/>
      <c r="L3108" s="125"/>
    </row>
    <row r="3109" spans="1:12" x14ac:dyDescent="0.25">
      <c r="A3109" s="115"/>
      <c r="B3109" s="115"/>
      <c r="C3109" s="115"/>
      <c r="D3109" s="115"/>
      <c r="E3109" s="115"/>
      <c r="F3109" s="115"/>
      <c r="G3109" s="116"/>
      <c r="I3109" s="118"/>
      <c r="J3109" s="118"/>
      <c r="L3109" s="125"/>
    </row>
    <row r="3110" spans="1:12" x14ac:dyDescent="0.25">
      <c r="A3110" s="115"/>
      <c r="B3110" s="115"/>
      <c r="C3110" s="115"/>
      <c r="D3110" s="115"/>
      <c r="E3110" s="115"/>
      <c r="F3110" s="115"/>
      <c r="G3110" s="116"/>
      <c r="I3110" s="118"/>
      <c r="J3110" s="118"/>
      <c r="L3110" s="125"/>
    </row>
    <row r="3111" spans="1:12" x14ac:dyDescent="0.25">
      <c r="A3111" s="115"/>
      <c r="B3111" s="115"/>
      <c r="C3111" s="115"/>
      <c r="D3111" s="115"/>
      <c r="E3111" s="115"/>
      <c r="F3111" s="115"/>
      <c r="G3111" s="116"/>
      <c r="I3111" s="118"/>
      <c r="J3111" s="118"/>
      <c r="L3111" s="125"/>
    </row>
    <row r="3112" spans="1:12" x14ac:dyDescent="0.25">
      <c r="A3112" s="115"/>
      <c r="B3112" s="115"/>
      <c r="C3112" s="115"/>
      <c r="D3112" s="115"/>
      <c r="E3112" s="115"/>
      <c r="F3112" s="115"/>
      <c r="G3112" s="116"/>
      <c r="I3112" s="118"/>
      <c r="J3112" s="118"/>
      <c r="L3112" s="125"/>
    </row>
    <row r="3113" spans="1:12" x14ac:dyDescent="0.25">
      <c r="A3113" s="115"/>
      <c r="B3113" s="115"/>
      <c r="C3113" s="115"/>
      <c r="D3113" s="115"/>
      <c r="E3113" s="115"/>
      <c r="F3113" s="115"/>
      <c r="G3113" s="116"/>
      <c r="I3113" s="118"/>
      <c r="J3113" s="118"/>
      <c r="L3113" s="125"/>
    </row>
    <row r="3114" spans="1:12" x14ac:dyDescent="0.25">
      <c r="A3114" s="115"/>
      <c r="B3114" s="115"/>
      <c r="C3114" s="115"/>
      <c r="D3114" s="115"/>
      <c r="E3114" s="115"/>
      <c r="F3114" s="115"/>
      <c r="G3114" s="116"/>
      <c r="I3114" s="118"/>
      <c r="J3114" s="118"/>
      <c r="L3114" s="125"/>
    </row>
    <row r="3115" spans="1:12" x14ac:dyDescent="0.25">
      <c r="A3115" s="115"/>
      <c r="B3115" s="115"/>
      <c r="C3115" s="115"/>
      <c r="D3115" s="115"/>
      <c r="E3115" s="115"/>
      <c r="F3115" s="115"/>
      <c r="G3115" s="116"/>
      <c r="I3115" s="118"/>
      <c r="J3115" s="118"/>
      <c r="L3115" s="125"/>
    </row>
    <row r="3116" spans="1:12" x14ac:dyDescent="0.25">
      <c r="A3116" s="115"/>
      <c r="B3116" s="115"/>
      <c r="C3116" s="115"/>
      <c r="D3116" s="115"/>
      <c r="E3116" s="115"/>
      <c r="F3116" s="115"/>
      <c r="G3116" s="116"/>
      <c r="I3116" s="118"/>
      <c r="J3116" s="118"/>
      <c r="L3116" s="125"/>
    </row>
    <row r="3117" spans="1:12" x14ac:dyDescent="0.25">
      <c r="A3117" s="115"/>
      <c r="B3117" s="115"/>
      <c r="C3117" s="115"/>
      <c r="D3117" s="115"/>
      <c r="E3117" s="115"/>
      <c r="F3117" s="115"/>
      <c r="G3117" s="116"/>
      <c r="I3117" s="118"/>
      <c r="J3117" s="118"/>
      <c r="L3117" s="125"/>
    </row>
    <row r="3118" spans="1:12" x14ac:dyDescent="0.25">
      <c r="A3118" s="115"/>
      <c r="B3118" s="115"/>
      <c r="C3118" s="115"/>
      <c r="D3118" s="115"/>
      <c r="E3118" s="115"/>
      <c r="F3118" s="115"/>
      <c r="G3118" s="116"/>
      <c r="I3118" s="118"/>
      <c r="J3118" s="118"/>
      <c r="L3118" s="125"/>
    </row>
    <row r="3119" spans="1:12" x14ac:dyDescent="0.25">
      <c r="A3119" s="115"/>
      <c r="B3119" s="115"/>
      <c r="C3119" s="115"/>
      <c r="D3119" s="115"/>
      <c r="E3119" s="115"/>
      <c r="F3119" s="115"/>
      <c r="G3119" s="116"/>
      <c r="I3119" s="118"/>
      <c r="J3119" s="118"/>
      <c r="L3119" s="125"/>
    </row>
    <row r="3120" spans="1:12" x14ac:dyDescent="0.25">
      <c r="A3120" s="115"/>
      <c r="B3120" s="115"/>
      <c r="C3120" s="115"/>
      <c r="D3120" s="115"/>
      <c r="E3120" s="115"/>
      <c r="F3120" s="115"/>
      <c r="G3120" s="116"/>
      <c r="I3120" s="118"/>
      <c r="J3120" s="118"/>
      <c r="L3120" s="125"/>
    </row>
    <row r="3121" spans="1:12" x14ac:dyDescent="0.25">
      <c r="A3121" s="115"/>
      <c r="B3121" s="115"/>
      <c r="C3121" s="115"/>
      <c r="D3121" s="115"/>
      <c r="E3121" s="115"/>
      <c r="F3121" s="115"/>
      <c r="G3121" s="116"/>
      <c r="I3121" s="118"/>
      <c r="J3121" s="118"/>
      <c r="L3121" s="125"/>
    </row>
    <row r="3122" spans="1:12" x14ac:dyDescent="0.25">
      <c r="A3122" s="115"/>
      <c r="B3122" s="115"/>
      <c r="C3122" s="115"/>
      <c r="D3122" s="115"/>
      <c r="E3122" s="115"/>
      <c r="F3122" s="115"/>
      <c r="G3122" s="116"/>
      <c r="I3122" s="118"/>
      <c r="J3122" s="118"/>
      <c r="L3122" s="125"/>
    </row>
    <row r="3123" spans="1:12" x14ac:dyDescent="0.25">
      <c r="A3123" s="115"/>
      <c r="B3123" s="115"/>
      <c r="C3123" s="115"/>
      <c r="D3123" s="115"/>
      <c r="E3123" s="115"/>
      <c r="F3123" s="115"/>
      <c r="G3123" s="116"/>
      <c r="I3123" s="118"/>
      <c r="J3123" s="118"/>
      <c r="L3123" s="125"/>
    </row>
    <row r="3124" spans="1:12" x14ac:dyDescent="0.25">
      <c r="A3124" s="115"/>
      <c r="B3124" s="115"/>
      <c r="C3124" s="115"/>
      <c r="D3124" s="115"/>
      <c r="E3124" s="115"/>
      <c r="F3124" s="115"/>
      <c r="G3124" s="116"/>
      <c r="I3124" s="118"/>
      <c r="J3124" s="118"/>
      <c r="L3124" s="125"/>
    </row>
    <row r="3125" spans="1:12" x14ac:dyDescent="0.25">
      <c r="A3125" s="115"/>
      <c r="B3125" s="115"/>
      <c r="C3125" s="115"/>
      <c r="D3125" s="115"/>
      <c r="E3125" s="115"/>
      <c r="F3125" s="115"/>
      <c r="G3125" s="116"/>
      <c r="I3125" s="118"/>
      <c r="J3125" s="118"/>
      <c r="L3125" s="125"/>
    </row>
    <row r="3126" spans="1:12" x14ac:dyDescent="0.25">
      <c r="A3126" s="115"/>
      <c r="B3126" s="115"/>
      <c r="C3126" s="115"/>
      <c r="D3126" s="115"/>
      <c r="E3126" s="115"/>
      <c r="F3126" s="115"/>
      <c r="G3126" s="116"/>
      <c r="I3126" s="118"/>
      <c r="J3126" s="118"/>
      <c r="L3126" s="125"/>
    </row>
    <row r="3127" spans="1:12" x14ac:dyDescent="0.25">
      <c r="A3127" s="115"/>
      <c r="B3127" s="115"/>
      <c r="C3127" s="115"/>
      <c r="D3127" s="115"/>
      <c r="E3127" s="115"/>
      <c r="F3127" s="115"/>
      <c r="G3127" s="116"/>
      <c r="I3127" s="118"/>
      <c r="J3127" s="118"/>
      <c r="L3127" s="125"/>
    </row>
    <row r="3128" spans="1:12" x14ac:dyDescent="0.25">
      <c r="A3128" s="115"/>
      <c r="B3128" s="115"/>
      <c r="C3128" s="115"/>
      <c r="D3128" s="115"/>
      <c r="E3128" s="115"/>
      <c r="F3128" s="115"/>
      <c r="G3128" s="116"/>
      <c r="I3128" s="118"/>
      <c r="J3128" s="118"/>
      <c r="L3128" s="125"/>
    </row>
    <row r="3129" spans="1:12" x14ac:dyDescent="0.25">
      <c r="A3129" s="115"/>
      <c r="B3129" s="115"/>
      <c r="C3129" s="115"/>
      <c r="D3129" s="115"/>
      <c r="E3129" s="115"/>
      <c r="F3129" s="115"/>
      <c r="G3129" s="116"/>
      <c r="I3129" s="118"/>
      <c r="J3129" s="118"/>
      <c r="L3129" s="125"/>
    </row>
    <row r="3130" spans="1:12" x14ac:dyDescent="0.25">
      <c r="A3130" s="115"/>
      <c r="B3130" s="115"/>
      <c r="C3130" s="115"/>
      <c r="D3130" s="115"/>
      <c r="E3130" s="115"/>
      <c r="F3130" s="115"/>
      <c r="G3130" s="116"/>
      <c r="I3130" s="118"/>
      <c r="J3130" s="118"/>
      <c r="L3130" s="125"/>
    </row>
    <row r="3131" spans="1:12" x14ac:dyDescent="0.25">
      <c r="A3131" s="115"/>
      <c r="B3131" s="115"/>
      <c r="C3131" s="115"/>
      <c r="D3131" s="115"/>
      <c r="E3131" s="115"/>
      <c r="F3131" s="115"/>
      <c r="G3131" s="116"/>
      <c r="I3131" s="118"/>
      <c r="J3131" s="118"/>
      <c r="L3131" s="125"/>
    </row>
    <row r="3132" spans="1:12" x14ac:dyDescent="0.25">
      <c r="A3132" s="115"/>
      <c r="B3132" s="115"/>
      <c r="C3132" s="115"/>
      <c r="D3132" s="115"/>
      <c r="E3132" s="115"/>
      <c r="F3132" s="115"/>
      <c r="G3132" s="116"/>
      <c r="I3132" s="118"/>
      <c r="J3132" s="118"/>
      <c r="L3132" s="125"/>
    </row>
    <row r="3133" spans="1:12" x14ac:dyDescent="0.25">
      <c r="A3133" s="115"/>
      <c r="B3133" s="115"/>
      <c r="C3133" s="115"/>
      <c r="D3133" s="115"/>
      <c r="E3133" s="115"/>
      <c r="F3133" s="115"/>
      <c r="G3133" s="116"/>
      <c r="I3133" s="118"/>
      <c r="J3133" s="118"/>
      <c r="L3133" s="125"/>
    </row>
    <row r="3134" spans="1:12" x14ac:dyDescent="0.25">
      <c r="A3134" s="115"/>
      <c r="B3134" s="115"/>
      <c r="C3134" s="115"/>
      <c r="D3134" s="115"/>
      <c r="E3134" s="115"/>
      <c r="F3134" s="115"/>
      <c r="G3134" s="116"/>
      <c r="I3134" s="118"/>
      <c r="J3134" s="118"/>
      <c r="L3134" s="125"/>
    </row>
    <row r="3135" spans="1:12" x14ac:dyDescent="0.25">
      <c r="A3135" s="115"/>
      <c r="B3135" s="115"/>
      <c r="C3135" s="115"/>
      <c r="D3135" s="115"/>
      <c r="E3135" s="115"/>
      <c r="F3135" s="115"/>
      <c r="G3135" s="116"/>
      <c r="I3135" s="118"/>
      <c r="J3135" s="118"/>
      <c r="L3135" s="125"/>
    </row>
    <row r="3136" spans="1:12" x14ac:dyDescent="0.25">
      <c r="A3136" s="115"/>
      <c r="B3136" s="115"/>
      <c r="C3136" s="115"/>
      <c r="D3136" s="115"/>
      <c r="E3136" s="115"/>
      <c r="F3136" s="115"/>
      <c r="G3136" s="116"/>
      <c r="I3136" s="118"/>
      <c r="J3136" s="118"/>
      <c r="L3136" s="125"/>
    </row>
    <row r="3137" spans="1:12" x14ac:dyDescent="0.25">
      <c r="A3137" s="115"/>
      <c r="B3137" s="115"/>
      <c r="C3137" s="115"/>
      <c r="D3137" s="115"/>
      <c r="E3137" s="115"/>
      <c r="F3137" s="115"/>
      <c r="G3137" s="116"/>
      <c r="I3137" s="118"/>
      <c r="J3137" s="118"/>
      <c r="L3137" s="125"/>
    </row>
    <row r="3138" spans="1:12" x14ac:dyDescent="0.25">
      <c r="A3138" s="115"/>
      <c r="B3138" s="115"/>
      <c r="C3138" s="115"/>
      <c r="D3138" s="115"/>
      <c r="E3138" s="115"/>
      <c r="F3138" s="115"/>
      <c r="G3138" s="116"/>
      <c r="I3138" s="118"/>
      <c r="J3138" s="118"/>
      <c r="L3138" s="125"/>
    </row>
    <row r="3139" spans="1:12" x14ac:dyDescent="0.25">
      <c r="A3139" s="115"/>
      <c r="B3139" s="115"/>
      <c r="C3139" s="115"/>
      <c r="D3139" s="115"/>
      <c r="E3139" s="115"/>
      <c r="F3139" s="115"/>
      <c r="G3139" s="116"/>
      <c r="I3139" s="118"/>
      <c r="J3139" s="118"/>
      <c r="L3139" s="125"/>
    </row>
    <row r="3140" spans="1:12" x14ac:dyDescent="0.25">
      <c r="A3140" s="115"/>
      <c r="B3140" s="115"/>
      <c r="C3140" s="115"/>
      <c r="D3140" s="115"/>
      <c r="E3140" s="115"/>
      <c r="F3140" s="115"/>
      <c r="G3140" s="116"/>
      <c r="I3140" s="118"/>
      <c r="J3140" s="118"/>
      <c r="L3140" s="125"/>
    </row>
    <row r="3141" spans="1:12" x14ac:dyDescent="0.25">
      <c r="A3141" s="115"/>
      <c r="B3141" s="115"/>
      <c r="C3141" s="115"/>
      <c r="D3141" s="115"/>
      <c r="E3141" s="115"/>
      <c r="F3141" s="115"/>
      <c r="G3141" s="116"/>
      <c r="I3141" s="118"/>
      <c r="J3141" s="118"/>
      <c r="L3141" s="125"/>
    </row>
    <row r="3142" spans="1:12" x14ac:dyDescent="0.25">
      <c r="A3142" s="115"/>
      <c r="B3142" s="115"/>
      <c r="C3142" s="115"/>
      <c r="D3142" s="115"/>
      <c r="E3142" s="115"/>
      <c r="F3142" s="115"/>
      <c r="G3142" s="116"/>
      <c r="I3142" s="118"/>
      <c r="J3142" s="118"/>
      <c r="L3142" s="125"/>
    </row>
    <row r="3143" spans="1:12" x14ac:dyDescent="0.25">
      <c r="A3143" s="115"/>
      <c r="B3143" s="115"/>
      <c r="C3143" s="115"/>
      <c r="D3143" s="115"/>
      <c r="E3143" s="115"/>
      <c r="F3143" s="115"/>
      <c r="G3143" s="116"/>
      <c r="I3143" s="118"/>
      <c r="J3143" s="118"/>
      <c r="L3143" s="125"/>
    </row>
    <row r="3144" spans="1:12" x14ac:dyDescent="0.25">
      <c r="A3144" s="115"/>
      <c r="B3144" s="115"/>
      <c r="C3144" s="115"/>
      <c r="D3144" s="115"/>
      <c r="E3144" s="115"/>
      <c r="F3144" s="115"/>
      <c r="G3144" s="116"/>
      <c r="I3144" s="118"/>
      <c r="J3144" s="118"/>
      <c r="L3144" s="125"/>
    </row>
    <row r="3145" spans="1:12" x14ac:dyDescent="0.25">
      <c r="A3145" s="115"/>
      <c r="B3145" s="115"/>
      <c r="C3145" s="115"/>
      <c r="D3145" s="115"/>
      <c r="E3145" s="115"/>
      <c r="F3145" s="115"/>
      <c r="G3145" s="116"/>
      <c r="I3145" s="118"/>
      <c r="J3145" s="118"/>
      <c r="L3145" s="125"/>
    </row>
    <row r="3146" spans="1:12" x14ac:dyDescent="0.25">
      <c r="A3146" s="115"/>
      <c r="B3146" s="115"/>
      <c r="C3146" s="115"/>
      <c r="D3146" s="115"/>
      <c r="E3146" s="115"/>
      <c r="F3146" s="115"/>
      <c r="G3146" s="116"/>
      <c r="I3146" s="118"/>
      <c r="J3146" s="118"/>
      <c r="L3146" s="125"/>
    </row>
    <row r="3147" spans="1:12" x14ac:dyDescent="0.25">
      <c r="A3147" s="115"/>
      <c r="B3147" s="115"/>
      <c r="C3147" s="115"/>
      <c r="D3147" s="115"/>
      <c r="E3147" s="115"/>
      <c r="F3147" s="115"/>
      <c r="G3147" s="116"/>
      <c r="I3147" s="118"/>
      <c r="J3147" s="118"/>
      <c r="L3147" s="125"/>
    </row>
    <row r="3148" spans="1:12" x14ac:dyDescent="0.25">
      <c r="A3148" s="115"/>
      <c r="B3148" s="115"/>
      <c r="C3148" s="115"/>
      <c r="D3148" s="115"/>
      <c r="E3148" s="115"/>
      <c r="F3148" s="115"/>
      <c r="G3148" s="116"/>
      <c r="I3148" s="118"/>
      <c r="J3148" s="118"/>
      <c r="L3148" s="125"/>
    </row>
    <row r="3149" spans="1:12" x14ac:dyDescent="0.25">
      <c r="A3149" s="115"/>
      <c r="B3149" s="115"/>
      <c r="C3149" s="115"/>
      <c r="D3149" s="115"/>
      <c r="E3149" s="115"/>
      <c r="F3149" s="115"/>
      <c r="G3149" s="116"/>
      <c r="I3149" s="118"/>
      <c r="J3149" s="118"/>
      <c r="L3149" s="125"/>
    </row>
    <row r="3150" spans="1:12" x14ac:dyDescent="0.25">
      <c r="A3150" s="115"/>
      <c r="B3150" s="115"/>
      <c r="C3150" s="115"/>
      <c r="D3150" s="115"/>
      <c r="E3150" s="115"/>
      <c r="F3150" s="115"/>
      <c r="G3150" s="116"/>
      <c r="I3150" s="118"/>
      <c r="J3150" s="118"/>
      <c r="L3150" s="125"/>
    </row>
    <row r="3151" spans="1:12" x14ac:dyDescent="0.25">
      <c r="A3151" s="115"/>
      <c r="B3151" s="115"/>
      <c r="C3151" s="115"/>
      <c r="D3151" s="115"/>
      <c r="E3151" s="115"/>
      <c r="F3151" s="115"/>
      <c r="G3151" s="116"/>
      <c r="I3151" s="118"/>
      <c r="J3151" s="118"/>
      <c r="L3151" s="125"/>
    </row>
    <row r="3152" spans="1:12" x14ac:dyDescent="0.25">
      <c r="A3152" s="115"/>
      <c r="B3152" s="115"/>
      <c r="C3152" s="115"/>
      <c r="D3152" s="115"/>
      <c r="E3152" s="115"/>
      <c r="F3152" s="115"/>
      <c r="G3152" s="116"/>
      <c r="I3152" s="118"/>
      <c r="J3152" s="118"/>
      <c r="L3152" s="125"/>
    </row>
    <row r="3153" spans="1:12" x14ac:dyDescent="0.25">
      <c r="A3153" s="115"/>
      <c r="B3153" s="115"/>
      <c r="C3153" s="115"/>
      <c r="D3153" s="115"/>
      <c r="E3153" s="115"/>
      <c r="F3153" s="115"/>
      <c r="G3153" s="116"/>
      <c r="I3153" s="118"/>
      <c r="J3153" s="118"/>
      <c r="L3153" s="125"/>
    </row>
    <row r="3154" spans="1:12" x14ac:dyDescent="0.25">
      <c r="A3154" s="115"/>
      <c r="B3154" s="115"/>
      <c r="C3154" s="115"/>
      <c r="D3154" s="115"/>
      <c r="E3154" s="115"/>
      <c r="F3154" s="115"/>
      <c r="G3154" s="116"/>
      <c r="I3154" s="118"/>
      <c r="J3154" s="118"/>
      <c r="L3154" s="125"/>
    </row>
    <row r="3155" spans="1:12" x14ac:dyDescent="0.25">
      <c r="A3155" s="115"/>
      <c r="B3155" s="115"/>
      <c r="C3155" s="115"/>
      <c r="D3155" s="115"/>
      <c r="E3155" s="115"/>
      <c r="F3155" s="115"/>
      <c r="G3155" s="116"/>
      <c r="I3155" s="118"/>
      <c r="J3155" s="118"/>
      <c r="L3155" s="125"/>
    </row>
    <row r="3156" spans="1:12" x14ac:dyDescent="0.25">
      <c r="A3156" s="115"/>
      <c r="B3156" s="115"/>
      <c r="C3156" s="115"/>
      <c r="D3156" s="115"/>
      <c r="E3156" s="115"/>
      <c r="F3156" s="115"/>
      <c r="G3156" s="116"/>
      <c r="I3156" s="118"/>
      <c r="J3156" s="118"/>
      <c r="L3156" s="125"/>
    </row>
    <row r="3157" spans="1:12" x14ac:dyDescent="0.25">
      <c r="A3157" s="115"/>
      <c r="B3157" s="115"/>
      <c r="C3157" s="115"/>
      <c r="D3157" s="115"/>
      <c r="E3157" s="115"/>
      <c r="F3157" s="115"/>
      <c r="G3157" s="116"/>
      <c r="I3157" s="118"/>
      <c r="J3157" s="118"/>
      <c r="L3157" s="125"/>
    </row>
    <row r="3158" spans="1:12" x14ac:dyDescent="0.25">
      <c r="A3158" s="115"/>
      <c r="B3158" s="115"/>
      <c r="C3158" s="115"/>
      <c r="D3158" s="115"/>
      <c r="E3158" s="115"/>
      <c r="F3158" s="115"/>
      <c r="G3158" s="116"/>
      <c r="I3158" s="118"/>
      <c r="J3158" s="118"/>
      <c r="L3158" s="125"/>
    </row>
    <row r="3159" spans="1:12" x14ac:dyDescent="0.25">
      <c r="A3159" s="115"/>
      <c r="B3159" s="115"/>
      <c r="C3159" s="115"/>
      <c r="D3159" s="115"/>
      <c r="E3159" s="115"/>
      <c r="F3159" s="115"/>
      <c r="G3159" s="116"/>
      <c r="I3159" s="118"/>
      <c r="J3159" s="118"/>
      <c r="L3159" s="125"/>
    </row>
    <row r="3160" spans="1:12" x14ac:dyDescent="0.25">
      <c r="A3160" s="115"/>
      <c r="B3160" s="115"/>
      <c r="C3160" s="115"/>
      <c r="D3160" s="115"/>
      <c r="E3160" s="115"/>
      <c r="F3160" s="115"/>
      <c r="G3160" s="116"/>
      <c r="I3160" s="118"/>
      <c r="J3160" s="118"/>
      <c r="L3160" s="125"/>
    </row>
    <row r="3161" spans="1:12" x14ac:dyDescent="0.25">
      <c r="A3161" s="115"/>
      <c r="B3161" s="115"/>
      <c r="C3161" s="115"/>
      <c r="D3161" s="115"/>
      <c r="E3161" s="115"/>
      <c r="F3161" s="115"/>
      <c r="G3161" s="116"/>
      <c r="I3161" s="118"/>
      <c r="J3161" s="118"/>
      <c r="L3161" s="125"/>
    </row>
    <row r="3162" spans="1:12" x14ac:dyDescent="0.25">
      <c r="A3162" s="115"/>
      <c r="B3162" s="115"/>
      <c r="C3162" s="115"/>
      <c r="D3162" s="115"/>
      <c r="E3162" s="115"/>
      <c r="F3162" s="115"/>
      <c r="G3162" s="116"/>
      <c r="I3162" s="118"/>
      <c r="J3162" s="118"/>
      <c r="L3162" s="125"/>
    </row>
    <row r="3163" spans="1:12" x14ac:dyDescent="0.25">
      <c r="A3163" s="115"/>
      <c r="B3163" s="115"/>
      <c r="C3163" s="115"/>
      <c r="D3163" s="115"/>
      <c r="E3163" s="115"/>
      <c r="F3163" s="115"/>
      <c r="G3163" s="116"/>
      <c r="I3163" s="118"/>
      <c r="J3163" s="118"/>
      <c r="L3163" s="125"/>
    </row>
    <row r="3164" spans="1:12" x14ac:dyDescent="0.25">
      <c r="A3164" s="115"/>
      <c r="B3164" s="115"/>
      <c r="C3164" s="115"/>
      <c r="D3164" s="115"/>
      <c r="E3164" s="115"/>
      <c r="F3164" s="115"/>
      <c r="G3164" s="116"/>
      <c r="I3164" s="118"/>
      <c r="J3164" s="118"/>
      <c r="L3164" s="125"/>
    </row>
    <row r="3165" spans="1:12" x14ac:dyDescent="0.25">
      <c r="A3165" s="115"/>
      <c r="B3165" s="115"/>
      <c r="C3165" s="115"/>
      <c r="D3165" s="115"/>
      <c r="E3165" s="115"/>
      <c r="F3165" s="115"/>
      <c r="G3165" s="116"/>
      <c r="I3165" s="118"/>
      <c r="J3165" s="118"/>
      <c r="L3165" s="125"/>
    </row>
    <row r="3166" spans="1:12" x14ac:dyDescent="0.25">
      <c r="A3166" s="115"/>
      <c r="B3166" s="115"/>
      <c r="C3166" s="115"/>
      <c r="D3166" s="115"/>
      <c r="E3166" s="115"/>
      <c r="F3166" s="115"/>
      <c r="G3166" s="116"/>
      <c r="I3166" s="118"/>
      <c r="J3166" s="118"/>
      <c r="L3166" s="125"/>
    </row>
    <row r="3167" spans="1:12" x14ac:dyDescent="0.25">
      <c r="A3167" s="115"/>
      <c r="B3167" s="115"/>
      <c r="C3167" s="115"/>
      <c r="D3167" s="115"/>
      <c r="E3167" s="115"/>
      <c r="F3167" s="115"/>
      <c r="G3167" s="116"/>
      <c r="I3167" s="118"/>
      <c r="J3167" s="118"/>
      <c r="L3167" s="125"/>
    </row>
    <row r="3168" spans="1:12" x14ac:dyDescent="0.25">
      <c r="A3168" s="115"/>
      <c r="B3168" s="115"/>
      <c r="C3168" s="115"/>
      <c r="D3168" s="115"/>
      <c r="E3168" s="115"/>
      <c r="F3168" s="115"/>
      <c r="G3168" s="116"/>
      <c r="I3168" s="118"/>
      <c r="J3168" s="118"/>
      <c r="L3168" s="125"/>
    </row>
    <row r="3169" spans="1:12" x14ac:dyDescent="0.25">
      <c r="A3169" s="115"/>
      <c r="B3169" s="115"/>
      <c r="C3169" s="115"/>
      <c r="D3169" s="115"/>
      <c r="E3169" s="115"/>
      <c r="F3169" s="115"/>
      <c r="G3169" s="116"/>
      <c r="I3169" s="118"/>
      <c r="J3169" s="118"/>
      <c r="L3169" s="125"/>
    </row>
    <row r="3170" spans="1:12" x14ac:dyDescent="0.25">
      <c r="A3170" s="115"/>
      <c r="B3170" s="115"/>
      <c r="C3170" s="115"/>
      <c r="D3170" s="115"/>
      <c r="E3170" s="115"/>
      <c r="F3170" s="115"/>
      <c r="G3170" s="116"/>
      <c r="I3170" s="118"/>
      <c r="J3170" s="118"/>
      <c r="L3170" s="125"/>
    </row>
    <row r="3171" spans="1:12" x14ac:dyDescent="0.25">
      <c r="A3171" s="115"/>
      <c r="B3171" s="115"/>
      <c r="C3171" s="115"/>
      <c r="D3171" s="115"/>
      <c r="E3171" s="115"/>
      <c r="F3171" s="115"/>
      <c r="G3171" s="116"/>
      <c r="I3171" s="118"/>
      <c r="J3171" s="118"/>
      <c r="L3171" s="125"/>
    </row>
    <row r="3172" spans="1:12" x14ac:dyDescent="0.25">
      <c r="A3172" s="115"/>
      <c r="B3172" s="115"/>
      <c r="C3172" s="115"/>
      <c r="D3172" s="115"/>
      <c r="E3172" s="115"/>
      <c r="F3172" s="115"/>
      <c r="G3172" s="116"/>
      <c r="I3172" s="118"/>
      <c r="J3172" s="118"/>
      <c r="L3172" s="125"/>
    </row>
    <row r="3173" spans="1:12" x14ac:dyDescent="0.25">
      <c r="A3173" s="115"/>
      <c r="B3173" s="115"/>
      <c r="C3173" s="115"/>
      <c r="D3173" s="115"/>
      <c r="E3173" s="115"/>
      <c r="F3173" s="115"/>
      <c r="G3173" s="116"/>
      <c r="I3173" s="118"/>
      <c r="J3173" s="118"/>
      <c r="L3173" s="125"/>
    </row>
    <row r="3174" spans="1:12" x14ac:dyDescent="0.25">
      <c r="A3174" s="115"/>
      <c r="B3174" s="115"/>
      <c r="C3174" s="115"/>
      <c r="D3174" s="115"/>
      <c r="E3174" s="115"/>
      <c r="F3174" s="115"/>
      <c r="G3174" s="116"/>
      <c r="I3174" s="118"/>
      <c r="J3174" s="118"/>
      <c r="L3174" s="125"/>
    </row>
    <row r="3175" spans="1:12" x14ac:dyDescent="0.25">
      <c r="A3175" s="115"/>
      <c r="B3175" s="115"/>
      <c r="C3175" s="115"/>
      <c r="D3175" s="115"/>
      <c r="E3175" s="115"/>
      <c r="F3175" s="115"/>
      <c r="G3175" s="116"/>
      <c r="I3175" s="118"/>
      <c r="J3175" s="118"/>
      <c r="L3175" s="125"/>
    </row>
    <row r="3176" spans="1:12" x14ac:dyDescent="0.25">
      <c r="A3176" s="115"/>
      <c r="B3176" s="115"/>
      <c r="C3176" s="115"/>
      <c r="D3176" s="115"/>
      <c r="E3176" s="115"/>
      <c r="F3176" s="115"/>
      <c r="G3176" s="116"/>
      <c r="I3176" s="118"/>
      <c r="J3176" s="118"/>
      <c r="L3176" s="125"/>
    </row>
    <row r="3177" spans="1:12" x14ac:dyDescent="0.25">
      <c r="A3177" s="115"/>
      <c r="B3177" s="115"/>
      <c r="C3177" s="115"/>
      <c r="D3177" s="115"/>
      <c r="E3177" s="115"/>
      <c r="F3177" s="115"/>
      <c r="G3177" s="116"/>
      <c r="I3177" s="118"/>
      <c r="J3177" s="118"/>
      <c r="L3177" s="125"/>
    </row>
    <row r="3178" spans="1:12" x14ac:dyDescent="0.25">
      <c r="A3178" s="115"/>
      <c r="B3178" s="115"/>
      <c r="C3178" s="115"/>
      <c r="D3178" s="115"/>
      <c r="E3178" s="115"/>
      <c r="F3178" s="115"/>
      <c r="G3178" s="116"/>
      <c r="I3178" s="118"/>
      <c r="J3178" s="118"/>
      <c r="L3178" s="125"/>
    </row>
    <row r="3179" spans="1:12" x14ac:dyDescent="0.25">
      <c r="A3179" s="115"/>
      <c r="B3179" s="115"/>
      <c r="C3179" s="115"/>
      <c r="D3179" s="115"/>
      <c r="E3179" s="115"/>
      <c r="F3179" s="115"/>
      <c r="G3179" s="116"/>
      <c r="I3179" s="118"/>
      <c r="J3179" s="118"/>
      <c r="L3179" s="125"/>
    </row>
    <row r="3180" spans="1:12" x14ac:dyDescent="0.25">
      <c r="A3180" s="115"/>
      <c r="B3180" s="115"/>
      <c r="C3180" s="115"/>
      <c r="D3180" s="115"/>
      <c r="E3180" s="115"/>
      <c r="F3180" s="115"/>
      <c r="G3180" s="116"/>
      <c r="I3180" s="118"/>
      <c r="J3180" s="118"/>
      <c r="L3180" s="125"/>
    </row>
    <row r="3181" spans="1:12" x14ac:dyDescent="0.25">
      <c r="A3181" s="115"/>
      <c r="B3181" s="115"/>
      <c r="C3181" s="115"/>
      <c r="D3181" s="115"/>
      <c r="E3181" s="115"/>
      <c r="F3181" s="115"/>
      <c r="G3181" s="116"/>
      <c r="I3181" s="118"/>
      <c r="J3181" s="118"/>
      <c r="L3181" s="125"/>
    </row>
    <row r="3182" spans="1:12" x14ac:dyDescent="0.25">
      <c r="A3182" s="115"/>
      <c r="B3182" s="115"/>
      <c r="C3182" s="115"/>
      <c r="D3182" s="115"/>
      <c r="E3182" s="115"/>
      <c r="F3182" s="115"/>
      <c r="G3182" s="116"/>
      <c r="I3182" s="118"/>
      <c r="J3182" s="118"/>
      <c r="L3182" s="125"/>
    </row>
    <row r="3183" spans="1:12" x14ac:dyDescent="0.25">
      <c r="A3183" s="115"/>
      <c r="B3183" s="115"/>
      <c r="C3183" s="115"/>
      <c r="D3183" s="115"/>
      <c r="E3183" s="115"/>
      <c r="F3183" s="115"/>
      <c r="G3183" s="116"/>
      <c r="I3183" s="118"/>
      <c r="J3183" s="118"/>
      <c r="L3183" s="125"/>
    </row>
    <row r="3184" spans="1:12" x14ac:dyDescent="0.25">
      <c r="A3184" s="115"/>
      <c r="B3184" s="115"/>
      <c r="C3184" s="115"/>
      <c r="D3184" s="115"/>
      <c r="E3184" s="115"/>
      <c r="F3184" s="115"/>
      <c r="G3184" s="116"/>
      <c r="I3184" s="118"/>
      <c r="J3184" s="118"/>
      <c r="L3184" s="125"/>
    </row>
    <row r="3185" spans="1:12" x14ac:dyDescent="0.25">
      <c r="A3185" s="115"/>
      <c r="B3185" s="115"/>
      <c r="C3185" s="115"/>
      <c r="D3185" s="115"/>
      <c r="E3185" s="115"/>
      <c r="F3185" s="115"/>
      <c r="G3185" s="116"/>
      <c r="I3185" s="118"/>
      <c r="J3185" s="118"/>
      <c r="L3185" s="125"/>
    </row>
    <row r="3186" spans="1:12" x14ac:dyDescent="0.25">
      <c r="A3186" s="115"/>
      <c r="B3186" s="115"/>
      <c r="C3186" s="115"/>
      <c r="D3186" s="115"/>
      <c r="E3186" s="115"/>
      <c r="F3186" s="115"/>
      <c r="G3186" s="116"/>
      <c r="I3186" s="118"/>
      <c r="J3186" s="118"/>
      <c r="L3186" s="125"/>
    </row>
    <row r="3187" spans="1:12" x14ac:dyDescent="0.25">
      <c r="A3187" s="115"/>
      <c r="B3187" s="115"/>
      <c r="C3187" s="115"/>
      <c r="D3187" s="115"/>
      <c r="E3187" s="115"/>
      <c r="F3187" s="115"/>
      <c r="G3187" s="116"/>
      <c r="I3187" s="118"/>
      <c r="J3187" s="118"/>
      <c r="L3187" s="125"/>
    </row>
    <row r="3188" spans="1:12" x14ac:dyDescent="0.25">
      <c r="A3188" s="115"/>
      <c r="B3188" s="115"/>
      <c r="C3188" s="115"/>
      <c r="D3188" s="115"/>
      <c r="E3188" s="115"/>
      <c r="F3188" s="115"/>
      <c r="G3188" s="116"/>
      <c r="I3188" s="118"/>
      <c r="J3188" s="118"/>
      <c r="L3188" s="125"/>
    </row>
    <row r="3189" spans="1:12" x14ac:dyDescent="0.25">
      <c r="A3189" s="115"/>
      <c r="B3189" s="115"/>
      <c r="C3189" s="115"/>
      <c r="D3189" s="115"/>
      <c r="E3189" s="115"/>
      <c r="F3189" s="115"/>
      <c r="G3189" s="116"/>
      <c r="I3189" s="118"/>
      <c r="J3189" s="118"/>
      <c r="L3189" s="125"/>
    </row>
    <row r="3190" spans="1:12" x14ac:dyDescent="0.25">
      <c r="A3190" s="115"/>
      <c r="B3190" s="115"/>
      <c r="C3190" s="115"/>
      <c r="D3190" s="115"/>
      <c r="E3190" s="115"/>
      <c r="F3190" s="115"/>
      <c r="G3190" s="116"/>
      <c r="I3190" s="118"/>
      <c r="J3190" s="118"/>
      <c r="L3190" s="125"/>
    </row>
    <row r="3191" spans="1:12" x14ac:dyDescent="0.25">
      <c r="A3191" s="115"/>
      <c r="B3191" s="115"/>
      <c r="C3191" s="115"/>
      <c r="D3191" s="115"/>
      <c r="E3191" s="115"/>
      <c r="F3191" s="115"/>
      <c r="G3191" s="116"/>
      <c r="I3191" s="118"/>
      <c r="J3191" s="118"/>
      <c r="L3191" s="125"/>
    </row>
    <row r="3192" spans="1:12" x14ac:dyDescent="0.25">
      <c r="A3192" s="115"/>
      <c r="B3192" s="115"/>
      <c r="C3192" s="115"/>
      <c r="D3192" s="115"/>
      <c r="E3192" s="115"/>
      <c r="F3192" s="115"/>
      <c r="G3192" s="116"/>
      <c r="I3192" s="118"/>
      <c r="J3192" s="118"/>
      <c r="L3192" s="125"/>
    </row>
    <row r="3193" spans="1:12" x14ac:dyDescent="0.25">
      <c r="A3193" s="115"/>
      <c r="B3193" s="115"/>
      <c r="C3193" s="115"/>
      <c r="D3193" s="115"/>
      <c r="E3193" s="115"/>
      <c r="F3193" s="115"/>
      <c r="G3193" s="116"/>
      <c r="I3193" s="118"/>
      <c r="J3193" s="118"/>
      <c r="L3193" s="125"/>
    </row>
    <row r="3194" spans="1:12" x14ac:dyDescent="0.25">
      <c r="A3194" s="115"/>
      <c r="B3194" s="115"/>
      <c r="C3194" s="115"/>
      <c r="D3194" s="115"/>
      <c r="E3194" s="115"/>
      <c r="F3194" s="115"/>
      <c r="G3194" s="116"/>
      <c r="I3194" s="118"/>
      <c r="J3194" s="118"/>
      <c r="L3194" s="125"/>
    </row>
    <row r="3195" spans="1:12" x14ac:dyDescent="0.25">
      <c r="A3195" s="115"/>
      <c r="B3195" s="115"/>
      <c r="C3195" s="115"/>
      <c r="D3195" s="115"/>
      <c r="E3195" s="115"/>
      <c r="F3195" s="115"/>
      <c r="G3195" s="116"/>
      <c r="I3195" s="118"/>
      <c r="J3195" s="118"/>
      <c r="L3195" s="125"/>
    </row>
    <row r="3196" spans="1:12" x14ac:dyDescent="0.25">
      <c r="A3196" s="115"/>
      <c r="B3196" s="115"/>
      <c r="C3196" s="115"/>
      <c r="D3196" s="115"/>
      <c r="E3196" s="115"/>
      <c r="F3196" s="115"/>
      <c r="G3196" s="116"/>
      <c r="I3196" s="118"/>
      <c r="J3196" s="118"/>
      <c r="L3196" s="125"/>
    </row>
    <row r="3197" spans="1:12" x14ac:dyDescent="0.25">
      <c r="A3197" s="115"/>
      <c r="B3197" s="115"/>
      <c r="C3197" s="115"/>
      <c r="D3197" s="115"/>
      <c r="E3197" s="115"/>
      <c r="F3197" s="115"/>
      <c r="G3197" s="116"/>
      <c r="I3197" s="118"/>
      <c r="J3197" s="118"/>
      <c r="L3197" s="125"/>
    </row>
    <row r="3198" spans="1:12" x14ac:dyDescent="0.25">
      <c r="A3198" s="115"/>
      <c r="B3198" s="115"/>
      <c r="C3198" s="115"/>
      <c r="D3198" s="115"/>
      <c r="E3198" s="115"/>
      <c r="F3198" s="115"/>
      <c r="G3198" s="116"/>
      <c r="I3198" s="118"/>
      <c r="J3198" s="118"/>
      <c r="L3198" s="125"/>
    </row>
    <row r="3199" spans="1:12" x14ac:dyDescent="0.25">
      <c r="A3199" s="115"/>
      <c r="B3199" s="115"/>
      <c r="C3199" s="115"/>
      <c r="D3199" s="115"/>
      <c r="E3199" s="115"/>
      <c r="F3199" s="115"/>
      <c r="G3199" s="116"/>
      <c r="I3199" s="118"/>
      <c r="J3199" s="118"/>
      <c r="L3199" s="125"/>
    </row>
    <row r="3200" spans="1:12" x14ac:dyDescent="0.25">
      <c r="A3200" s="115"/>
      <c r="B3200" s="115"/>
      <c r="C3200" s="115"/>
      <c r="D3200" s="115"/>
      <c r="E3200" s="115"/>
      <c r="F3200" s="115"/>
      <c r="G3200" s="116"/>
      <c r="I3200" s="118"/>
      <c r="J3200" s="118"/>
      <c r="L3200" s="125"/>
    </row>
    <row r="3201" spans="1:12" x14ac:dyDescent="0.25">
      <c r="A3201" s="115"/>
      <c r="B3201" s="115"/>
      <c r="C3201" s="115"/>
      <c r="D3201" s="115"/>
      <c r="E3201" s="115"/>
      <c r="F3201" s="115"/>
      <c r="G3201" s="116"/>
      <c r="I3201" s="118"/>
      <c r="J3201" s="118"/>
      <c r="L3201" s="125"/>
    </row>
    <row r="3202" spans="1:12" x14ac:dyDescent="0.25">
      <c r="A3202" s="115"/>
      <c r="B3202" s="115"/>
      <c r="C3202" s="115"/>
      <c r="D3202" s="115"/>
      <c r="E3202" s="115"/>
      <c r="F3202" s="115"/>
      <c r="G3202" s="116"/>
      <c r="I3202" s="118"/>
      <c r="J3202" s="118"/>
      <c r="L3202" s="125"/>
    </row>
    <row r="3203" spans="1:12" x14ac:dyDescent="0.25">
      <c r="A3203" s="115"/>
      <c r="B3203" s="115"/>
      <c r="C3203" s="115"/>
      <c r="D3203" s="115"/>
      <c r="E3203" s="115"/>
      <c r="F3203" s="115"/>
      <c r="G3203" s="116"/>
      <c r="I3203" s="118"/>
      <c r="J3203" s="118"/>
      <c r="L3203" s="125"/>
    </row>
    <row r="3204" spans="1:12" x14ac:dyDescent="0.25">
      <c r="A3204" s="115"/>
      <c r="B3204" s="115"/>
      <c r="C3204" s="115"/>
      <c r="D3204" s="115"/>
      <c r="E3204" s="115"/>
      <c r="F3204" s="115"/>
      <c r="G3204" s="116"/>
      <c r="I3204" s="118"/>
      <c r="J3204" s="118"/>
      <c r="L3204" s="125"/>
    </row>
    <row r="3205" spans="1:12" x14ac:dyDescent="0.25">
      <c r="A3205" s="115"/>
      <c r="B3205" s="115"/>
      <c r="C3205" s="115"/>
      <c r="D3205" s="115"/>
      <c r="E3205" s="115"/>
      <c r="F3205" s="115"/>
      <c r="G3205" s="116"/>
      <c r="I3205" s="118"/>
      <c r="J3205" s="118"/>
      <c r="L3205" s="125"/>
    </row>
    <row r="3206" spans="1:12" x14ac:dyDescent="0.25">
      <c r="A3206" s="115"/>
      <c r="B3206" s="115"/>
      <c r="C3206" s="115"/>
      <c r="D3206" s="115"/>
      <c r="E3206" s="115"/>
      <c r="F3206" s="115"/>
      <c r="G3206" s="116"/>
      <c r="I3206" s="118"/>
      <c r="J3206" s="118"/>
      <c r="L3206" s="125"/>
    </row>
    <row r="3207" spans="1:12" x14ac:dyDescent="0.25">
      <c r="A3207" s="115"/>
      <c r="B3207" s="115"/>
      <c r="C3207" s="115"/>
      <c r="D3207" s="115"/>
      <c r="E3207" s="115"/>
      <c r="F3207" s="115"/>
      <c r="G3207" s="116"/>
      <c r="I3207" s="118"/>
      <c r="J3207" s="118"/>
      <c r="L3207" s="125"/>
    </row>
    <row r="3208" spans="1:12" x14ac:dyDescent="0.25">
      <c r="A3208" s="115"/>
      <c r="B3208" s="115"/>
      <c r="C3208" s="115"/>
      <c r="D3208" s="115"/>
      <c r="E3208" s="115"/>
      <c r="F3208" s="115"/>
      <c r="G3208" s="116"/>
      <c r="I3208" s="118"/>
      <c r="J3208" s="118"/>
      <c r="L3208" s="125"/>
    </row>
    <row r="3209" spans="1:12" x14ac:dyDescent="0.25">
      <c r="A3209" s="115"/>
      <c r="B3209" s="115"/>
      <c r="C3209" s="115"/>
      <c r="D3209" s="115"/>
      <c r="E3209" s="115"/>
      <c r="F3209" s="115"/>
      <c r="G3209" s="116"/>
      <c r="I3209" s="118"/>
      <c r="J3209" s="118"/>
      <c r="L3209" s="125"/>
    </row>
    <row r="3210" spans="1:12" x14ac:dyDescent="0.25">
      <c r="A3210" s="115"/>
      <c r="B3210" s="115"/>
      <c r="C3210" s="115"/>
      <c r="D3210" s="115"/>
      <c r="E3210" s="115"/>
      <c r="F3210" s="115"/>
      <c r="G3210" s="116"/>
      <c r="I3210" s="118"/>
      <c r="J3210" s="118"/>
      <c r="L3210" s="125"/>
    </row>
    <row r="3211" spans="1:12" x14ac:dyDescent="0.25">
      <c r="A3211" s="115"/>
      <c r="B3211" s="115"/>
      <c r="C3211" s="115"/>
      <c r="D3211" s="115"/>
      <c r="E3211" s="115"/>
      <c r="F3211" s="115"/>
      <c r="G3211" s="116"/>
      <c r="I3211" s="118"/>
      <c r="J3211" s="118"/>
      <c r="L3211" s="125"/>
    </row>
    <row r="3212" spans="1:12" x14ac:dyDescent="0.25">
      <c r="A3212" s="115"/>
      <c r="B3212" s="115"/>
      <c r="C3212" s="115"/>
      <c r="D3212" s="115"/>
      <c r="E3212" s="115"/>
      <c r="F3212" s="115"/>
      <c r="G3212" s="116"/>
      <c r="I3212" s="118"/>
      <c r="J3212" s="118"/>
      <c r="L3212" s="125"/>
    </row>
    <row r="3213" spans="1:12" x14ac:dyDescent="0.25">
      <c r="A3213" s="115"/>
      <c r="B3213" s="115"/>
      <c r="C3213" s="115"/>
      <c r="D3213" s="115"/>
      <c r="E3213" s="115"/>
      <c r="F3213" s="115"/>
      <c r="G3213" s="116"/>
      <c r="I3213" s="118"/>
      <c r="J3213" s="118"/>
      <c r="L3213" s="125"/>
    </row>
    <row r="3214" spans="1:12" x14ac:dyDescent="0.25">
      <c r="A3214" s="115"/>
      <c r="B3214" s="115"/>
      <c r="C3214" s="115"/>
      <c r="D3214" s="115"/>
      <c r="E3214" s="115"/>
      <c r="F3214" s="115"/>
      <c r="G3214" s="116"/>
      <c r="I3214" s="118"/>
      <c r="J3214" s="118"/>
      <c r="L3214" s="125"/>
    </row>
    <row r="3215" spans="1:12" x14ac:dyDescent="0.25">
      <c r="A3215" s="115"/>
      <c r="B3215" s="115"/>
      <c r="C3215" s="115"/>
      <c r="D3215" s="115"/>
      <c r="E3215" s="115"/>
      <c r="F3215" s="115"/>
      <c r="G3215" s="116"/>
      <c r="I3215" s="118"/>
      <c r="J3215" s="118"/>
      <c r="L3215" s="125"/>
    </row>
    <row r="3216" spans="1:12" x14ac:dyDescent="0.25">
      <c r="A3216" s="115"/>
      <c r="B3216" s="115"/>
      <c r="C3216" s="115"/>
      <c r="D3216" s="115"/>
      <c r="E3216" s="115"/>
      <c r="F3216" s="115"/>
      <c r="G3216" s="116"/>
      <c r="I3216" s="118"/>
      <c r="J3216" s="118"/>
      <c r="L3216" s="125"/>
    </row>
    <row r="3217" spans="1:12" x14ac:dyDescent="0.25">
      <c r="A3217" s="115"/>
      <c r="B3217" s="115"/>
      <c r="C3217" s="115"/>
      <c r="D3217" s="115"/>
      <c r="E3217" s="115"/>
      <c r="F3217" s="115"/>
      <c r="G3217" s="116"/>
      <c r="I3217" s="118"/>
      <c r="J3217" s="118"/>
      <c r="L3217" s="125"/>
    </row>
    <row r="3218" spans="1:12" x14ac:dyDescent="0.25">
      <c r="A3218" s="115"/>
      <c r="B3218" s="115"/>
      <c r="C3218" s="115"/>
      <c r="D3218" s="115"/>
      <c r="E3218" s="115"/>
      <c r="F3218" s="115"/>
      <c r="G3218" s="116"/>
      <c r="I3218" s="118"/>
      <c r="J3218" s="118"/>
      <c r="L3218" s="125"/>
    </row>
    <row r="3219" spans="1:12" x14ac:dyDescent="0.25">
      <c r="A3219" s="115"/>
      <c r="B3219" s="115"/>
      <c r="C3219" s="115"/>
      <c r="D3219" s="115"/>
      <c r="E3219" s="115"/>
      <c r="F3219" s="115"/>
      <c r="G3219" s="116"/>
      <c r="I3219" s="118"/>
      <c r="J3219" s="118"/>
      <c r="L3219" s="125"/>
    </row>
    <row r="3220" spans="1:12" x14ac:dyDescent="0.25">
      <c r="A3220" s="115"/>
      <c r="B3220" s="115"/>
      <c r="C3220" s="115"/>
      <c r="D3220" s="115"/>
      <c r="E3220" s="115"/>
      <c r="F3220" s="115"/>
      <c r="G3220" s="116"/>
      <c r="I3220" s="118"/>
      <c r="J3220" s="118"/>
      <c r="L3220" s="125"/>
    </row>
    <row r="3221" spans="1:12" x14ac:dyDescent="0.25">
      <c r="A3221" s="115"/>
      <c r="B3221" s="115"/>
      <c r="C3221" s="115"/>
      <c r="D3221" s="115"/>
      <c r="E3221" s="115"/>
      <c r="F3221" s="115"/>
      <c r="G3221" s="116"/>
      <c r="I3221" s="118"/>
      <c r="J3221" s="118"/>
      <c r="L3221" s="125"/>
    </row>
    <row r="3222" spans="1:12" x14ac:dyDescent="0.25">
      <c r="A3222" s="115"/>
      <c r="B3222" s="115"/>
      <c r="C3222" s="115"/>
      <c r="D3222" s="115"/>
      <c r="E3222" s="115"/>
      <c r="F3222" s="115"/>
      <c r="G3222" s="116"/>
      <c r="I3222" s="118"/>
      <c r="J3222" s="118"/>
      <c r="L3222" s="125"/>
    </row>
    <row r="3223" spans="1:12" x14ac:dyDescent="0.25">
      <c r="A3223" s="115"/>
      <c r="B3223" s="115"/>
      <c r="C3223" s="115"/>
      <c r="D3223" s="115"/>
      <c r="E3223" s="115"/>
      <c r="F3223" s="115"/>
      <c r="G3223" s="116"/>
      <c r="I3223" s="118"/>
      <c r="J3223" s="118"/>
      <c r="L3223" s="125"/>
    </row>
    <row r="3224" spans="1:12" x14ac:dyDescent="0.25">
      <c r="A3224" s="115"/>
      <c r="B3224" s="115"/>
      <c r="C3224" s="115"/>
      <c r="D3224" s="115"/>
      <c r="E3224" s="115"/>
      <c r="F3224" s="115"/>
      <c r="G3224" s="116"/>
      <c r="I3224" s="118"/>
      <c r="J3224" s="118"/>
      <c r="L3224" s="125"/>
    </row>
    <row r="3225" spans="1:12" x14ac:dyDescent="0.25">
      <c r="A3225" s="115"/>
      <c r="B3225" s="115"/>
      <c r="C3225" s="115"/>
      <c r="D3225" s="115"/>
      <c r="E3225" s="115"/>
      <c r="F3225" s="115"/>
      <c r="G3225" s="116"/>
      <c r="I3225" s="118"/>
      <c r="J3225" s="118"/>
      <c r="L3225" s="125"/>
    </row>
    <row r="3226" spans="1:12" x14ac:dyDescent="0.25">
      <c r="A3226" s="115"/>
      <c r="B3226" s="115"/>
      <c r="C3226" s="115"/>
      <c r="D3226" s="115"/>
      <c r="E3226" s="115"/>
      <c r="F3226" s="115"/>
      <c r="G3226" s="116"/>
      <c r="I3226" s="118"/>
      <c r="J3226" s="118"/>
      <c r="L3226" s="125"/>
    </row>
    <row r="3227" spans="1:12" x14ac:dyDescent="0.25">
      <c r="A3227" s="115"/>
      <c r="B3227" s="115"/>
      <c r="C3227" s="115"/>
      <c r="D3227" s="115"/>
      <c r="E3227" s="115"/>
      <c r="F3227" s="115"/>
      <c r="G3227" s="116"/>
      <c r="I3227" s="118"/>
      <c r="J3227" s="118"/>
      <c r="L3227" s="125"/>
    </row>
    <row r="3228" spans="1:12" x14ac:dyDescent="0.25">
      <c r="A3228" s="115"/>
      <c r="B3228" s="115"/>
      <c r="C3228" s="115"/>
      <c r="D3228" s="115"/>
      <c r="E3228" s="115"/>
      <c r="F3228" s="115"/>
      <c r="G3228" s="116"/>
      <c r="I3228" s="118"/>
      <c r="J3228" s="118"/>
      <c r="L3228" s="125"/>
    </row>
    <row r="3229" spans="1:12" x14ac:dyDescent="0.25">
      <c r="A3229" s="115"/>
      <c r="B3229" s="115"/>
      <c r="C3229" s="115"/>
      <c r="D3229" s="115"/>
      <c r="E3229" s="115"/>
      <c r="F3229" s="115"/>
      <c r="G3229" s="116"/>
      <c r="I3229" s="118"/>
      <c r="J3229" s="118"/>
      <c r="L3229" s="125"/>
    </row>
    <row r="3230" spans="1:12" x14ac:dyDescent="0.25">
      <c r="A3230" s="115"/>
      <c r="B3230" s="115"/>
      <c r="C3230" s="115"/>
      <c r="D3230" s="115"/>
      <c r="E3230" s="115"/>
      <c r="F3230" s="115"/>
      <c r="G3230" s="116"/>
      <c r="I3230" s="118"/>
      <c r="J3230" s="118"/>
      <c r="L3230" s="125"/>
    </row>
    <row r="3231" spans="1:12" x14ac:dyDescent="0.25">
      <c r="A3231" s="115"/>
      <c r="B3231" s="115"/>
      <c r="C3231" s="115"/>
      <c r="D3231" s="115"/>
      <c r="E3231" s="115"/>
      <c r="F3231" s="115"/>
      <c r="G3231" s="116"/>
      <c r="I3231" s="118"/>
      <c r="J3231" s="118"/>
      <c r="L3231" s="125"/>
    </row>
    <row r="3232" spans="1:12" x14ac:dyDescent="0.25">
      <c r="A3232" s="115"/>
      <c r="B3232" s="115"/>
      <c r="C3232" s="115"/>
      <c r="D3232" s="115"/>
      <c r="E3232" s="115"/>
      <c r="F3232" s="115"/>
      <c r="G3232" s="116"/>
      <c r="I3232" s="118"/>
      <c r="J3232" s="118"/>
      <c r="L3232" s="125"/>
    </row>
    <row r="3233" spans="1:12" x14ac:dyDescent="0.25">
      <c r="A3233" s="115"/>
      <c r="B3233" s="115"/>
      <c r="C3233" s="115"/>
      <c r="D3233" s="115"/>
      <c r="E3233" s="115"/>
      <c r="F3233" s="115"/>
      <c r="G3233" s="116"/>
      <c r="I3233" s="118"/>
      <c r="J3233" s="118"/>
      <c r="L3233" s="125"/>
    </row>
    <row r="3234" spans="1:12" x14ac:dyDescent="0.25">
      <c r="A3234" s="115"/>
      <c r="B3234" s="115"/>
      <c r="C3234" s="115"/>
      <c r="D3234" s="115"/>
      <c r="E3234" s="115"/>
      <c r="F3234" s="115"/>
      <c r="G3234" s="116"/>
      <c r="I3234" s="118"/>
      <c r="J3234" s="118"/>
      <c r="L3234" s="125"/>
    </row>
    <row r="3235" spans="1:12" x14ac:dyDescent="0.25">
      <c r="A3235" s="115"/>
      <c r="B3235" s="115"/>
      <c r="C3235" s="115"/>
      <c r="D3235" s="115"/>
      <c r="E3235" s="115"/>
      <c r="F3235" s="115"/>
      <c r="G3235" s="116"/>
      <c r="I3235" s="118"/>
      <c r="J3235" s="118"/>
      <c r="L3235" s="125"/>
    </row>
    <row r="3236" spans="1:12" x14ac:dyDescent="0.25">
      <c r="A3236" s="115"/>
      <c r="B3236" s="115"/>
      <c r="C3236" s="115"/>
      <c r="D3236" s="115"/>
      <c r="E3236" s="115"/>
      <c r="F3236" s="115"/>
      <c r="G3236" s="116"/>
      <c r="I3236" s="118"/>
      <c r="J3236" s="118"/>
      <c r="L3236" s="125"/>
    </row>
    <row r="3237" spans="1:12" x14ac:dyDescent="0.25">
      <c r="A3237" s="115"/>
      <c r="B3237" s="115"/>
      <c r="C3237" s="115"/>
      <c r="D3237" s="115"/>
      <c r="E3237" s="115"/>
      <c r="F3237" s="115"/>
      <c r="G3237" s="116"/>
      <c r="I3237" s="118"/>
      <c r="J3237" s="118"/>
      <c r="L3237" s="125"/>
    </row>
    <row r="3238" spans="1:12" x14ac:dyDescent="0.25">
      <c r="A3238" s="115"/>
      <c r="B3238" s="115"/>
      <c r="C3238" s="115"/>
      <c r="D3238" s="115"/>
      <c r="E3238" s="115"/>
      <c r="F3238" s="115"/>
      <c r="G3238" s="116"/>
      <c r="I3238" s="118"/>
      <c r="J3238" s="118"/>
      <c r="L3238" s="125"/>
    </row>
    <row r="3239" spans="1:12" x14ac:dyDescent="0.25">
      <c r="A3239" s="115"/>
      <c r="B3239" s="115"/>
      <c r="C3239" s="115"/>
      <c r="D3239" s="115"/>
      <c r="E3239" s="115"/>
      <c r="F3239" s="115"/>
      <c r="G3239" s="116"/>
      <c r="I3239" s="118"/>
      <c r="J3239" s="118"/>
      <c r="L3239" s="125"/>
    </row>
    <row r="3240" spans="1:12" x14ac:dyDescent="0.25">
      <c r="A3240" s="115"/>
      <c r="B3240" s="115"/>
      <c r="C3240" s="115"/>
      <c r="D3240" s="115"/>
      <c r="E3240" s="115"/>
      <c r="F3240" s="115"/>
      <c r="G3240" s="116"/>
      <c r="I3240" s="118"/>
      <c r="J3240" s="118"/>
      <c r="L3240" s="125"/>
    </row>
    <row r="3241" spans="1:12" x14ac:dyDescent="0.25">
      <c r="A3241" s="115"/>
      <c r="B3241" s="115"/>
      <c r="C3241" s="115"/>
      <c r="D3241" s="115"/>
      <c r="E3241" s="115"/>
      <c r="F3241" s="115"/>
      <c r="G3241" s="116"/>
      <c r="I3241" s="118"/>
      <c r="J3241" s="118"/>
      <c r="L3241" s="125"/>
    </row>
    <row r="3242" spans="1:12" x14ac:dyDescent="0.25">
      <c r="A3242" s="115"/>
      <c r="B3242" s="115"/>
      <c r="C3242" s="115"/>
      <c r="D3242" s="115"/>
      <c r="E3242" s="115"/>
      <c r="F3242" s="115"/>
      <c r="G3242" s="116"/>
      <c r="I3242" s="118"/>
      <c r="J3242" s="118"/>
      <c r="L3242" s="125"/>
    </row>
    <row r="3243" spans="1:12" x14ac:dyDescent="0.25">
      <c r="A3243" s="115"/>
      <c r="B3243" s="115"/>
      <c r="C3243" s="115"/>
      <c r="D3243" s="115"/>
      <c r="E3243" s="115"/>
      <c r="F3243" s="115"/>
      <c r="G3243" s="116"/>
      <c r="I3243" s="118"/>
      <c r="J3243" s="118"/>
      <c r="L3243" s="125"/>
    </row>
    <row r="3244" spans="1:12" x14ac:dyDescent="0.25">
      <c r="A3244" s="115"/>
      <c r="B3244" s="115"/>
      <c r="C3244" s="115"/>
      <c r="D3244" s="115"/>
      <c r="E3244" s="115"/>
      <c r="F3244" s="115"/>
      <c r="G3244" s="116"/>
      <c r="I3244" s="118"/>
      <c r="J3244" s="118"/>
      <c r="L3244" s="125"/>
    </row>
    <row r="3245" spans="1:12" x14ac:dyDescent="0.25">
      <c r="A3245" s="115"/>
      <c r="B3245" s="115"/>
      <c r="C3245" s="115"/>
      <c r="D3245" s="115"/>
      <c r="E3245" s="115"/>
      <c r="F3245" s="115"/>
      <c r="G3245" s="116"/>
      <c r="I3245" s="118"/>
      <c r="J3245" s="118"/>
      <c r="L3245" s="125"/>
    </row>
    <row r="3246" spans="1:12" x14ac:dyDescent="0.25">
      <c r="A3246" s="115"/>
      <c r="B3246" s="115"/>
      <c r="C3246" s="115"/>
      <c r="D3246" s="115"/>
      <c r="E3246" s="115"/>
      <c r="F3246" s="115"/>
      <c r="G3246" s="116"/>
      <c r="I3246" s="118"/>
      <c r="J3246" s="118"/>
      <c r="L3246" s="125"/>
    </row>
    <row r="3247" spans="1:12" x14ac:dyDescent="0.25">
      <c r="A3247" s="115"/>
      <c r="B3247" s="115"/>
      <c r="C3247" s="115"/>
      <c r="D3247" s="115"/>
      <c r="E3247" s="115"/>
      <c r="F3247" s="115"/>
      <c r="G3247" s="116"/>
      <c r="I3247" s="118"/>
      <c r="J3247" s="118"/>
      <c r="L3247" s="125"/>
    </row>
    <row r="3248" spans="1:12" x14ac:dyDescent="0.25">
      <c r="A3248" s="115"/>
      <c r="B3248" s="115"/>
      <c r="C3248" s="115"/>
      <c r="D3248" s="115"/>
      <c r="E3248" s="115"/>
      <c r="F3248" s="115"/>
      <c r="G3248" s="116"/>
      <c r="I3248" s="118"/>
      <c r="J3248" s="118"/>
      <c r="L3248" s="125"/>
    </row>
    <row r="3249" spans="1:12" x14ac:dyDescent="0.25">
      <c r="A3249" s="115"/>
      <c r="B3249" s="115"/>
      <c r="C3249" s="115"/>
      <c r="D3249" s="115"/>
      <c r="E3249" s="115"/>
      <c r="F3249" s="115"/>
      <c r="G3249" s="116"/>
      <c r="I3249" s="118"/>
      <c r="J3249" s="118"/>
      <c r="L3249" s="125"/>
    </row>
    <row r="3250" spans="1:12" x14ac:dyDescent="0.25">
      <c r="A3250" s="115"/>
      <c r="B3250" s="115"/>
      <c r="C3250" s="115"/>
      <c r="D3250" s="115"/>
      <c r="E3250" s="115"/>
      <c r="F3250" s="115"/>
      <c r="G3250" s="116"/>
      <c r="I3250" s="118"/>
      <c r="J3250" s="118"/>
      <c r="L3250" s="125"/>
    </row>
    <row r="3251" spans="1:12" x14ac:dyDescent="0.25">
      <c r="A3251" s="115"/>
      <c r="B3251" s="115"/>
      <c r="C3251" s="115"/>
      <c r="D3251" s="115"/>
      <c r="E3251" s="115"/>
      <c r="F3251" s="115"/>
      <c r="G3251" s="116"/>
      <c r="I3251" s="118"/>
      <c r="J3251" s="118"/>
      <c r="L3251" s="125"/>
    </row>
    <row r="3252" spans="1:12" x14ac:dyDescent="0.25">
      <c r="A3252" s="115"/>
      <c r="B3252" s="115"/>
      <c r="C3252" s="115"/>
      <c r="D3252" s="115"/>
      <c r="E3252" s="115"/>
      <c r="F3252" s="115"/>
      <c r="G3252" s="116"/>
      <c r="I3252" s="118"/>
      <c r="J3252" s="118"/>
      <c r="L3252" s="125"/>
    </row>
    <row r="3253" spans="1:12" x14ac:dyDescent="0.25">
      <c r="A3253" s="115"/>
      <c r="B3253" s="115"/>
      <c r="C3253" s="115"/>
      <c r="D3253" s="115"/>
      <c r="E3253" s="115"/>
      <c r="F3253" s="115"/>
      <c r="G3253" s="116"/>
      <c r="I3253" s="118"/>
      <c r="J3253" s="118"/>
      <c r="L3253" s="125"/>
    </row>
    <row r="3254" spans="1:12" x14ac:dyDescent="0.25">
      <c r="A3254" s="115"/>
      <c r="B3254" s="115"/>
      <c r="C3254" s="115"/>
      <c r="D3254" s="115"/>
      <c r="E3254" s="115"/>
      <c r="F3254" s="115"/>
      <c r="G3254" s="116"/>
      <c r="I3254" s="118"/>
      <c r="J3254" s="118"/>
      <c r="L3254" s="125"/>
    </row>
    <row r="3255" spans="1:12" x14ac:dyDescent="0.25">
      <c r="A3255" s="115"/>
      <c r="B3255" s="115"/>
      <c r="C3255" s="115"/>
      <c r="D3255" s="115"/>
      <c r="E3255" s="115"/>
      <c r="F3255" s="115"/>
      <c r="G3255" s="116"/>
      <c r="I3255" s="118"/>
      <c r="J3255" s="118"/>
      <c r="L3255" s="125"/>
    </row>
    <row r="3256" spans="1:12" x14ac:dyDescent="0.25">
      <c r="A3256" s="115"/>
      <c r="B3256" s="115"/>
      <c r="C3256" s="115"/>
      <c r="D3256" s="115"/>
      <c r="E3256" s="115"/>
      <c r="F3256" s="115"/>
      <c r="G3256" s="116"/>
      <c r="I3256" s="118"/>
      <c r="J3256" s="118"/>
      <c r="L3256" s="125"/>
    </row>
    <row r="3257" spans="1:12" x14ac:dyDescent="0.25">
      <c r="A3257" s="115"/>
      <c r="B3257" s="115"/>
      <c r="C3257" s="115"/>
      <c r="D3257" s="115"/>
      <c r="E3257" s="115"/>
      <c r="F3257" s="115"/>
      <c r="G3257" s="116"/>
      <c r="I3257" s="118"/>
      <c r="J3257" s="118"/>
      <c r="L3257" s="125"/>
    </row>
    <row r="3258" spans="1:12" x14ac:dyDescent="0.25">
      <c r="A3258" s="115"/>
      <c r="B3258" s="115"/>
      <c r="C3258" s="115"/>
      <c r="D3258" s="115"/>
      <c r="E3258" s="115"/>
      <c r="F3258" s="115"/>
      <c r="G3258" s="116"/>
      <c r="I3258" s="118"/>
      <c r="J3258" s="118"/>
      <c r="L3258" s="125"/>
    </row>
    <row r="3259" spans="1:12" x14ac:dyDescent="0.25">
      <c r="A3259" s="115"/>
      <c r="B3259" s="115"/>
      <c r="C3259" s="115"/>
      <c r="D3259" s="115"/>
      <c r="E3259" s="115"/>
      <c r="F3259" s="115"/>
      <c r="G3259" s="116"/>
      <c r="I3259" s="118"/>
      <c r="J3259" s="118"/>
      <c r="L3259" s="125"/>
    </row>
    <row r="3260" spans="1:12" x14ac:dyDescent="0.25">
      <c r="A3260" s="115"/>
      <c r="B3260" s="115"/>
      <c r="C3260" s="115"/>
      <c r="D3260" s="115"/>
      <c r="E3260" s="115"/>
      <c r="F3260" s="115"/>
      <c r="G3260" s="116"/>
      <c r="I3260" s="118"/>
      <c r="J3260" s="118"/>
      <c r="L3260" s="125"/>
    </row>
    <row r="3261" spans="1:12" x14ac:dyDescent="0.25">
      <c r="A3261" s="115"/>
      <c r="B3261" s="115"/>
      <c r="C3261" s="115"/>
      <c r="D3261" s="115"/>
      <c r="E3261" s="115"/>
      <c r="F3261" s="115"/>
      <c r="G3261" s="116"/>
      <c r="I3261" s="118"/>
      <c r="J3261" s="118"/>
      <c r="L3261" s="125"/>
    </row>
    <row r="3262" spans="1:12" x14ac:dyDescent="0.25">
      <c r="A3262" s="115"/>
      <c r="B3262" s="115"/>
      <c r="C3262" s="115"/>
      <c r="D3262" s="115"/>
      <c r="E3262" s="115"/>
      <c r="F3262" s="115"/>
      <c r="G3262" s="116"/>
      <c r="I3262" s="118"/>
      <c r="J3262" s="118"/>
      <c r="L3262" s="125"/>
    </row>
    <row r="3263" spans="1:12" x14ac:dyDescent="0.25">
      <c r="A3263" s="115"/>
      <c r="B3263" s="115"/>
      <c r="C3263" s="115"/>
      <c r="D3263" s="115"/>
      <c r="E3263" s="115"/>
      <c r="F3263" s="115"/>
      <c r="G3263" s="116"/>
      <c r="I3263" s="118"/>
      <c r="J3263" s="118"/>
      <c r="L3263" s="125"/>
    </row>
    <row r="3264" spans="1:12" x14ac:dyDescent="0.25">
      <c r="A3264" s="115"/>
      <c r="B3264" s="115"/>
      <c r="C3264" s="115"/>
      <c r="D3264" s="115"/>
      <c r="E3264" s="115"/>
      <c r="F3264" s="115"/>
      <c r="G3264" s="116"/>
      <c r="I3264" s="118"/>
      <c r="J3264" s="118"/>
      <c r="L3264" s="125"/>
    </row>
    <row r="3265" spans="1:12" x14ac:dyDescent="0.25">
      <c r="A3265" s="115"/>
      <c r="B3265" s="115"/>
      <c r="C3265" s="115"/>
      <c r="D3265" s="115"/>
      <c r="E3265" s="115"/>
      <c r="F3265" s="115"/>
      <c r="G3265" s="116"/>
      <c r="I3265" s="118"/>
      <c r="J3265" s="118"/>
      <c r="L3265" s="125"/>
    </row>
    <row r="3266" spans="1:12" x14ac:dyDescent="0.25">
      <c r="A3266" s="115"/>
      <c r="B3266" s="115"/>
      <c r="C3266" s="115"/>
      <c r="D3266" s="115"/>
      <c r="E3266" s="115"/>
      <c r="F3266" s="115"/>
      <c r="G3266" s="116"/>
      <c r="I3266" s="118"/>
      <c r="J3266" s="118"/>
      <c r="L3266" s="125"/>
    </row>
    <row r="3267" spans="1:12" x14ac:dyDescent="0.25">
      <c r="A3267" s="115"/>
      <c r="B3267" s="115"/>
      <c r="C3267" s="115"/>
      <c r="D3267" s="115"/>
      <c r="E3267" s="115"/>
      <c r="F3267" s="115"/>
      <c r="G3267" s="116"/>
      <c r="I3267" s="118"/>
      <c r="J3267" s="118"/>
      <c r="L3267" s="125"/>
    </row>
    <row r="3268" spans="1:12" x14ac:dyDescent="0.25">
      <c r="A3268" s="115"/>
      <c r="B3268" s="115"/>
      <c r="C3268" s="115"/>
      <c r="D3268" s="115"/>
      <c r="E3268" s="115"/>
      <c r="F3268" s="115"/>
      <c r="G3268" s="116"/>
      <c r="I3268" s="118"/>
      <c r="J3268" s="118"/>
      <c r="L3268" s="125"/>
    </row>
    <row r="3269" spans="1:12" x14ac:dyDescent="0.25">
      <c r="A3269" s="115"/>
      <c r="B3269" s="115"/>
      <c r="C3269" s="115"/>
      <c r="D3269" s="115"/>
      <c r="E3269" s="115"/>
      <c r="F3269" s="115"/>
      <c r="G3269" s="116"/>
      <c r="I3269" s="118"/>
      <c r="J3269" s="118"/>
      <c r="L3269" s="125"/>
    </row>
    <row r="3270" spans="1:12" x14ac:dyDescent="0.25">
      <c r="A3270" s="115"/>
      <c r="B3270" s="115"/>
      <c r="C3270" s="115"/>
      <c r="D3270" s="115"/>
      <c r="E3270" s="115"/>
      <c r="F3270" s="115"/>
      <c r="G3270" s="116"/>
      <c r="I3270" s="118"/>
      <c r="J3270" s="118"/>
      <c r="L3270" s="125"/>
    </row>
    <row r="3271" spans="1:12" x14ac:dyDescent="0.25">
      <c r="A3271" s="115"/>
      <c r="B3271" s="115"/>
      <c r="C3271" s="115"/>
      <c r="D3271" s="115"/>
      <c r="E3271" s="115"/>
      <c r="F3271" s="115"/>
      <c r="G3271" s="116"/>
      <c r="I3271" s="118"/>
      <c r="J3271" s="118"/>
      <c r="L3271" s="125"/>
    </row>
    <row r="3272" spans="1:12" x14ac:dyDescent="0.25">
      <c r="A3272" s="115"/>
      <c r="B3272" s="115"/>
      <c r="C3272" s="115"/>
      <c r="D3272" s="115"/>
      <c r="E3272" s="115"/>
      <c r="F3272" s="115"/>
      <c r="G3272" s="116"/>
      <c r="I3272" s="118"/>
      <c r="J3272" s="118"/>
      <c r="L3272" s="125"/>
    </row>
    <row r="3273" spans="1:12" x14ac:dyDescent="0.25">
      <c r="A3273" s="115"/>
      <c r="B3273" s="115"/>
      <c r="C3273" s="115"/>
      <c r="D3273" s="115"/>
      <c r="E3273" s="115"/>
      <c r="F3273" s="115"/>
      <c r="G3273" s="116"/>
      <c r="I3273" s="118"/>
      <c r="J3273" s="118"/>
      <c r="L3273" s="125"/>
    </row>
    <row r="3274" spans="1:12" x14ac:dyDescent="0.25">
      <c r="A3274" s="115"/>
      <c r="B3274" s="115"/>
      <c r="C3274" s="115"/>
      <c r="D3274" s="115"/>
      <c r="E3274" s="115"/>
      <c r="F3274" s="115"/>
      <c r="G3274" s="116"/>
      <c r="I3274" s="118"/>
      <c r="J3274" s="118"/>
      <c r="L3274" s="125"/>
    </row>
    <row r="3275" spans="1:12" x14ac:dyDescent="0.25">
      <c r="A3275" s="115"/>
      <c r="B3275" s="115"/>
      <c r="C3275" s="115"/>
      <c r="D3275" s="115"/>
      <c r="E3275" s="115"/>
      <c r="F3275" s="115"/>
      <c r="G3275" s="116"/>
      <c r="I3275" s="118"/>
      <c r="J3275" s="118"/>
      <c r="L3275" s="125"/>
    </row>
    <row r="3276" spans="1:12" x14ac:dyDescent="0.25">
      <c r="A3276" s="115"/>
      <c r="B3276" s="115"/>
      <c r="C3276" s="115"/>
      <c r="D3276" s="115"/>
      <c r="E3276" s="115"/>
      <c r="F3276" s="115"/>
      <c r="G3276" s="116"/>
      <c r="I3276" s="118"/>
      <c r="J3276" s="118"/>
      <c r="L3276" s="125"/>
    </row>
    <row r="3277" spans="1:12" x14ac:dyDescent="0.25">
      <c r="A3277" s="115"/>
      <c r="B3277" s="115"/>
      <c r="C3277" s="115"/>
      <c r="D3277" s="115"/>
      <c r="E3277" s="115"/>
      <c r="F3277" s="115"/>
      <c r="G3277" s="116"/>
      <c r="I3277" s="118"/>
      <c r="J3277" s="118"/>
      <c r="L3277" s="125"/>
    </row>
    <row r="3278" spans="1:12" x14ac:dyDescent="0.25">
      <c r="A3278" s="115"/>
      <c r="B3278" s="115"/>
      <c r="C3278" s="115"/>
      <c r="D3278" s="115"/>
      <c r="E3278" s="115"/>
      <c r="F3278" s="115"/>
      <c r="G3278" s="116"/>
      <c r="I3278" s="118"/>
      <c r="J3278" s="118"/>
      <c r="L3278" s="125"/>
    </row>
    <row r="3279" spans="1:12" x14ac:dyDescent="0.25">
      <c r="A3279" s="115"/>
      <c r="B3279" s="115"/>
      <c r="C3279" s="115"/>
      <c r="D3279" s="115"/>
      <c r="E3279" s="115"/>
      <c r="F3279" s="115"/>
      <c r="G3279" s="116"/>
      <c r="I3279" s="118"/>
      <c r="J3279" s="118"/>
      <c r="L3279" s="125"/>
    </row>
    <row r="3280" spans="1:12" x14ac:dyDescent="0.25">
      <c r="A3280" s="115"/>
      <c r="B3280" s="115"/>
      <c r="C3280" s="115"/>
      <c r="D3280" s="115"/>
      <c r="E3280" s="115"/>
      <c r="F3280" s="115"/>
      <c r="G3280" s="116"/>
      <c r="I3280" s="118"/>
      <c r="J3280" s="118"/>
      <c r="L3280" s="125"/>
    </row>
    <row r="3281" spans="1:12" x14ac:dyDescent="0.25">
      <c r="A3281" s="115"/>
      <c r="B3281" s="115"/>
      <c r="C3281" s="115"/>
      <c r="D3281" s="115"/>
      <c r="E3281" s="115"/>
      <c r="F3281" s="115"/>
      <c r="G3281" s="116"/>
      <c r="I3281" s="118"/>
      <c r="J3281" s="118"/>
      <c r="L3281" s="125"/>
    </row>
    <row r="3282" spans="1:12" x14ac:dyDescent="0.25">
      <c r="A3282" s="115"/>
      <c r="B3282" s="115"/>
      <c r="C3282" s="115"/>
      <c r="D3282" s="115"/>
      <c r="E3282" s="115"/>
      <c r="F3282" s="115"/>
      <c r="G3282" s="116"/>
      <c r="I3282" s="118"/>
      <c r="J3282" s="118"/>
      <c r="L3282" s="125"/>
    </row>
    <row r="3283" spans="1:12" x14ac:dyDescent="0.25">
      <c r="A3283" s="115"/>
      <c r="B3283" s="115"/>
      <c r="C3283" s="115"/>
      <c r="D3283" s="115"/>
      <c r="E3283" s="115"/>
      <c r="F3283" s="115"/>
      <c r="G3283" s="116"/>
      <c r="I3283" s="118"/>
      <c r="J3283" s="118"/>
      <c r="L3283" s="125"/>
    </row>
    <row r="3284" spans="1:12" x14ac:dyDescent="0.25">
      <c r="A3284" s="115"/>
      <c r="B3284" s="115"/>
      <c r="C3284" s="115"/>
      <c r="D3284" s="115"/>
      <c r="E3284" s="115"/>
      <c r="F3284" s="115"/>
      <c r="G3284" s="116"/>
      <c r="I3284" s="118"/>
      <c r="J3284" s="118"/>
      <c r="L3284" s="125"/>
    </row>
    <row r="3285" spans="1:12" x14ac:dyDescent="0.25">
      <c r="A3285" s="115"/>
      <c r="B3285" s="115"/>
      <c r="C3285" s="115"/>
      <c r="D3285" s="115"/>
      <c r="E3285" s="115"/>
      <c r="F3285" s="115"/>
      <c r="G3285" s="116"/>
      <c r="I3285" s="118"/>
      <c r="J3285" s="118"/>
      <c r="L3285" s="125"/>
    </row>
    <row r="3286" spans="1:12" x14ac:dyDescent="0.25">
      <c r="A3286" s="115"/>
      <c r="B3286" s="115"/>
      <c r="C3286" s="115"/>
      <c r="D3286" s="115"/>
      <c r="E3286" s="115"/>
      <c r="F3286" s="115"/>
      <c r="G3286" s="116"/>
      <c r="I3286" s="118"/>
      <c r="J3286" s="118"/>
      <c r="L3286" s="125"/>
    </row>
    <row r="3287" spans="1:12" x14ac:dyDescent="0.25">
      <c r="A3287" s="115"/>
      <c r="B3287" s="115"/>
      <c r="C3287" s="115"/>
      <c r="D3287" s="115"/>
      <c r="E3287" s="115"/>
      <c r="F3287" s="115"/>
      <c r="G3287" s="116"/>
      <c r="I3287" s="118"/>
      <c r="J3287" s="118"/>
      <c r="L3287" s="125"/>
    </row>
    <row r="3288" spans="1:12" x14ac:dyDescent="0.25">
      <c r="A3288" s="115"/>
      <c r="B3288" s="115"/>
      <c r="C3288" s="115"/>
      <c r="D3288" s="115"/>
      <c r="E3288" s="115"/>
      <c r="F3288" s="115"/>
      <c r="G3288" s="116"/>
      <c r="I3288" s="118"/>
      <c r="J3288" s="118"/>
      <c r="L3288" s="125"/>
    </row>
    <row r="3289" spans="1:12" x14ac:dyDescent="0.25">
      <c r="A3289" s="115"/>
      <c r="B3289" s="115"/>
      <c r="C3289" s="115"/>
      <c r="D3289" s="115"/>
      <c r="E3289" s="115"/>
      <c r="F3289" s="115"/>
      <c r="G3289" s="116"/>
      <c r="I3289" s="118"/>
      <c r="J3289" s="118"/>
      <c r="L3289" s="125"/>
    </row>
    <row r="3290" spans="1:12" x14ac:dyDescent="0.25">
      <c r="A3290" s="115"/>
      <c r="B3290" s="115"/>
      <c r="C3290" s="115"/>
      <c r="D3290" s="115"/>
      <c r="E3290" s="115"/>
      <c r="F3290" s="115"/>
      <c r="G3290" s="116"/>
      <c r="I3290" s="118"/>
      <c r="J3290" s="118"/>
      <c r="L3290" s="125"/>
    </row>
    <row r="3291" spans="1:12" x14ac:dyDescent="0.25">
      <c r="A3291" s="115"/>
      <c r="B3291" s="115"/>
      <c r="C3291" s="115"/>
      <c r="D3291" s="115"/>
      <c r="E3291" s="115"/>
      <c r="F3291" s="115"/>
      <c r="G3291" s="116"/>
      <c r="I3291" s="118"/>
      <c r="J3291" s="118"/>
      <c r="L3291" s="125"/>
    </row>
    <row r="3292" spans="1:12" x14ac:dyDescent="0.25">
      <c r="A3292" s="115"/>
      <c r="B3292" s="115"/>
      <c r="C3292" s="115"/>
      <c r="D3292" s="115"/>
      <c r="E3292" s="115"/>
      <c r="F3292" s="115"/>
      <c r="G3292" s="116"/>
      <c r="I3292" s="118"/>
      <c r="J3292" s="118"/>
      <c r="L3292" s="125"/>
    </row>
    <row r="3293" spans="1:12" x14ac:dyDescent="0.25">
      <c r="A3293" s="115"/>
      <c r="B3293" s="115"/>
      <c r="C3293" s="115"/>
      <c r="D3293" s="115"/>
      <c r="E3293" s="115"/>
      <c r="F3293" s="115"/>
      <c r="G3293" s="116"/>
      <c r="I3293" s="118"/>
      <c r="J3293" s="118"/>
      <c r="L3293" s="125"/>
    </row>
    <row r="3294" spans="1:12" x14ac:dyDescent="0.25">
      <c r="A3294" s="115"/>
      <c r="B3294" s="115"/>
      <c r="C3294" s="115"/>
      <c r="D3294" s="115"/>
      <c r="E3294" s="115"/>
      <c r="F3294" s="115"/>
      <c r="G3294" s="116"/>
      <c r="I3294" s="118"/>
      <c r="J3294" s="118"/>
      <c r="L3294" s="125"/>
    </row>
    <row r="3295" spans="1:12" x14ac:dyDescent="0.25">
      <c r="A3295" s="115"/>
      <c r="B3295" s="115"/>
      <c r="C3295" s="115"/>
      <c r="D3295" s="115"/>
      <c r="E3295" s="115"/>
      <c r="F3295" s="115"/>
      <c r="G3295" s="116"/>
      <c r="I3295" s="118"/>
      <c r="J3295" s="118"/>
      <c r="L3295" s="125"/>
    </row>
    <row r="3296" spans="1:12" x14ac:dyDescent="0.25">
      <c r="A3296" s="115"/>
      <c r="B3296" s="115"/>
      <c r="C3296" s="115"/>
      <c r="D3296" s="115"/>
      <c r="E3296" s="115"/>
      <c r="F3296" s="115"/>
      <c r="G3296" s="116"/>
      <c r="I3296" s="118"/>
      <c r="J3296" s="118"/>
      <c r="L3296" s="125"/>
    </row>
    <row r="3297" spans="1:12" x14ac:dyDescent="0.25">
      <c r="A3297" s="115"/>
      <c r="B3297" s="115"/>
      <c r="C3297" s="115"/>
      <c r="D3297" s="115"/>
      <c r="E3297" s="115"/>
      <c r="F3297" s="115"/>
      <c r="G3297" s="116"/>
      <c r="I3297" s="118"/>
      <c r="J3297" s="118"/>
      <c r="L3297" s="125"/>
    </row>
    <row r="3298" spans="1:12" x14ac:dyDescent="0.25">
      <c r="A3298" s="115"/>
      <c r="B3298" s="115"/>
      <c r="C3298" s="115"/>
      <c r="D3298" s="115"/>
      <c r="E3298" s="115"/>
      <c r="F3298" s="115"/>
      <c r="G3298" s="116"/>
      <c r="I3298" s="118"/>
      <c r="J3298" s="118"/>
      <c r="L3298" s="125"/>
    </row>
    <row r="3299" spans="1:12" x14ac:dyDescent="0.25">
      <c r="A3299" s="115"/>
      <c r="B3299" s="115"/>
      <c r="C3299" s="115"/>
      <c r="D3299" s="115"/>
      <c r="E3299" s="115"/>
      <c r="F3299" s="115"/>
      <c r="G3299" s="116"/>
      <c r="I3299" s="118"/>
      <c r="J3299" s="118"/>
      <c r="L3299" s="125"/>
    </row>
    <row r="3300" spans="1:12" x14ac:dyDescent="0.25">
      <c r="A3300" s="115"/>
      <c r="B3300" s="115"/>
      <c r="C3300" s="115"/>
      <c r="D3300" s="115"/>
      <c r="E3300" s="115"/>
      <c r="F3300" s="115"/>
      <c r="G3300" s="116"/>
      <c r="I3300" s="118"/>
      <c r="J3300" s="118"/>
      <c r="L3300" s="125"/>
    </row>
    <row r="3301" spans="1:12" x14ac:dyDescent="0.25">
      <c r="A3301" s="115"/>
      <c r="B3301" s="115"/>
      <c r="C3301" s="115"/>
      <c r="D3301" s="115"/>
      <c r="E3301" s="115"/>
      <c r="F3301" s="115"/>
      <c r="G3301" s="116"/>
      <c r="I3301" s="118"/>
      <c r="J3301" s="118"/>
      <c r="L3301" s="125"/>
    </row>
    <row r="3302" spans="1:12" x14ac:dyDescent="0.25">
      <c r="A3302" s="115"/>
      <c r="B3302" s="115"/>
      <c r="C3302" s="115"/>
      <c r="D3302" s="115"/>
      <c r="E3302" s="115"/>
      <c r="F3302" s="115"/>
      <c r="G3302" s="116"/>
      <c r="I3302" s="118"/>
      <c r="J3302" s="118"/>
      <c r="L3302" s="125"/>
    </row>
    <row r="3303" spans="1:12" x14ac:dyDescent="0.25">
      <c r="A3303" s="115"/>
      <c r="B3303" s="115"/>
      <c r="C3303" s="115"/>
      <c r="D3303" s="115"/>
      <c r="E3303" s="115"/>
      <c r="F3303" s="115"/>
      <c r="G3303" s="116"/>
      <c r="I3303" s="118"/>
      <c r="J3303" s="118"/>
      <c r="L3303" s="125"/>
    </row>
    <row r="3304" spans="1:12" x14ac:dyDescent="0.25">
      <c r="A3304" s="115"/>
      <c r="B3304" s="115"/>
      <c r="C3304" s="115"/>
      <c r="D3304" s="115"/>
      <c r="E3304" s="115"/>
      <c r="F3304" s="115"/>
      <c r="G3304" s="116"/>
      <c r="I3304" s="118"/>
      <c r="J3304" s="118"/>
      <c r="L3304" s="125"/>
    </row>
    <row r="3305" spans="1:12" x14ac:dyDescent="0.25">
      <c r="A3305" s="115"/>
      <c r="B3305" s="115"/>
      <c r="C3305" s="115"/>
      <c r="D3305" s="115"/>
      <c r="E3305" s="115"/>
      <c r="F3305" s="115"/>
      <c r="G3305" s="116"/>
      <c r="I3305" s="118"/>
      <c r="J3305" s="118"/>
      <c r="L3305" s="125"/>
    </row>
    <row r="3306" spans="1:12" x14ac:dyDescent="0.25">
      <c r="A3306" s="115"/>
      <c r="B3306" s="115"/>
      <c r="C3306" s="115"/>
      <c r="D3306" s="115"/>
      <c r="E3306" s="115"/>
      <c r="F3306" s="115"/>
      <c r="G3306" s="116"/>
      <c r="I3306" s="118"/>
      <c r="J3306" s="118"/>
      <c r="L3306" s="125"/>
    </row>
    <row r="3307" spans="1:12" x14ac:dyDescent="0.25">
      <c r="A3307" s="115"/>
      <c r="B3307" s="115"/>
      <c r="C3307" s="115"/>
      <c r="D3307" s="115"/>
      <c r="E3307" s="115"/>
      <c r="F3307" s="115"/>
      <c r="G3307" s="116"/>
      <c r="I3307" s="118"/>
      <c r="J3307" s="118"/>
      <c r="L3307" s="125"/>
    </row>
    <row r="3308" spans="1:12" x14ac:dyDescent="0.25">
      <c r="A3308" s="115"/>
      <c r="B3308" s="115"/>
      <c r="C3308" s="115"/>
      <c r="D3308" s="115"/>
      <c r="E3308" s="115"/>
      <c r="F3308" s="115"/>
      <c r="G3308" s="116"/>
      <c r="I3308" s="118"/>
      <c r="J3308" s="118"/>
      <c r="L3308" s="125"/>
    </row>
    <row r="3309" spans="1:12" x14ac:dyDescent="0.25">
      <c r="A3309" s="115"/>
      <c r="B3309" s="115"/>
      <c r="C3309" s="115"/>
      <c r="D3309" s="115"/>
      <c r="E3309" s="115"/>
      <c r="F3309" s="115"/>
      <c r="G3309" s="116"/>
      <c r="I3309" s="118"/>
      <c r="J3309" s="118"/>
      <c r="L3309" s="125"/>
    </row>
    <row r="3310" spans="1:12" x14ac:dyDescent="0.25">
      <c r="A3310" s="115"/>
      <c r="B3310" s="115"/>
      <c r="C3310" s="115"/>
      <c r="D3310" s="115"/>
      <c r="E3310" s="115"/>
      <c r="F3310" s="115"/>
      <c r="G3310" s="116"/>
      <c r="I3310" s="118"/>
      <c r="J3310" s="118"/>
      <c r="L3310" s="125"/>
    </row>
    <row r="3311" spans="1:12" x14ac:dyDescent="0.25">
      <c r="A3311" s="115"/>
      <c r="B3311" s="115"/>
      <c r="C3311" s="115"/>
      <c r="D3311" s="115"/>
      <c r="E3311" s="115"/>
      <c r="F3311" s="115"/>
      <c r="G3311" s="116"/>
      <c r="I3311" s="118"/>
      <c r="J3311" s="118"/>
      <c r="L3311" s="125"/>
    </row>
    <row r="3312" spans="1:12" x14ac:dyDescent="0.25">
      <c r="A3312" s="115"/>
      <c r="B3312" s="115"/>
      <c r="C3312" s="115"/>
      <c r="D3312" s="115"/>
      <c r="E3312" s="115"/>
      <c r="F3312" s="115"/>
      <c r="G3312" s="116"/>
      <c r="I3312" s="118"/>
      <c r="J3312" s="118"/>
      <c r="L3312" s="125"/>
    </row>
    <row r="3313" spans="1:12" x14ac:dyDescent="0.25">
      <c r="A3313" s="115"/>
      <c r="B3313" s="115"/>
      <c r="C3313" s="115"/>
      <c r="D3313" s="115"/>
      <c r="E3313" s="115"/>
      <c r="F3313" s="115"/>
      <c r="G3313" s="116"/>
      <c r="I3313" s="118"/>
      <c r="J3313" s="118"/>
      <c r="L3313" s="125"/>
    </row>
    <row r="3314" spans="1:12" x14ac:dyDescent="0.25">
      <c r="A3314" s="115"/>
      <c r="B3314" s="115"/>
      <c r="C3314" s="115"/>
      <c r="D3314" s="115"/>
      <c r="E3314" s="115"/>
      <c r="F3314" s="115"/>
      <c r="G3314" s="116"/>
      <c r="I3314" s="118"/>
      <c r="J3314" s="118"/>
      <c r="L3314" s="125"/>
    </row>
    <row r="3315" spans="1:12" x14ac:dyDescent="0.25">
      <c r="A3315" s="115"/>
      <c r="B3315" s="115"/>
      <c r="C3315" s="115"/>
      <c r="D3315" s="115"/>
      <c r="E3315" s="115"/>
      <c r="F3315" s="115"/>
      <c r="G3315" s="116"/>
      <c r="I3315" s="118"/>
      <c r="J3315" s="118"/>
      <c r="L3315" s="125"/>
    </row>
    <row r="3316" spans="1:12" x14ac:dyDescent="0.25">
      <c r="A3316" s="115"/>
      <c r="B3316" s="115"/>
      <c r="C3316" s="115"/>
      <c r="D3316" s="115"/>
      <c r="E3316" s="115"/>
      <c r="F3316" s="115"/>
      <c r="G3316" s="116"/>
      <c r="I3316" s="118"/>
      <c r="J3316" s="118"/>
      <c r="L3316" s="125"/>
    </row>
    <row r="3317" spans="1:12" x14ac:dyDescent="0.25">
      <c r="A3317" s="115"/>
      <c r="B3317" s="115"/>
      <c r="C3317" s="115"/>
      <c r="D3317" s="115"/>
      <c r="E3317" s="115"/>
      <c r="F3317" s="115"/>
      <c r="G3317" s="116"/>
      <c r="I3317" s="118"/>
      <c r="J3317" s="118"/>
      <c r="L3317" s="125"/>
    </row>
    <row r="3318" spans="1:12" x14ac:dyDescent="0.25">
      <c r="A3318" s="115"/>
      <c r="B3318" s="115"/>
      <c r="C3318" s="115"/>
      <c r="D3318" s="115"/>
      <c r="E3318" s="115"/>
      <c r="F3318" s="115"/>
      <c r="G3318" s="116"/>
      <c r="I3318" s="118"/>
      <c r="J3318" s="118"/>
      <c r="L3318" s="125"/>
    </row>
    <row r="3319" spans="1:12" x14ac:dyDescent="0.25">
      <c r="A3319" s="115"/>
      <c r="B3319" s="115"/>
      <c r="C3319" s="115"/>
      <c r="D3319" s="115"/>
      <c r="E3319" s="115"/>
      <c r="F3319" s="115"/>
      <c r="G3319" s="116"/>
      <c r="I3319" s="118"/>
      <c r="J3319" s="118"/>
      <c r="L3319" s="125"/>
    </row>
    <row r="3320" spans="1:12" x14ac:dyDescent="0.25">
      <c r="A3320" s="115"/>
      <c r="B3320" s="115"/>
      <c r="C3320" s="115"/>
      <c r="D3320" s="115"/>
      <c r="E3320" s="115"/>
      <c r="F3320" s="115"/>
      <c r="G3320" s="116"/>
      <c r="I3320" s="118"/>
      <c r="J3320" s="118"/>
      <c r="L3320" s="125"/>
    </row>
    <row r="3321" spans="1:12" x14ac:dyDescent="0.25">
      <c r="A3321" s="115"/>
      <c r="B3321" s="115"/>
      <c r="C3321" s="115"/>
      <c r="D3321" s="115"/>
      <c r="E3321" s="115"/>
      <c r="F3321" s="115"/>
      <c r="G3321" s="116"/>
      <c r="I3321" s="118"/>
      <c r="J3321" s="118"/>
      <c r="L3321" s="125"/>
    </row>
    <row r="3322" spans="1:12" x14ac:dyDescent="0.25">
      <c r="A3322" s="115"/>
      <c r="B3322" s="115"/>
      <c r="C3322" s="115"/>
      <c r="D3322" s="115"/>
      <c r="E3322" s="115"/>
      <c r="F3322" s="115"/>
      <c r="G3322" s="116"/>
      <c r="I3322" s="118"/>
      <c r="J3322" s="118"/>
      <c r="L3322" s="125"/>
    </row>
    <row r="3323" spans="1:12" x14ac:dyDescent="0.25">
      <c r="A3323" s="115"/>
      <c r="B3323" s="115"/>
      <c r="C3323" s="115"/>
      <c r="D3323" s="115"/>
      <c r="E3323" s="115"/>
      <c r="F3323" s="115"/>
      <c r="G3323" s="116"/>
      <c r="I3323" s="118"/>
      <c r="J3323" s="118"/>
      <c r="L3323" s="125"/>
    </row>
    <row r="3324" spans="1:12" x14ac:dyDescent="0.25">
      <c r="A3324" s="115"/>
      <c r="B3324" s="115"/>
      <c r="C3324" s="115"/>
      <c r="D3324" s="115"/>
      <c r="E3324" s="115"/>
      <c r="F3324" s="115"/>
      <c r="G3324" s="116"/>
      <c r="I3324" s="118"/>
      <c r="J3324" s="118"/>
      <c r="L3324" s="125"/>
    </row>
    <row r="3325" spans="1:12" x14ac:dyDescent="0.25">
      <c r="A3325" s="115"/>
      <c r="B3325" s="115"/>
      <c r="C3325" s="115"/>
      <c r="D3325" s="115"/>
      <c r="E3325" s="115"/>
      <c r="F3325" s="115"/>
      <c r="G3325" s="116"/>
      <c r="I3325" s="118"/>
      <c r="J3325" s="118"/>
      <c r="L3325" s="125"/>
    </row>
    <row r="3326" spans="1:12" x14ac:dyDescent="0.25">
      <c r="A3326" s="115"/>
      <c r="B3326" s="115"/>
      <c r="C3326" s="115"/>
      <c r="D3326" s="115"/>
      <c r="E3326" s="115"/>
      <c r="F3326" s="115"/>
      <c r="G3326" s="116"/>
      <c r="I3326" s="118"/>
      <c r="J3326" s="118"/>
      <c r="L3326" s="125"/>
    </row>
    <row r="3327" spans="1:12" x14ac:dyDescent="0.25">
      <c r="A3327" s="115"/>
      <c r="B3327" s="115"/>
      <c r="C3327" s="115"/>
      <c r="D3327" s="115"/>
      <c r="E3327" s="115"/>
      <c r="F3327" s="115"/>
      <c r="G3327" s="116"/>
      <c r="I3327" s="118"/>
      <c r="J3327" s="118"/>
      <c r="L3327" s="125"/>
    </row>
    <row r="3328" spans="1:12" x14ac:dyDescent="0.25">
      <c r="A3328" s="115"/>
      <c r="B3328" s="115"/>
      <c r="C3328" s="115"/>
      <c r="D3328" s="115"/>
      <c r="E3328" s="115"/>
      <c r="F3328" s="115"/>
      <c r="G3328" s="116"/>
      <c r="I3328" s="118"/>
      <c r="J3328" s="118"/>
      <c r="L3328" s="125"/>
    </row>
    <row r="3329" spans="1:12" x14ac:dyDescent="0.25">
      <c r="A3329" s="115"/>
      <c r="B3329" s="115"/>
      <c r="C3329" s="115"/>
      <c r="D3329" s="115"/>
      <c r="E3329" s="115"/>
      <c r="F3329" s="115"/>
      <c r="G3329" s="116"/>
      <c r="I3329" s="118"/>
      <c r="J3329" s="118"/>
      <c r="L3329" s="125"/>
    </row>
    <row r="3330" spans="1:12" x14ac:dyDescent="0.25">
      <c r="A3330" s="115"/>
      <c r="B3330" s="115"/>
      <c r="C3330" s="115"/>
      <c r="D3330" s="115"/>
      <c r="E3330" s="115"/>
      <c r="F3330" s="115"/>
      <c r="G3330" s="116"/>
      <c r="I3330" s="118"/>
      <c r="J3330" s="118"/>
      <c r="L3330" s="125"/>
    </row>
    <row r="3331" spans="1:12" x14ac:dyDescent="0.25">
      <c r="A3331" s="115"/>
      <c r="B3331" s="115"/>
      <c r="C3331" s="115"/>
      <c r="D3331" s="115"/>
      <c r="E3331" s="115"/>
      <c r="F3331" s="115"/>
      <c r="G3331" s="116"/>
      <c r="I3331" s="118"/>
      <c r="J3331" s="118"/>
      <c r="L3331" s="125"/>
    </row>
    <row r="3332" spans="1:12" x14ac:dyDescent="0.25">
      <c r="A3332" s="115"/>
      <c r="B3332" s="115"/>
      <c r="C3332" s="115"/>
      <c r="D3332" s="115"/>
      <c r="E3332" s="115"/>
      <c r="F3332" s="115"/>
      <c r="G3332" s="116"/>
      <c r="I3332" s="118"/>
      <c r="J3332" s="118"/>
      <c r="L3332" s="125"/>
    </row>
    <row r="3333" spans="1:12" x14ac:dyDescent="0.25">
      <c r="A3333" s="115"/>
      <c r="B3333" s="115"/>
      <c r="C3333" s="115"/>
      <c r="D3333" s="115"/>
      <c r="E3333" s="115"/>
      <c r="F3333" s="115"/>
      <c r="G3333" s="116"/>
      <c r="I3333" s="118"/>
      <c r="J3333" s="118"/>
      <c r="L3333" s="125"/>
    </row>
    <row r="3334" spans="1:12" x14ac:dyDescent="0.25">
      <c r="A3334" s="115"/>
      <c r="B3334" s="115"/>
      <c r="C3334" s="115"/>
      <c r="D3334" s="115"/>
      <c r="E3334" s="115"/>
      <c r="F3334" s="115"/>
      <c r="G3334" s="116"/>
      <c r="I3334" s="118"/>
      <c r="J3334" s="118"/>
      <c r="L3334" s="125"/>
    </row>
    <row r="3335" spans="1:12" x14ac:dyDescent="0.25">
      <c r="A3335" s="115"/>
      <c r="B3335" s="115"/>
      <c r="C3335" s="115"/>
      <c r="D3335" s="115"/>
      <c r="E3335" s="115"/>
      <c r="F3335" s="115"/>
      <c r="G3335" s="116"/>
      <c r="I3335" s="118"/>
      <c r="J3335" s="118"/>
      <c r="L3335" s="125"/>
    </row>
    <row r="3336" spans="1:12" x14ac:dyDescent="0.25">
      <c r="A3336" s="115"/>
      <c r="B3336" s="115"/>
      <c r="C3336" s="115"/>
      <c r="D3336" s="115"/>
      <c r="E3336" s="115"/>
      <c r="F3336" s="115"/>
      <c r="G3336" s="116"/>
      <c r="I3336" s="118"/>
      <c r="J3336" s="118"/>
      <c r="L3336" s="125"/>
    </row>
    <row r="3337" spans="1:12" x14ac:dyDescent="0.25">
      <c r="A3337" s="115"/>
      <c r="B3337" s="115"/>
      <c r="C3337" s="115"/>
      <c r="D3337" s="115"/>
      <c r="E3337" s="115"/>
      <c r="F3337" s="115"/>
      <c r="G3337" s="116"/>
      <c r="I3337" s="118"/>
      <c r="J3337" s="118"/>
      <c r="L3337" s="125"/>
    </row>
    <row r="3338" spans="1:12" x14ac:dyDescent="0.25">
      <c r="A3338" s="115"/>
      <c r="B3338" s="115"/>
      <c r="C3338" s="115"/>
      <c r="D3338" s="115"/>
      <c r="E3338" s="115"/>
      <c r="F3338" s="115"/>
      <c r="G3338" s="116"/>
      <c r="I3338" s="118"/>
      <c r="J3338" s="118"/>
      <c r="L3338" s="125"/>
    </row>
    <row r="3339" spans="1:12" x14ac:dyDescent="0.25">
      <c r="A3339" s="115"/>
      <c r="B3339" s="115"/>
      <c r="C3339" s="115"/>
      <c r="D3339" s="115"/>
      <c r="E3339" s="115"/>
      <c r="F3339" s="115"/>
      <c r="G3339" s="116"/>
      <c r="I3339" s="118"/>
      <c r="J3339" s="118"/>
      <c r="L3339" s="125"/>
    </row>
    <row r="3340" spans="1:12" x14ac:dyDescent="0.25">
      <c r="A3340" s="115"/>
      <c r="B3340" s="115"/>
      <c r="C3340" s="115"/>
      <c r="D3340" s="115"/>
      <c r="E3340" s="115"/>
      <c r="F3340" s="115"/>
      <c r="G3340" s="116"/>
      <c r="I3340" s="118"/>
      <c r="J3340" s="118"/>
      <c r="L3340" s="125"/>
    </row>
    <row r="3341" spans="1:12" x14ac:dyDescent="0.25">
      <c r="A3341" s="115"/>
      <c r="B3341" s="115"/>
      <c r="C3341" s="115"/>
      <c r="D3341" s="115"/>
      <c r="E3341" s="115"/>
      <c r="F3341" s="115"/>
      <c r="G3341" s="116"/>
      <c r="I3341" s="118"/>
      <c r="J3341" s="118"/>
      <c r="L3341" s="125"/>
    </row>
    <row r="3342" spans="1:12" x14ac:dyDescent="0.25">
      <c r="A3342" s="115"/>
      <c r="B3342" s="115"/>
      <c r="C3342" s="115"/>
      <c r="D3342" s="115"/>
      <c r="E3342" s="115"/>
      <c r="F3342" s="115"/>
      <c r="G3342" s="116"/>
      <c r="I3342" s="118"/>
      <c r="J3342" s="118"/>
      <c r="L3342" s="125"/>
    </row>
    <row r="3343" spans="1:12" x14ac:dyDescent="0.25">
      <c r="A3343" s="115"/>
      <c r="B3343" s="115"/>
      <c r="C3343" s="115"/>
      <c r="D3343" s="115"/>
      <c r="E3343" s="115"/>
      <c r="F3343" s="115"/>
      <c r="G3343" s="116"/>
      <c r="I3343" s="118"/>
      <c r="J3343" s="118"/>
      <c r="L3343" s="125"/>
    </row>
    <row r="3344" spans="1:12" x14ac:dyDescent="0.25">
      <c r="A3344" s="115"/>
      <c r="B3344" s="115"/>
      <c r="C3344" s="115"/>
      <c r="D3344" s="115"/>
      <c r="E3344" s="115"/>
      <c r="F3344" s="115"/>
      <c r="G3344" s="116"/>
      <c r="I3344" s="118"/>
      <c r="J3344" s="118"/>
      <c r="L3344" s="125"/>
    </row>
    <row r="3345" spans="1:12" x14ac:dyDescent="0.25">
      <c r="A3345" s="115"/>
      <c r="B3345" s="115"/>
      <c r="C3345" s="115"/>
      <c r="D3345" s="115"/>
      <c r="E3345" s="115"/>
      <c r="F3345" s="115"/>
      <c r="G3345" s="116"/>
      <c r="I3345" s="118"/>
      <c r="J3345" s="118"/>
      <c r="L3345" s="125"/>
    </row>
    <row r="3346" spans="1:12" x14ac:dyDescent="0.25">
      <c r="A3346" s="115"/>
      <c r="B3346" s="115"/>
      <c r="C3346" s="115"/>
      <c r="D3346" s="115"/>
      <c r="E3346" s="115"/>
      <c r="F3346" s="115"/>
      <c r="G3346" s="116"/>
      <c r="I3346" s="118"/>
      <c r="J3346" s="118"/>
      <c r="L3346" s="125"/>
    </row>
    <row r="3347" spans="1:12" x14ac:dyDescent="0.25">
      <c r="A3347" s="115"/>
      <c r="B3347" s="115"/>
      <c r="C3347" s="115"/>
      <c r="D3347" s="115"/>
      <c r="E3347" s="115"/>
      <c r="F3347" s="115"/>
      <c r="G3347" s="116"/>
      <c r="I3347" s="118"/>
      <c r="J3347" s="118"/>
      <c r="L3347" s="125"/>
    </row>
    <row r="3348" spans="1:12" x14ac:dyDescent="0.25">
      <c r="A3348" s="115"/>
      <c r="B3348" s="115"/>
      <c r="C3348" s="115"/>
      <c r="D3348" s="115"/>
      <c r="E3348" s="115"/>
      <c r="F3348" s="115"/>
      <c r="G3348" s="116"/>
      <c r="I3348" s="118"/>
      <c r="J3348" s="118"/>
      <c r="L3348" s="125"/>
    </row>
    <row r="3349" spans="1:12" x14ac:dyDescent="0.25">
      <c r="A3349" s="115"/>
      <c r="B3349" s="115"/>
      <c r="C3349" s="115"/>
      <c r="D3349" s="115"/>
      <c r="E3349" s="115"/>
      <c r="F3349" s="115"/>
      <c r="G3349" s="116"/>
      <c r="I3349" s="118"/>
      <c r="J3349" s="118"/>
      <c r="L3349" s="125"/>
    </row>
    <row r="3350" spans="1:12" x14ac:dyDescent="0.25">
      <c r="A3350" s="115"/>
      <c r="B3350" s="115"/>
      <c r="C3350" s="115"/>
      <c r="D3350" s="115"/>
      <c r="E3350" s="115"/>
      <c r="F3350" s="115"/>
      <c r="G3350" s="116"/>
      <c r="I3350" s="118"/>
      <c r="J3350" s="118"/>
      <c r="L3350" s="125"/>
    </row>
    <row r="3351" spans="1:12" x14ac:dyDescent="0.25">
      <c r="A3351" s="115"/>
      <c r="B3351" s="115"/>
      <c r="C3351" s="115"/>
      <c r="D3351" s="115"/>
      <c r="E3351" s="115"/>
      <c r="F3351" s="115"/>
      <c r="G3351" s="116"/>
      <c r="I3351" s="118"/>
      <c r="J3351" s="118"/>
      <c r="L3351" s="125"/>
    </row>
    <row r="3352" spans="1:12" x14ac:dyDescent="0.25">
      <c r="A3352" s="115"/>
      <c r="B3352" s="115"/>
      <c r="C3352" s="115"/>
      <c r="D3352" s="115"/>
      <c r="E3352" s="115"/>
      <c r="F3352" s="115"/>
      <c r="G3352" s="116"/>
      <c r="I3352" s="118"/>
      <c r="J3352" s="118"/>
      <c r="L3352" s="125"/>
    </row>
    <row r="3353" spans="1:12" x14ac:dyDescent="0.25">
      <c r="A3353" s="115"/>
      <c r="B3353" s="115"/>
      <c r="C3353" s="115"/>
      <c r="D3353" s="115"/>
      <c r="E3353" s="115"/>
      <c r="F3353" s="115"/>
      <c r="G3353" s="116"/>
      <c r="I3353" s="118"/>
      <c r="J3353" s="118"/>
      <c r="L3353" s="125"/>
    </row>
    <row r="3354" spans="1:12" x14ac:dyDescent="0.25">
      <c r="A3354" s="115"/>
      <c r="B3354" s="115"/>
      <c r="C3354" s="115"/>
      <c r="D3354" s="115"/>
      <c r="E3354" s="115"/>
      <c r="F3354" s="115"/>
      <c r="G3354" s="116"/>
      <c r="I3354" s="118"/>
      <c r="J3354" s="118"/>
      <c r="L3354" s="125"/>
    </row>
    <row r="3355" spans="1:12" x14ac:dyDescent="0.25">
      <c r="A3355" s="115"/>
      <c r="B3355" s="115"/>
      <c r="C3355" s="115"/>
      <c r="D3355" s="115"/>
      <c r="E3355" s="115"/>
      <c r="F3355" s="115"/>
      <c r="G3355" s="116"/>
      <c r="I3355" s="118"/>
      <c r="J3355" s="118"/>
      <c r="L3355" s="125"/>
    </row>
    <row r="3356" spans="1:12" x14ac:dyDescent="0.25">
      <c r="A3356" s="115"/>
      <c r="B3356" s="115"/>
      <c r="C3356" s="115"/>
      <c r="D3356" s="115"/>
      <c r="E3356" s="115"/>
      <c r="F3356" s="115"/>
      <c r="G3356" s="116"/>
      <c r="I3356" s="118"/>
      <c r="J3356" s="118"/>
      <c r="L3356" s="125"/>
    </row>
    <row r="3357" spans="1:12" x14ac:dyDescent="0.25">
      <c r="A3357" s="115"/>
      <c r="B3357" s="115"/>
      <c r="C3357" s="115"/>
      <c r="D3357" s="115"/>
      <c r="E3357" s="115"/>
      <c r="F3357" s="115"/>
      <c r="G3357" s="116"/>
      <c r="I3357" s="118"/>
      <c r="J3357" s="118"/>
      <c r="L3357" s="125"/>
    </row>
    <row r="3358" spans="1:12" x14ac:dyDescent="0.25">
      <c r="A3358" s="115"/>
      <c r="B3358" s="115"/>
      <c r="C3358" s="115"/>
      <c r="D3358" s="115"/>
      <c r="E3358" s="115"/>
      <c r="F3358" s="115"/>
      <c r="G3358" s="116"/>
      <c r="I3358" s="118"/>
      <c r="J3358" s="118"/>
      <c r="L3358" s="125"/>
    </row>
    <row r="3359" spans="1:12" x14ac:dyDescent="0.25">
      <c r="A3359" s="115"/>
      <c r="B3359" s="115"/>
      <c r="C3359" s="115"/>
      <c r="D3359" s="115"/>
      <c r="E3359" s="115"/>
      <c r="F3359" s="115"/>
      <c r="G3359" s="116"/>
      <c r="I3359" s="118"/>
      <c r="J3359" s="118"/>
      <c r="L3359" s="125"/>
    </row>
    <row r="3360" spans="1:12" x14ac:dyDescent="0.25">
      <c r="A3360" s="115"/>
      <c r="B3360" s="115"/>
      <c r="C3360" s="115"/>
      <c r="D3360" s="115"/>
      <c r="E3360" s="115"/>
      <c r="F3360" s="115"/>
      <c r="G3360" s="116"/>
      <c r="I3360" s="118"/>
      <c r="J3360" s="118"/>
      <c r="L3360" s="125"/>
    </row>
    <row r="3361" spans="1:12" x14ac:dyDescent="0.25">
      <c r="A3361" s="115"/>
      <c r="B3361" s="115"/>
      <c r="C3361" s="115"/>
      <c r="D3361" s="115"/>
      <c r="E3361" s="115"/>
      <c r="F3361" s="115"/>
      <c r="G3361" s="116"/>
      <c r="I3361" s="118"/>
      <c r="J3361" s="118"/>
      <c r="L3361" s="125"/>
    </row>
    <row r="3362" spans="1:12" x14ac:dyDescent="0.25">
      <c r="A3362" s="115"/>
      <c r="B3362" s="115"/>
      <c r="C3362" s="115"/>
      <c r="D3362" s="115"/>
      <c r="E3362" s="115"/>
      <c r="F3362" s="115"/>
      <c r="G3362" s="116"/>
      <c r="I3362" s="118"/>
      <c r="J3362" s="118"/>
      <c r="L3362" s="125"/>
    </row>
    <row r="3363" spans="1:12" x14ac:dyDescent="0.25">
      <c r="A3363" s="115"/>
      <c r="B3363" s="115"/>
      <c r="C3363" s="115"/>
      <c r="D3363" s="115"/>
      <c r="E3363" s="115"/>
      <c r="F3363" s="115"/>
      <c r="G3363" s="116"/>
      <c r="I3363" s="118"/>
      <c r="J3363" s="118"/>
      <c r="L3363" s="125"/>
    </row>
    <row r="3364" spans="1:12" x14ac:dyDescent="0.25">
      <c r="A3364" s="115"/>
      <c r="B3364" s="115"/>
      <c r="C3364" s="115"/>
      <c r="D3364" s="115"/>
      <c r="E3364" s="115"/>
      <c r="F3364" s="115"/>
      <c r="G3364" s="116"/>
      <c r="I3364" s="118"/>
      <c r="J3364" s="118"/>
      <c r="L3364" s="125"/>
    </row>
    <row r="3365" spans="1:12" x14ac:dyDescent="0.25">
      <c r="A3365" s="115"/>
      <c r="B3365" s="115"/>
      <c r="C3365" s="115"/>
      <c r="D3365" s="115"/>
      <c r="E3365" s="115"/>
      <c r="F3365" s="115"/>
      <c r="G3365" s="116"/>
      <c r="I3365" s="118"/>
      <c r="J3365" s="118"/>
      <c r="L3365" s="125"/>
    </row>
    <row r="3366" spans="1:12" x14ac:dyDescent="0.25">
      <c r="A3366" s="115"/>
      <c r="B3366" s="115"/>
      <c r="C3366" s="115"/>
      <c r="D3366" s="115"/>
      <c r="E3366" s="115"/>
      <c r="F3366" s="115"/>
      <c r="G3366" s="116"/>
      <c r="I3366" s="118"/>
      <c r="J3366" s="118"/>
      <c r="L3366" s="125"/>
    </row>
    <row r="3367" spans="1:12" x14ac:dyDescent="0.25">
      <c r="A3367" s="115"/>
      <c r="B3367" s="115"/>
      <c r="C3367" s="115"/>
      <c r="D3367" s="115"/>
      <c r="E3367" s="115"/>
      <c r="F3367" s="115"/>
      <c r="G3367" s="116"/>
      <c r="I3367" s="118"/>
      <c r="J3367" s="118"/>
      <c r="L3367" s="125"/>
    </row>
    <row r="3368" spans="1:12" x14ac:dyDescent="0.25">
      <c r="A3368" s="115"/>
      <c r="B3368" s="115"/>
      <c r="C3368" s="115"/>
      <c r="D3368" s="115"/>
      <c r="E3368" s="115"/>
      <c r="F3368" s="115"/>
      <c r="G3368" s="116"/>
      <c r="I3368" s="118"/>
      <c r="J3368" s="118"/>
      <c r="L3368" s="125"/>
    </row>
    <row r="3369" spans="1:12" x14ac:dyDescent="0.25">
      <c r="A3369" s="115"/>
      <c r="B3369" s="115"/>
      <c r="C3369" s="115"/>
      <c r="D3369" s="115"/>
      <c r="E3369" s="115"/>
      <c r="F3369" s="115"/>
      <c r="G3369" s="116"/>
      <c r="I3369" s="118"/>
      <c r="J3369" s="118"/>
      <c r="L3369" s="125"/>
    </row>
    <row r="3370" spans="1:12" x14ac:dyDescent="0.25">
      <c r="A3370" s="115"/>
      <c r="B3370" s="115"/>
      <c r="C3370" s="115"/>
      <c r="D3370" s="115"/>
      <c r="E3370" s="115"/>
      <c r="F3370" s="115"/>
      <c r="G3370" s="116"/>
      <c r="I3370" s="118"/>
      <c r="J3370" s="118"/>
      <c r="L3370" s="125"/>
    </row>
    <row r="3371" spans="1:12" x14ac:dyDescent="0.25">
      <c r="A3371" s="115"/>
      <c r="B3371" s="115"/>
      <c r="C3371" s="115"/>
      <c r="D3371" s="115"/>
      <c r="E3371" s="115"/>
      <c r="F3371" s="115"/>
      <c r="G3371" s="116"/>
      <c r="I3371" s="118"/>
      <c r="J3371" s="118"/>
      <c r="L3371" s="125"/>
    </row>
    <row r="3372" spans="1:12" x14ac:dyDescent="0.25">
      <c r="A3372" s="115"/>
      <c r="B3372" s="115"/>
      <c r="C3372" s="115"/>
      <c r="D3372" s="115"/>
      <c r="E3372" s="115"/>
      <c r="F3372" s="115"/>
      <c r="G3372" s="116"/>
      <c r="I3372" s="118"/>
      <c r="J3372" s="118"/>
      <c r="L3372" s="125"/>
    </row>
    <row r="3373" spans="1:12" x14ac:dyDescent="0.25">
      <c r="A3373" s="115"/>
      <c r="B3373" s="115"/>
      <c r="C3373" s="115"/>
      <c r="D3373" s="115"/>
      <c r="E3373" s="115"/>
      <c r="F3373" s="115"/>
      <c r="G3373" s="116"/>
      <c r="I3373" s="118"/>
      <c r="J3373" s="118"/>
      <c r="L3373" s="125"/>
    </row>
    <row r="3374" spans="1:12" x14ac:dyDescent="0.25">
      <c r="A3374" s="115"/>
      <c r="B3374" s="115"/>
      <c r="C3374" s="115"/>
      <c r="D3374" s="115"/>
      <c r="E3374" s="115"/>
      <c r="F3374" s="115"/>
      <c r="G3374" s="116"/>
      <c r="I3374" s="118"/>
      <c r="J3374" s="118"/>
      <c r="L3374" s="125"/>
    </row>
    <row r="3375" spans="1:12" x14ac:dyDescent="0.25">
      <c r="A3375" s="115"/>
      <c r="B3375" s="115"/>
      <c r="C3375" s="115"/>
      <c r="D3375" s="115"/>
      <c r="E3375" s="115"/>
      <c r="F3375" s="115"/>
      <c r="G3375" s="116"/>
      <c r="I3375" s="118"/>
      <c r="J3375" s="118"/>
      <c r="L3375" s="125"/>
    </row>
    <row r="3376" spans="1:12" x14ac:dyDescent="0.25">
      <c r="A3376" s="115"/>
      <c r="B3376" s="115"/>
      <c r="C3376" s="115"/>
      <c r="D3376" s="115"/>
      <c r="E3376" s="115"/>
      <c r="F3376" s="115"/>
      <c r="G3376" s="116"/>
      <c r="I3376" s="118"/>
      <c r="J3376" s="118"/>
      <c r="L3376" s="125"/>
    </row>
    <row r="3377" spans="1:12" x14ac:dyDescent="0.25">
      <c r="A3377" s="115"/>
      <c r="B3377" s="115"/>
      <c r="C3377" s="115"/>
      <c r="D3377" s="115"/>
      <c r="E3377" s="115"/>
      <c r="F3377" s="115"/>
      <c r="G3377" s="116"/>
      <c r="I3377" s="118"/>
      <c r="J3377" s="118"/>
      <c r="L3377" s="125"/>
    </row>
    <row r="3378" spans="1:12" x14ac:dyDescent="0.25">
      <c r="A3378" s="115"/>
      <c r="B3378" s="115"/>
      <c r="C3378" s="115"/>
      <c r="D3378" s="115"/>
      <c r="E3378" s="115"/>
      <c r="F3378" s="115"/>
      <c r="G3378" s="116"/>
      <c r="I3378" s="118"/>
      <c r="J3378" s="118"/>
      <c r="L3378" s="125"/>
    </row>
    <row r="3379" spans="1:12" x14ac:dyDescent="0.25">
      <c r="A3379" s="115"/>
      <c r="B3379" s="115"/>
      <c r="C3379" s="115"/>
      <c r="D3379" s="115"/>
      <c r="E3379" s="115"/>
      <c r="F3379" s="115"/>
      <c r="G3379" s="116"/>
      <c r="I3379" s="118"/>
      <c r="J3379" s="118"/>
      <c r="L3379" s="125"/>
    </row>
    <row r="3380" spans="1:12" x14ac:dyDescent="0.25">
      <c r="A3380" s="115"/>
      <c r="B3380" s="115"/>
      <c r="C3380" s="115"/>
      <c r="D3380" s="115"/>
      <c r="E3380" s="115"/>
      <c r="F3380" s="115"/>
      <c r="G3380" s="116"/>
      <c r="I3380" s="118"/>
      <c r="J3380" s="118"/>
      <c r="L3380" s="125"/>
    </row>
    <row r="3381" spans="1:12" x14ac:dyDescent="0.25">
      <c r="A3381" s="115"/>
      <c r="B3381" s="115"/>
      <c r="C3381" s="115"/>
      <c r="D3381" s="115"/>
      <c r="E3381" s="115"/>
      <c r="F3381" s="115"/>
      <c r="G3381" s="116"/>
      <c r="I3381" s="118"/>
      <c r="J3381" s="118"/>
      <c r="L3381" s="125"/>
    </row>
    <row r="3382" spans="1:12" x14ac:dyDescent="0.25">
      <c r="A3382" s="115"/>
      <c r="B3382" s="115"/>
      <c r="C3382" s="115"/>
      <c r="D3382" s="115"/>
      <c r="E3382" s="115"/>
      <c r="F3382" s="115"/>
      <c r="G3382" s="116"/>
      <c r="I3382" s="118"/>
      <c r="J3382" s="118"/>
      <c r="L3382" s="125"/>
    </row>
    <row r="3383" spans="1:12" x14ac:dyDescent="0.25">
      <c r="A3383" s="115"/>
      <c r="B3383" s="115"/>
      <c r="C3383" s="115"/>
      <c r="D3383" s="115"/>
      <c r="E3383" s="115"/>
      <c r="F3383" s="115"/>
      <c r="G3383" s="116"/>
      <c r="I3383" s="118"/>
      <c r="J3383" s="118"/>
      <c r="L3383" s="125"/>
    </row>
    <row r="3384" spans="1:12" x14ac:dyDescent="0.25">
      <c r="A3384" s="115"/>
      <c r="B3384" s="115"/>
      <c r="C3384" s="115"/>
      <c r="D3384" s="115"/>
      <c r="E3384" s="115"/>
      <c r="F3384" s="115"/>
      <c r="G3384" s="116"/>
      <c r="I3384" s="118"/>
      <c r="J3384" s="118"/>
      <c r="L3384" s="125"/>
    </row>
    <row r="3385" spans="1:12" x14ac:dyDescent="0.25">
      <c r="A3385" s="115"/>
      <c r="B3385" s="115"/>
      <c r="C3385" s="115"/>
      <c r="D3385" s="115"/>
      <c r="E3385" s="115"/>
      <c r="F3385" s="115"/>
      <c r="G3385" s="116"/>
      <c r="I3385" s="118"/>
      <c r="J3385" s="118"/>
      <c r="L3385" s="125"/>
    </row>
    <row r="3386" spans="1:12" x14ac:dyDescent="0.25">
      <c r="A3386" s="115"/>
      <c r="B3386" s="115"/>
      <c r="C3386" s="115"/>
      <c r="D3386" s="115"/>
      <c r="E3386" s="115"/>
      <c r="F3386" s="115"/>
      <c r="G3386" s="116"/>
      <c r="I3386" s="118"/>
      <c r="J3386" s="118"/>
      <c r="L3386" s="125"/>
    </row>
    <row r="3387" spans="1:12" x14ac:dyDescent="0.25">
      <c r="A3387" s="115"/>
      <c r="B3387" s="115"/>
      <c r="C3387" s="115"/>
      <c r="D3387" s="115"/>
      <c r="E3387" s="115"/>
      <c r="F3387" s="115"/>
      <c r="G3387" s="116"/>
      <c r="I3387" s="118"/>
      <c r="J3387" s="118"/>
      <c r="L3387" s="125"/>
    </row>
    <row r="3388" spans="1:12" x14ac:dyDescent="0.25">
      <c r="A3388" s="115"/>
      <c r="B3388" s="115"/>
      <c r="C3388" s="115"/>
      <c r="D3388" s="115"/>
      <c r="E3388" s="115"/>
      <c r="F3388" s="115"/>
      <c r="G3388" s="116"/>
      <c r="I3388" s="118"/>
      <c r="J3388" s="118"/>
      <c r="L3388" s="125"/>
    </row>
    <row r="3389" spans="1:12" x14ac:dyDescent="0.25">
      <c r="A3389" s="115"/>
      <c r="B3389" s="115"/>
      <c r="C3389" s="115"/>
      <c r="D3389" s="115"/>
      <c r="E3389" s="115"/>
      <c r="F3389" s="115"/>
      <c r="G3389" s="116"/>
      <c r="I3389" s="118"/>
      <c r="J3389" s="118"/>
      <c r="L3389" s="125"/>
    </row>
    <row r="3390" spans="1:12" x14ac:dyDescent="0.25">
      <c r="A3390" s="115"/>
      <c r="B3390" s="115"/>
      <c r="C3390" s="115"/>
      <c r="D3390" s="115"/>
      <c r="E3390" s="115"/>
      <c r="F3390" s="115"/>
      <c r="G3390" s="116"/>
      <c r="I3390" s="118"/>
      <c r="J3390" s="118"/>
      <c r="L3390" s="125"/>
    </row>
    <row r="3391" spans="1:12" x14ac:dyDescent="0.25">
      <c r="A3391" s="115"/>
      <c r="B3391" s="115"/>
      <c r="C3391" s="115"/>
      <c r="D3391" s="115"/>
      <c r="E3391" s="115"/>
      <c r="F3391" s="115"/>
      <c r="G3391" s="116"/>
      <c r="I3391" s="118"/>
      <c r="J3391" s="118"/>
      <c r="L3391" s="125"/>
    </row>
    <row r="3392" spans="1:12" x14ac:dyDescent="0.25">
      <c r="A3392" s="115"/>
      <c r="B3392" s="115"/>
      <c r="C3392" s="115"/>
      <c r="D3392" s="115"/>
      <c r="E3392" s="115"/>
      <c r="F3392" s="115"/>
      <c r="G3392" s="116"/>
      <c r="I3392" s="118"/>
      <c r="J3392" s="118"/>
      <c r="L3392" s="125"/>
    </row>
    <row r="3393" spans="1:12" x14ac:dyDescent="0.25">
      <c r="A3393" s="115"/>
      <c r="B3393" s="115"/>
      <c r="C3393" s="115"/>
      <c r="D3393" s="115"/>
      <c r="E3393" s="115"/>
      <c r="F3393" s="115"/>
      <c r="G3393" s="116"/>
      <c r="I3393" s="118"/>
      <c r="J3393" s="118"/>
      <c r="L3393" s="125"/>
    </row>
    <row r="3394" spans="1:12" x14ac:dyDescent="0.25">
      <c r="A3394" s="115"/>
      <c r="B3394" s="115"/>
      <c r="C3394" s="115"/>
      <c r="D3394" s="115"/>
      <c r="E3394" s="115"/>
      <c r="F3394" s="115"/>
      <c r="G3394" s="116"/>
      <c r="I3394" s="118"/>
      <c r="J3394" s="118"/>
      <c r="L3394" s="125"/>
    </row>
    <row r="3395" spans="1:12" x14ac:dyDescent="0.25">
      <c r="A3395" s="115"/>
      <c r="B3395" s="115"/>
      <c r="C3395" s="115"/>
      <c r="D3395" s="115"/>
      <c r="E3395" s="115"/>
      <c r="F3395" s="115"/>
      <c r="G3395" s="116"/>
      <c r="I3395" s="118"/>
      <c r="J3395" s="118"/>
      <c r="L3395" s="125"/>
    </row>
    <row r="3396" spans="1:12" x14ac:dyDescent="0.25">
      <c r="A3396" s="115"/>
      <c r="B3396" s="115"/>
      <c r="C3396" s="115"/>
      <c r="D3396" s="115"/>
      <c r="E3396" s="115"/>
      <c r="F3396" s="115"/>
      <c r="G3396" s="116"/>
      <c r="I3396" s="118"/>
      <c r="J3396" s="118"/>
      <c r="L3396" s="125"/>
    </row>
    <row r="3397" spans="1:12" x14ac:dyDescent="0.25">
      <c r="A3397" s="115"/>
      <c r="B3397" s="115"/>
      <c r="C3397" s="115"/>
      <c r="D3397" s="115"/>
      <c r="E3397" s="115"/>
      <c r="F3397" s="115"/>
      <c r="G3397" s="116"/>
      <c r="I3397" s="118"/>
      <c r="J3397" s="118"/>
      <c r="L3397" s="125"/>
    </row>
    <row r="3398" spans="1:12" x14ac:dyDescent="0.25">
      <c r="A3398" s="115"/>
      <c r="B3398" s="115"/>
      <c r="C3398" s="115"/>
      <c r="D3398" s="115"/>
      <c r="E3398" s="115"/>
      <c r="F3398" s="115"/>
      <c r="G3398" s="116"/>
      <c r="I3398" s="118"/>
      <c r="J3398" s="118"/>
      <c r="L3398" s="125"/>
    </row>
    <row r="3399" spans="1:12" x14ac:dyDescent="0.25">
      <c r="A3399" s="115"/>
      <c r="B3399" s="115"/>
      <c r="C3399" s="115"/>
      <c r="D3399" s="115"/>
      <c r="E3399" s="115"/>
      <c r="F3399" s="115"/>
      <c r="G3399" s="116"/>
      <c r="I3399" s="118"/>
      <c r="J3399" s="118"/>
      <c r="L3399" s="125"/>
    </row>
    <row r="3400" spans="1:12" x14ac:dyDescent="0.25">
      <c r="A3400" s="115"/>
      <c r="B3400" s="115"/>
      <c r="C3400" s="115"/>
      <c r="D3400" s="115"/>
      <c r="E3400" s="115"/>
      <c r="F3400" s="115"/>
      <c r="G3400" s="116"/>
      <c r="I3400" s="118"/>
      <c r="J3400" s="118"/>
      <c r="L3400" s="125"/>
    </row>
    <row r="3401" spans="1:12" x14ac:dyDescent="0.25">
      <c r="A3401" s="115"/>
      <c r="B3401" s="115"/>
      <c r="C3401" s="115"/>
      <c r="D3401" s="115"/>
      <c r="E3401" s="115"/>
      <c r="F3401" s="115"/>
      <c r="G3401" s="116"/>
      <c r="I3401" s="118"/>
      <c r="J3401" s="118"/>
      <c r="L3401" s="125"/>
    </row>
    <row r="3402" spans="1:12" x14ac:dyDescent="0.25">
      <c r="A3402" s="115"/>
      <c r="B3402" s="115"/>
      <c r="C3402" s="115"/>
      <c r="D3402" s="115"/>
      <c r="E3402" s="115"/>
      <c r="F3402" s="115"/>
      <c r="G3402" s="116"/>
      <c r="I3402" s="118"/>
      <c r="J3402" s="118"/>
      <c r="L3402" s="125"/>
    </row>
    <row r="3403" spans="1:12" x14ac:dyDescent="0.25">
      <c r="A3403" s="115"/>
      <c r="B3403" s="115"/>
      <c r="C3403" s="115"/>
      <c r="D3403" s="115"/>
      <c r="E3403" s="115"/>
      <c r="F3403" s="115"/>
      <c r="G3403" s="116"/>
      <c r="I3403" s="118"/>
      <c r="J3403" s="118"/>
      <c r="L3403" s="125"/>
    </row>
    <row r="3404" spans="1:12" x14ac:dyDescent="0.25">
      <c r="A3404" s="115"/>
      <c r="B3404" s="115"/>
      <c r="C3404" s="115"/>
      <c r="D3404" s="115"/>
      <c r="E3404" s="115"/>
      <c r="F3404" s="115"/>
      <c r="G3404" s="116"/>
      <c r="I3404" s="118"/>
      <c r="J3404" s="118"/>
      <c r="L3404" s="125"/>
    </row>
    <row r="3405" spans="1:12" x14ac:dyDescent="0.25">
      <c r="A3405" s="115"/>
      <c r="B3405" s="115"/>
      <c r="C3405" s="115"/>
      <c r="D3405" s="115"/>
      <c r="E3405" s="115"/>
      <c r="F3405" s="115"/>
      <c r="G3405" s="116"/>
      <c r="I3405" s="118"/>
      <c r="J3405" s="118"/>
      <c r="L3405" s="125"/>
    </row>
    <row r="3406" spans="1:12" x14ac:dyDescent="0.25">
      <c r="A3406" s="115"/>
      <c r="B3406" s="115"/>
      <c r="C3406" s="115"/>
      <c r="D3406" s="115"/>
      <c r="E3406" s="115"/>
      <c r="F3406" s="115"/>
      <c r="G3406" s="116"/>
      <c r="I3406" s="118"/>
      <c r="J3406" s="118"/>
      <c r="L3406" s="125"/>
    </row>
    <row r="3407" spans="1:12" x14ac:dyDescent="0.25">
      <c r="A3407" s="115"/>
      <c r="B3407" s="115"/>
      <c r="C3407" s="115"/>
      <c r="D3407" s="115"/>
      <c r="E3407" s="115"/>
      <c r="F3407" s="115"/>
      <c r="G3407" s="116"/>
      <c r="I3407" s="118"/>
      <c r="J3407" s="118"/>
      <c r="L3407" s="125"/>
    </row>
    <row r="3408" spans="1:12" x14ac:dyDescent="0.25">
      <c r="A3408" s="115"/>
      <c r="B3408" s="115"/>
      <c r="C3408" s="115"/>
      <c r="D3408" s="115"/>
      <c r="E3408" s="115"/>
      <c r="F3408" s="115"/>
      <c r="G3408" s="116"/>
      <c r="I3408" s="118"/>
      <c r="J3408" s="118"/>
      <c r="L3408" s="125"/>
    </row>
    <row r="3409" spans="1:12" x14ac:dyDescent="0.25">
      <c r="A3409" s="115"/>
      <c r="B3409" s="115"/>
      <c r="C3409" s="115"/>
      <c r="D3409" s="115"/>
      <c r="E3409" s="115"/>
      <c r="F3409" s="115"/>
      <c r="G3409" s="116"/>
      <c r="I3409" s="118"/>
      <c r="J3409" s="118"/>
      <c r="L3409" s="125"/>
    </row>
    <row r="3410" spans="1:12" x14ac:dyDescent="0.25">
      <c r="A3410" s="115"/>
      <c r="B3410" s="115"/>
      <c r="C3410" s="115"/>
      <c r="D3410" s="115"/>
      <c r="E3410" s="115"/>
      <c r="F3410" s="115"/>
      <c r="G3410" s="116"/>
      <c r="I3410" s="118"/>
      <c r="J3410" s="118"/>
      <c r="L3410" s="125"/>
    </row>
    <row r="3411" spans="1:12" x14ac:dyDescent="0.25">
      <c r="A3411" s="115"/>
      <c r="B3411" s="115"/>
      <c r="C3411" s="115"/>
      <c r="D3411" s="115"/>
      <c r="E3411" s="115"/>
      <c r="F3411" s="115"/>
      <c r="G3411" s="116"/>
      <c r="I3411" s="118"/>
      <c r="J3411" s="118"/>
      <c r="L3411" s="125"/>
    </row>
    <row r="3412" spans="1:12" x14ac:dyDescent="0.25">
      <c r="A3412" s="115"/>
      <c r="B3412" s="115"/>
      <c r="C3412" s="115"/>
      <c r="D3412" s="115"/>
      <c r="E3412" s="115"/>
      <c r="F3412" s="115"/>
      <c r="G3412" s="116"/>
      <c r="I3412" s="118"/>
      <c r="J3412" s="118"/>
      <c r="L3412" s="125"/>
    </row>
    <row r="3413" spans="1:12" x14ac:dyDescent="0.25">
      <c r="A3413" s="115"/>
      <c r="B3413" s="115"/>
      <c r="C3413" s="115"/>
      <c r="D3413" s="115"/>
      <c r="E3413" s="115"/>
      <c r="F3413" s="115"/>
      <c r="G3413" s="116"/>
      <c r="I3413" s="118"/>
      <c r="J3413" s="118"/>
      <c r="L3413" s="125"/>
    </row>
    <row r="3414" spans="1:12" x14ac:dyDescent="0.25">
      <c r="A3414" s="115"/>
      <c r="B3414" s="115"/>
      <c r="C3414" s="115"/>
      <c r="D3414" s="115"/>
      <c r="E3414" s="115"/>
      <c r="F3414" s="115"/>
      <c r="G3414" s="116"/>
      <c r="I3414" s="118"/>
      <c r="J3414" s="118"/>
      <c r="L3414" s="125"/>
    </row>
    <row r="3415" spans="1:12" x14ac:dyDescent="0.25">
      <c r="A3415" s="115"/>
      <c r="B3415" s="115"/>
      <c r="C3415" s="115"/>
      <c r="D3415" s="115"/>
      <c r="E3415" s="115"/>
      <c r="F3415" s="115"/>
      <c r="G3415" s="116"/>
      <c r="I3415" s="118"/>
      <c r="J3415" s="118"/>
      <c r="L3415" s="125"/>
    </row>
    <row r="3416" spans="1:12" x14ac:dyDescent="0.25">
      <c r="A3416" s="115"/>
      <c r="B3416" s="115"/>
      <c r="C3416" s="115"/>
      <c r="D3416" s="115"/>
      <c r="E3416" s="115"/>
      <c r="F3416" s="115"/>
      <c r="G3416" s="116"/>
      <c r="I3416" s="118"/>
      <c r="J3416" s="118"/>
      <c r="L3416" s="125"/>
    </row>
    <row r="3417" spans="1:12" x14ac:dyDescent="0.25">
      <c r="A3417" s="115"/>
      <c r="B3417" s="115"/>
      <c r="C3417" s="115"/>
      <c r="D3417" s="115"/>
      <c r="E3417" s="115"/>
      <c r="F3417" s="115"/>
      <c r="G3417" s="116"/>
      <c r="I3417" s="118"/>
      <c r="J3417" s="118"/>
      <c r="L3417" s="125"/>
    </row>
    <row r="3418" spans="1:12" x14ac:dyDescent="0.25">
      <c r="A3418" s="115"/>
      <c r="B3418" s="115"/>
      <c r="C3418" s="115"/>
      <c r="D3418" s="115"/>
      <c r="E3418" s="115"/>
      <c r="F3418" s="115"/>
      <c r="G3418" s="116"/>
      <c r="I3418" s="118"/>
      <c r="J3418" s="118"/>
      <c r="L3418" s="125"/>
    </row>
    <row r="3419" spans="1:12" x14ac:dyDescent="0.25">
      <c r="A3419" s="115"/>
      <c r="B3419" s="115"/>
      <c r="C3419" s="115"/>
      <c r="D3419" s="115"/>
      <c r="E3419" s="115"/>
      <c r="F3419" s="115"/>
      <c r="G3419" s="116"/>
      <c r="I3419" s="118"/>
      <c r="J3419" s="118"/>
      <c r="L3419" s="125"/>
    </row>
    <row r="3420" spans="1:12" x14ac:dyDescent="0.25">
      <c r="A3420" s="115"/>
      <c r="B3420" s="115"/>
      <c r="C3420" s="115"/>
      <c r="D3420" s="115"/>
      <c r="E3420" s="115"/>
      <c r="F3420" s="115"/>
      <c r="G3420" s="116"/>
      <c r="I3420" s="118"/>
      <c r="J3420" s="118"/>
      <c r="L3420" s="125"/>
    </row>
    <row r="3421" spans="1:12" x14ac:dyDescent="0.25">
      <c r="A3421" s="115"/>
      <c r="B3421" s="115"/>
      <c r="C3421" s="115"/>
      <c r="D3421" s="115"/>
      <c r="E3421" s="115"/>
      <c r="F3421" s="115"/>
      <c r="G3421" s="116"/>
      <c r="I3421" s="118"/>
      <c r="J3421" s="118"/>
      <c r="L3421" s="125"/>
    </row>
    <row r="3422" spans="1:12" x14ac:dyDescent="0.25">
      <c r="A3422" s="115"/>
      <c r="B3422" s="115"/>
      <c r="C3422" s="115"/>
      <c r="D3422" s="115"/>
      <c r="E3422" s="115"/>
      <c r="F3422" s="115"/>
      <c r="G3422" s="116"/>
      <c r="I3422" s="118"/>
      <c r="J3422" s="118"/>
      <c r="L3422" s="125"/>
    </row>
    <row r="3423" spans="1:12" x14ac:dyDescent="0.25">
      <c r="A3423" s="115"/>
      <c r="B3423" s="115"/>
      <c r="C3423" s="115"/>
      <c r="D3423" s="115"/>
      <c r="E3423" s="115"/>
      <c r="F3423" s="115"/>
      <c r="G3423" s="116"/>
      <c r="I3423" s="118"/>
      <c r="J3423" s="118"/>
      <c r="L3423" s="125"/>
    </row>
    <row r="3424" spans="1:12" x14ac:dyDescent="0.25">
      <c r="A3424" s="115"/>
      <c r="B3424" s="115"/>
      <c r="C3424" s="115"/>
      <c r="D3424" s="115"/>
      <c r="E3424" s="115"/>
      <c r="F3424" s="115"/>
      <c r="G3424" s="116"/>
      <c r="I3424" s="118"/>
      <c r="J3424" s="118"/>
      <c r="L3424" s="125"/>
    </row>
    <row r="3425" spans="1:12" x14ac:dyDescent="0.25">
      <c r="A3425" s="115"/>
      <c r="B3425" s="115"/>
      <c r="C3425" s="115"/>
      <c r="D3425" s="115"/>
      <c r="E3425" s="115"/>
      <c r="F3425" s="115"/>
      <c r="G3425" s="116"/>
      <c r="I3425" s="118"/>
      <c r="J3425" s="118"/>
      <c r="L3425" s="125"/>
    </row>
    <row r="3426" spans="1:12" x14ac:dyDescent="0.25">
      <c r="A3426" s="115"/>
      <c r="B3426" s="115"/>
      <c r="C3426" s="115"/>
      <c r="D3426" s="115"/>
      <c r="E3426" s="115"/>
      <c r="F3426" s="115"/>
      <c r="G3426" s="116"/>
      <c r="I3426" s="118"/>
      <c r="J3426" s="118"/>
      <c r="L3426" s="125"/>
    </row>
    <row r="3427" spans="1:12" x14ac:dyDescent="0.25">
      <c r="A3427" s="115"/>
      <c r="B3427" s="115"/>
      <c r="C3427" s="115"/>
      <c r="D3427" s="115"/>
      <c r="E3427" s="115"/>
      <c r="F3427" s="115"/>
      <c r="G3427" s="116"/>
      <c r="I3427" s="118"/>
      <c r="J3427" s="118"/>
      <c r="L3427" s="125"/>
    </row>
    <row r="3428" spans="1:12" x14ac:dyDescent="0.25">
      <c r="A3428" s="115"/>
      <c r="B3428" s="115"/>
      <c r="C3428" s="115"/>
      <c r="D3428" s="115"/>
      <c r="E3428" s="115"/>
      <c r="F3428" s="115"/>
      <c r="G3428" s="116"/>
      <c r="I3428" s="118"/>
      <c r="J3428" s="118"/>
      <c r="L3428" s="125"/>
    </row>
    <row r="3429" spans="1:12" x14ac:dyDescent="0.25">
      <c r="A3429" s="115"/>
      <c r="B3429" s="115"/>
      <c r="C3429" s="115"/>
      <c r="D3429" s="115"/>
      <c r="E3429" s="115"/>
      <c r="F3429" s="115"/>
      <c r="G3429" s="116"/>
      <c r="I3429" s="118"/>
      <c r="J3429" s="118"/>
      <c r="L3429" s="125"/>
    </row>
    <row r="3430" spans="1:12" x14ac:dyDescent="0.25">
      <c r="A3430" s="115"/>
      <c r="B3430" s="115"/>
      <c r="C3430" s="115"/>
      <c r="D3430" s="115"/>
      <c r="E3430" s="115"/>
      <c r="F3430" s="115"/>
      <c r="G3430" s="116"/>
      <c r="I3430" s="118"/>
      <c r="J3430" s="118"/>
      <c r="L3430" s="125"/>
    </row>
    <row r="3431" spans="1:12" x14ac:dyDescent="0.25">
      <c r="A3431" s="115"/>
      <c r="B3431" s="115"/>
      <c r="C3431" s="115"/>
      <c r="D3431" s="115"/>
      <c r="E3431" s="115"/>
      <c r="F3431" s="115"/>
      <c r="G3431" s="116"/>
      <c r="I3431" s="118"/>
      <c r="J3431" s="118"/>
      <c r="L3431" s="125"/>
    </row>
    <row r="3432" spans="1:12" x14ac:dyDescent="0.25">
      <c r="A3432" s="115"/>
      <c r="B3432" s="115"/>
      <c r="C3432" s="115"/>
      <c r="D3432" s="115"/>
      <c r="E3432" s="115"/>
      <c r="F3432" s="115"/>
      <c r="G3432" s="116"/>
      <c r="I3432" s="118"/>
      <c r="J3432" s="118"/>
      <c r="L3432" s="125"/>
    </row>
    <row r="3433" spans="1:12" x14ac:dyDescent="0.25">
      <c r="A3433" s="115"/>
      <c r="B3433" s="115"/>
      <c r="C3433" s="115"/>
      <c r="D3433" s="115"/>
      <c r="E3433" s="115"/>
      <c r="F3433" s="115"/>
      <c r="G3433" s="116"/>
      <c r="I3433" s="118"/>
      <c r="J3433" s="118"/>
      <c r="L3433" s="125"/>
    </row>
    <row r="3434" spans="1:12" x14ac:dyDescent="0.25">
      <c r="A3434" s="115"/>
      <c r="B3434" s="115"/>
      <c r="C3434" s="115"/>
      <c r="D3434" s="115"/>
      <c r="E3434" s="115"/>
      <c r="F3434" s="115"/>
      <c r="G3434" s="116"/>
      <c r="I3434" s="118"/>
      <c r="J3434" s="118"/>
      <c r="L3434" s="125"/>
    </row>
    <row r="3435" spans="1:12" x14ac:dyDescent="0.25">
      <c r="A3435" s="115"/>
      <c r="B3435" s="115"/>
      <c r="C3435" s="115"/>
      <c r="D3435" s="115"/>
      <c r="E3435" s="115"/>
      <c r="F3435" s="115"/>
      <c r="G3435" s="116"/>
      <c r="I3435" s="118"/>
      <c r="J3435" s="118"/>
      <c r="L3435" s="125"/>
    </row>
    <row r="3436" spans="1:12" x14ac:dyDescent="0.25">
      <c r="A3436" s="115"/>
      <c r="B3436" s="115"/>
      <c r="C3436" s="115"/>
      <c r="D3436" s="115"/>
      <c r="E3436" s="115"/>
      <c r="F3436" s="115"/>
      <c r="G3436" s="116"/>
      <c r="I3436" s="118"/>
      <c r="J3436" s="118"/>
      <c r="L3436" s="125"/>
    </row>
    <row r="3437" spans="1:12" x14ac:dyDescent="0.25">
      <c r="A3437" s="115"/>
      <c r="B3437" s="115"/>
      <c r="C3437" s="115"/>
      <c r="D3437" s="115"/>
      <c r="E3437" s="115"/>
      <c r="F3437" s="115"/>
      <c r="G3437" s="116"/>
      <c r="I3437" s="118"/>
      <c r="J3437" s="118"/>
      <c r="L3437" s="125"/>
    </row>
    <row r="3438" spans="1:12" x14ac:dyDescent="0.25">
      <c r="A3438" s="115"/>
      <c r="B3438" s="115"/>
      <c r="C3438" s="115"/>
      <c r="D3438" s="115"/>
      <c r="E3438" s="115"/>
      <c r="F3438" s="115"/>
      <c r="G3438" s="116"/>
      <c r="I3438" s="118"/>
      <c r="J3438" s="118"/>
      <c r="L3438" s="125"/>
    </row>
    <row r="3439" spans="1:12" x14ac:dyDescent="0.25">
      <c r="A3439" s="115"/>
      <c r="B3439" s="115"/>
      <c r="C3439" s="115"/>
      <c r="D3439" s="115"/>
      <c r="E3439" s="115"/>
      <c r="F3439" s="115"/>
      <c r="G3439" s="116"/>
      <c r="I3439" s="118"/>
      <c r="J3439" s="118"/>
      <c r="L3439" s="125"/>
    </row>
    <row r="3440" spans="1:12" x14ac:dyDescent="0.25">
      <c r="A3440" s="115"/>
      <c r="B3440" s="115"/>
      <c r="C3440" s="115"/>
      <c r="D3440" s="115"/>
      <c r="E3440" s="115"/>
      <c r="F3440" s="115"/>
      <c r="G3440" s="116"/>
      <c r="I3440" s="118"/>
      <c r="J3440" s="118"/>
      <c r="L3440" s="125"/>
    </row>
    <row r="3441" spans="1:12" x14ac:dyDescent="0.25">
      <c r="A3441" s="115"/>
      <c r="B3441" s="115"/>
      <c r="C3441" s="115"/>
      <c r="D3441" s="115"/>
      <c r="E3441" s="115"/>
      <c r="F3441" s="115"/>
      <c r="G3441" s="116"/>
      <c r="I3441" s="118"/>
      <c r="J3441" s="118"/>
      <c r="L3441" s="125"/>
    </row>
    <row r="3442" spans="1:12" x14ac:dyDescent="0.25">
      <c r="A3442" s="115"/>
      <c r="B3442" s="115"/>
      <c r="C3442" s="115"/>
      <c r="D3442" s="115"/>
      <c r="E3442" s="115"/>
      <c r="F3442" s="115"/>
      <c r="G3442" s="116"/>
      <c r="I3442" s="118"/>
      <c r="J3442" s="118"/>
      <c r="L3442" s="125"/>
    </row>
    <row r="3443" spans="1:12" x14ac:dyDescent="0.25">
      <c r="A3443" s="115"/>
      <c r="B3443" s="115"/>
      <c r="C3443" s="115"/>
      <c r="D3443" s="115"/>
      <c r="E3443" s="115"/>
      <c r="F3443" s="115"/>
      <c r="G3443" s="116"/>
      <c r="I3443" s="118"/>
      <c r="J3443" s="118"/>
      <c r="L3443" s="125"/>
    </row>
    <row r="3444" spans="1:12" x14ac:dyDescent="0.25">
      <c r="A3444" s="115"/>
      <c r="B3444" s="115"/>
      <c r="C3444" s="115"/>
      <c r="D3444" s="115"/>
      <c r="E3444" s="115"/>
      <c r="F3444" s="115"/>
      <c r="G3444" s="116"/>
      <c r="I3444" s="118"/>
      <c r="J3444" s="118"/>
      <c r="L3444" s="125"/>
    </row>
    <row r="3445" spans="1:12" x14ac:dyDescent="0.25">
      <c r="A3445" s="115"/>
      <c r="B3445" s="115"/>
      <c r="C3445" s="115"/>
      <c r="D3445" s="115"/>
      <c r="E3445" s="115"/>
      <c r="F3445" s="115"/>
      <c r="G3445" s="116"/>
      <c r="I3445" s="118"/>
      <c r="J3445" s="118"/>
      <c r="L3445" s="125"/>
    </row>
    <row r="3446" spans="1:12" x14ac:dyDescent="0.25">
      <c r="A3446" s="115"/>
      <c r="B3446" s="115"/>
      <c r="C3446" s="115"/>
      <c r="D3446" s="115"/>
      <c r="E3446" s="115"/>
      <c r="F3446" s="115"/>
      <c r="G3446" s="116"/>
      <c r="I3446" s="118"/>
      <c r="J3446" s="118"/>
      <c r="L3446" s="125"/>
    </row>
    <row r="3447" spans="1:12" x14ac:dyDescent="0.25">
      <c r="A3447" s="115"/>
      <c r="B3447" s="115"/>
      <c r="C3447" s="115"/>
      <c r="D3447" s="115"/>
      <c r="E3447" s="115"/>
      <c r="F3447" s="115"/>
      <c r="G3447" s="116"/>
      <c r="I3447" s="118"/>
      <c r="J3447" s="118"/>
      <c r="L3447" s="125"/>
    </row>
    <row r="3448" spans="1:12" x14ac:dyDescent="0.25">
      <c r="A3448" s="115"/>
      <c r="B3448" s="115"/>
      <c r="C3448" s="115"/>
      <c r="D3448" s="115"/>
      <c r="E3448" s="115"/>
      <c r="F3448" s="115"/>
      <c r="G3448" s="116"/>
      <c r="I3448" s="118"/>
      <c r="J3448" s="118"/>
      <c r="L3448" s="125"/>
    </row>
    <row r="3449" spans="1:12" x14ac:dyDescent="0.25">
      <c r="A3449" s="115"/>
      <c r="B3449" s="115"/>
      <c r="C3449" s="115"/>
      <c r="D3449" s="115"/>
      <c r="E3449" s="115"/>
      <c r="F3449" s="115"/>
      <c r="G3449" s="116"/>
      <c r="I3449" s="118"/>
      <c r="J3449" s="118"/>
      <c r="L3449" s="125"/>
    </row>
    <row r="3450" spans="1:12" x14ac:dyDescent="0.25">
      <c r="A3450" s="115"/>
      <c r="B3450" s="115"/>
      <c r="C3450" s="115"/>
      <c r="D3450" s="115"/>
      <c r="E3450" s="115"/>
      <c r="F3450" s="115"/>
      <c r="G3450" s="116"/>
      <c r="I3450" s="118"/>
      <c r="J3450" s="118"/>
      <c r="L3450" s="125"/>
    </row>
    <row r="3451" spans="1:12" x14ac:dyDescent="0.25">
      <c r="A3451" s="115"/>
      <c r="B3451" s="115"/>
      <c r="C3451" s="115"/>
      <c r="D3451" s="115"/>
      <c r="E3451" s="115"/>
      <c r="F3451" s="115"/>
      <c r="G3451" s="116"/>
      <c r="I3451" s="118"/>
      <c r="J3451" s="118"/>
      <c r="L3451" s="125"/>
    </row>
    <row r="3452" spans="1:12" x14ac:dyDescent="0.25">
      <c r="A3452" s="115"/>
      <c r="B3452" s="115"/>
      <c r="C3452" s="115"/>
      <c r="D3452" s="115"/>
      <c r="E3452" s="115"/>
      <c r="F3452" s="115"/>
      <c r="G3452" s="116"/>
      <c r="I3452" s="118"/>
      <c r="J3452" s="118"/>
      <c r="L3452" s="125"/>
    </row>
    <row r="3453" spans="1:12" x14ac:dyDescent="0.25">
      <c r="A3453" s="115"/>
      <c r="B3453" s="115"/>
      <c r="C3453" s="115"/>
      <c r="D3453" s="115"/>
      <c r="E3453" s="115"/>
      <c r="F3453" s="115"/>
      <c r="G3453" s="116"/>
      <c r="I3453" s="118"/>
      <c r="J3453" s="118"/>
      <c r="L3453" s="125"/>
    </row>
    <row r="3454" spans="1:12" x14ac:dyDescent="0.25">
      <c r="A3454" s="115"/>
      <c r="B3454" s="115"/>
      <c r="C3454" s="115"/>
      <c r="D3454" s="115"/>
      <c r="E3454" s="115"/>
      <c r="F3454" s="115"/>
      <c r="G3454" s="116"/>
      <c r="I3454" s="118"/>
      <c r="J3454" s="118"/>
      <c r="L3454" s="125"/>
    </row>
    <row r="3455" spans="1:12" x14ac:dyDescent="0.25">
      <c r="A3455" s="115"/>
      <c r="B3455" s="115"/>
      <c r="C3455" s="115"/>
      <c r="D3455" s="115"/>
      <c r="E3455" s="115"/>
      <c r="F3455" s="115"/>
      <c r="G3455" s="116"/>
      <c r="I3455" s="118"/>
      <c r="J3455" s="118"/>
      <c r="L3455" s="125"/>
    </row>
    <row r="3456" spans="1:12" x14ac:dyDescent="0.25">
      <c r="A3456" s="115"/>
      <c r="B3456" s="115"/>
      <c r="C3456" s="115"/>
      <c r="D3456" s="115"/>
      <c r="E3456" s="115"/>
      <c r="F3456" s="115"/>
      <c r="G3456" s="116"/>
      <c r="I3456" s="118"/>
      <c r="J3456" s="118"/>
      <c r="L3456" s="125"/>
    </row>
    <row r="3457" spans="1:12" x14ac:dyDescent="0.25">
      <c r="A3457" s="115"/>
      <c r="B3457" s="115"/>
      <c r="C3457" s="115"/>
      <c r="D3457" s="115"/>
      <c r="E3457" s="115"/>
      <c r="F3457" s="115"/>
      <c r="G3457" s="116"/>
      <c r="I3457" s="118"/>
      <c r="J3457" s="118"/>
      <c r="L3457" s="125"/>
    </row>
    <row r="3458" spans="1:12" x14ac:dyDescent="0.25">
      <c r="A3458" s="115"/>
      <c r="B3458" s="115"/>
      <c r="C3458" s="115"/>
      <c r="D3458" s="115"/>
      <c r="E3458" s="115"/>
      <c r="F3458" s="115"/>
      <c r="G3458" s="116"/>
      <c r="I3458" s="118"/>
      <c r="J3458" s="118"/>
      <c r="L3458" s="125"/>
    </row>
    <row r="3459" spans="1:12" x14ac:dyDescent="0.25">
      <c r="A3459" s="115"/>
      <c r="B3459" s="115"/>
      <c r="C3459" s="115"/>
      <c r="D3459" s="115"/>
      <c r="E3459" s="115"/>
      <c r="F3459" s="115"/>
      <c r="G3459" s="116"/>
      <c r="I3459" s="118"/>
      <c r="J3459" s="118"/>
      <c r="L3459" s="125"/>
    </row>
    <row r="3460" spans="1:12" x14ac:dyDescent="0.25">
      <c r="A3460" s="115"/>
      <c r="B3460" s="115"/>
      <c r="C3460" s="115"/>
      <c r="D3460" s="115"/>
      <c r="E3460" s="115"/>
      <c r="F3460" s="115"/>
      <c r="G3460" s="116"/>
      <c r="I3460" s="118"/>
      <c r="J3460" s="118"/>
      <c r="L3460" s="125"/>
    </row>
    <row r="3461" spans="1:12" x14ac:dyDescent="0.25">
      <c r="A3461" s="115"/>
      <c r="B3461" s="115"/>
      <c r="C3461" s="115"/>
      <c r="D3461" s="115"/>
      <c r="E3461" s="115"/>
      <c r="F3461" s="115"/>
      <c r="G3461" s="116"/>
      <c r="I3461" s="118"/>
      <c r="J3461" s="118"/>
      <c r="L3461" s="125"/>
    </row>
    <row r="3462" spans="1:12" x14ac:dyDescent="0.25">
      <c r="A3462" s="115"/>
      <c r="B3462" s="115"/>
      <c r="C3462" s="115"/>
      <c r="D3462" s="115"/>
      <c r="E3462" s="115"/>
      <c r="F3462" s="115"/>
      <c r="G3462" s="116"/>
      <c r="I3462" s="118"/>
      <c r="J3462" s="118"/>
      <c r="L3462" s="125"/>
    </row>
    <row r="3463" spans="1:12" x14ac:dyDescent="0.25">
      <c r="A3463" s="115"/>
      <c r="B3463" s="115"/>
      <c r="C3463" s="115"/>
      <c r="D3463" s="115"/>
      <c r="E3463" s="115"/>
      <c r="F3463" s="115"/>
      <c r="G3463" s="116"/>
      <c r="I3463" s="118"/>
      <c r="J3463" s="118"/>
      <c r="L3463" s="125"/>
    </row>
    <row r="3464" spans="1:12" x14ac:dyDescent="0.25">
      <c r="A3464" s="115"/>
      <c r="B3464" s="115"/>
      <c r="C3464" s="115"/>
      <c r="D3464" s="115"/>
      <c r="E3464" s="115"/>
      <c r="F3464" s="115"/>
      <c r="G3464" s="116"/>
      <c r="I3464" s="118"/>
      <c r="J3464" s="118"/>
      <c r="L3464" s="125"/>
    </row>
    <row r="3465" spans="1:12" x14ac:dyDescent="0.25">
      <c r="A3465" s="115"/>
      <c r="B3465" s="115"/>
      <c r="C3465" s="115"/>
      <c r="D3465" s="115"/>
      <c r="E3465" s="115"/>
      <c r="F3465" s="115"/>
      <c r="G3465" s="116"/>
      <c r="I3465" s="118"/>
      <c r="J3465" s="118"/>
      <c r="L3465" s="125"/>
    </row>
    <row r="3466" spans="1:12" x14ac:dyDescent="0.25">
      <c r="A3466" s="115"/>
      <c r="B3466" s="115"/>
      <c r="C3466" s="115"/>
      <c r="D3466" s="115"/>
      <c r="E3466" s="115"/>
      <c r="F3466" s="115"/>
      <c r="G3466" s="116"/>
      <c r="I3466" s="118"/>
      <c r="J3466" s="118"/>
      <c r="L3466" s="125"/>
    </row>
    <row r="3467" spans="1:12" x14ac:dyDescent="0.25">
      <c r="A3467" s="115"/>
      <c r="B3467" s="115"/>
      <c r="C3467" s="115"/>
      <c r="D3467" s="115"/>
      <c r="E3467" s="115"/>
      <c r="F3467" s="115"/>
      <c r="G3467" s="116"/>
      <c r="I3467" s="118"/>
      <c r="J3467" s="118"/>
      <c r="L3467" s="125"/>
    </row>
    <row r="3468" spans="1:12" x14ac:dyDescent="0.25">
      <c r="A3468" s="115"/>
      <c r="B3468" s="115"/>
      <c r="C3468" s="115"/>
      <c r="D3468" s="115"/>
      <c r="E3468" s="115"/>
      <c r="F3468" s="115"/>
      <c r="G3468" s="116"/>
      <c r="I3468" s="118"/>
      <c r="J3468" s="118"/>
      <c r="L3468" s="125"/>
    </row>
    <row r="3469" spans="1:12" x14ac:dyDescent="0.25">
      <c r="A3469" s="115"/>
      <c r="B3469" s="115"/>
      <c r="C3469" s="115"/>
      <c r="D3469" s="115"/>
      <c r="E3469" s="115"/>
      <c r="F3469" s="115"/>
      <c r="G3469" s="116"/>
      <c r="I3469" s="118"/>
      <c r="J3469" s="118"/>
      <c r="L3469" s="125"/>
    </row>
    <row r="3470" spans="1:12" x14ac:dyDescent="0.25">
      <c r="A3470" s="115"/>
      <c r="B3470" s="115"/>
      <c r="C3470" s="115"/>
      <c r="D3470" s="115"/>
      <c r="E3470" s="115"/>
      <c r="F3470" s="115"/>
      <c r="G3470" s="116"/>
      <c r="I3470" s="118"/>
      <c r="J3470" s="118"/>
      <c r="L3470" s="125"/>
    </row>
    <row r="3471" spans="1:12" x14ac:dyDescent="0.25">
      <c r="A3471" s="115"/>
      <c r="B3471" s="115"/>
      <c r="C3471" s="115"/>
      <c r="D3471" s="115"/>
      <c r="E3471" s="115"/>
      <c r="F3471" s="115"/>
      <c r="G3471" s="116"/>
      <c r="I3471" s="118"/>
      <c r="J3471" s="118"/>
      <c r="L3471" s="125"/>
    </row>
    <row r="3472" spans="1:12" x14ac:dyDescent="0.25">
      <c r="A3472" s="115"/>
      <c r="B3472" s="115"/>
      <c r="C3472" s="115"/>
      <c r="D3472" s="115"/>
      <c r="E3472" s="115"/>
      <c r="F3472" s="115"/>
      <c r="G3472" s="116"/>
      <c r="I3472" s="118"/>
      <c r="J3472" s="118"/>
      <c r="L3472" s="125"/>
    </row>
    <row r="3473" spans="1:12" x14ac:dyDescent="0.25">
      <c r="A3473" s="115"/>
      <c r="B3473" s="115"/>
      <c r="C3473" s="115"/>
      <c r="D3473" s="115"/>
      <c r="E3473" s="115"/>
      <c r="F3473" s="115"/>
      <c r="G3473" s="116"/>
      <c r="I3473" s="118"/>
      <c r="J3473" s="118"/>
      <c r="L3473" s="125"/>
    </row>
    <row r="3474" spans="1:12" x14ac:dyDescent="0.25">
      <c r="A3474" s="115"/>
      <c r="B3474" s="115"/>
      <c r="C3474" s="115"/>
      <c r="D3474" s="115"/>
      <c r="E3474" s="115"/>
      <c r="F3474" s="115"/>
      <c r="G3474" s="116"/>
      <c r="I3474" s="118"/>
      <c r="J3474" s="118"/>
      <c r="L3474" s="125"/>
    </row>
    <row r="3475" spans="1:12" x14ac:dyDescent="0.25">
      <c r="A3475" s="115"/>
      <c r="B3475" s="115"/>
      <c r="C3475" s="115"/>
      <c r="D3475" s="115"/>
      <c r="E3475" s="115"/>
      <c r="F3475" s="115"/>
      <c r="G3475" s="116"/>
      <c r="I3475" s="118"/>
      <c r="J3475" s="118"/>
      <c r="L3475" s="125"/>
    </row>
    <row r="3476" spans="1:12" x14ac:dyDescent="0.25">
      <c r="A3476" s="115"/>
      <c r="B3476" s="115"/>
      <c r="C3476" s="115"/>
      <c r="D3476" s="115"/>
      <c r="E3476" s="115"/>
      <c r="F3476" s="115"/>
      <c r="G3476" s="116"/>
      <c r="I3476" s="118"/>
      <c r="J3476" s="118"/>
      <c r="L3476" s="125"/>
    </row>
    <row r="3477" spans="1:12" x14ac:dyDescent="0.25">
      <c r="A3477" s="115"/>
      <c r="B3477" s="115"/>
      <c r="C3477" s="115"/>
      <c r="D3477" s="115"/>
      <c r="E3477" s="115"/>
      <c r="F3477" s="115"/>
      <c r="G3477" s="116"/>
      <c r="I3477" s="118"/>
      <c r="J3477" s="118"/>
      <c r="L3477" s="125"/>
    </row>
    <row r="3478" spans="1:12" x14ac:dyDescent="0.25">
      <c r="A3478" s="115"/>
      <c r="B3478" s="115"/>
      <c r="C3478" s="115"/>
      <c r="D3478" s="115"/>
      <c r="E3478" s="115"/>
      <c r="F3478" s="115"/>
      <c r="G3478" s="116"/>
      <c r="I3478" s="118"/>
      <c r="J3478" s="118"/>
      <c r="L3478" s="125"/>
    </row>
    <row r="3479" spans="1:12" x14ac:dyDescent="0.25">
      <c r="A3479" s="115"/>
      <c r="B3479" s="115"/>
      <c r="C3479" s="115"/>
      <c r="D3479" s="115"/>
      <c r="E3479" s="115"/>
      <c r="F3479" s="115"/>
      <c r="G3479" s="116"/>
      <c r="I3479" s="118"/>
      <c r="J3479" s="118"/>
      <c r="L3479" s="125"/>
    </row>
    <row r="3480" spans="1:12" x14ac:dyDescent="0.25">
      <c r="A3480" s="115"/>
      <c r="B3480" s="115"/>
      <c r="C3480" s="115"/>
      <c r="D3480" s="115"/>
      <c r="E3480" s="115"/>
      <c r="F3480" s="115"/>
      <c r="G3480" s="116"/>
      <c r="I3480" s="118"/>
      <c r="J3480" s="118"/>
      <c r="L3480" s="125"/>
    </row>
    <row r="3481" spans="1:12" x14ac:dyDescent="0.25">
      <c r="A3481" s="115"/>
      <c r="B3481" s="115"/>
      <c r="C3481" s="115"/>
      <c r="D3481" s="115"/>
      <c r="E3481" s="115"/>
      <c r="F3481" s="115"/>
      <c r="G3481" s="116"/>
      <c r="I3481" s="118"/>
      <c r="J3481" s="118"/>
      <c r="L3481" s="125"/>
    </row>
    <row r="3482" spans="1:12" x14ac:dyDescent="0.25">
      <c r="A3482" s="115"/>
      <c r="B3482" s="115"/>
      <c r="C3482" s="115"/>
      <c r="D3482" s="115"/>
      <c r="E3482" s="115"/>
      <c r="F3482" s="115"/>
      <c r="G3482" s="116"/>
      <c r="I3482" s="118"/>
      <c r="J3482" s="118"/>
      <c r="L3482" s="125"/>
    </row>
    <row r="3483" spans="1:12" x14ac:dyDescent="0.25">
      <c r="A3483" s="115"/>
      <c r="B3483" s="115"/>
      <c r="C3483" s="115"/>
      <c r="D3483" s="115"/>
      <c r="E3483" s="115"/>
      <c r="F3483" s="115"/>
      <c r="G3483" s="116"/>
      <c r="I3483" s="118"/>
      <c r="J3483" s="118"/>
      <c r="L3483" s="125"/>
    </row>
    <row r="3484" spans="1:12" x14ac:dyDescent="0.25">
      <c r="A3484" s="115"/>
      <c r="B3484" s="115"/>
      <c r="C3484" s="115"/>
      <c r="D3484" s="115"/>
      <c r="E3484" s="115"/>
      <c r="F3484" s="115"/>
      <c r="G3484" s="116"/>
      <c r="I3484" s="118"/>
      <c r="J3484" s="118"/>
      <c r="L3484" s="125"/>
    </row>
    <row r="3485" spans="1:12" x14ac:dyDescent="0.25">
      <c r="A3485" s="115"/>
      <c r="B3485" s="115"/>
      <c r="C3485" s="115"/>
      <c r="D3485" s="115"/>
      <c r="E3485" s="115"/>
      <c r="F3485" s="115"/>
      <c r="G3485" s="116"/>
      <c r="I3485" s="118"/>
      <c r="J3485" s="118"/>
      <c r="L3485" s="125"/>
    </row>
    <row r="3486" spans="1:12" x14ac:dyDescent="0.25">
      <c r="A3486" s="115"/>
      <c r="B3486" s="115"/>
      <c r="C3486" s="115"/>
      <c r="D3486" s="115"/>
      <c r="E3486" s="115"/>
      <c r="F3486" s="115"/>
      <c r="G3486" s="116"/>
      <c r="I3486" s="118"/>
      <c r="J3486" s="118"/>
      <c r="L3486" s="125"/>
    </row>
    <row r="3487" spans="1:12" x14ac:dyDescent="0.25">
      <c r="A3487" s="115"/>
      <c r="B3487" s="115"/>
      <c r="C3487" s="115"/>
      <c r="D3487" s="115"/>
      <c r="E3487" s="115"/>
      <c r="F3487" s="115"/>
      <c r="G3487" s="116"/>
      <c r="I3487" s="118"/>
      <c r="J3487" s="118"/>
      <c r="L3487" s="125"/>
    </row>
    <row r="3488" spans="1:12" x14ac:dyDescent="0.25">
      <c r="A3488" s="115"/>
      <c r="B3488" s="115"/>
      <c r="C3488" s="115"/>
      <c r="D3488" s="115"/>
      <c r="E3488" s="115"/>
      <c r="F3488" s="115"/>
      <c r="G3488" s="116"/>
      <c r="I3488" s="118"/>
      <c r="J3488" s="118"/>
      <c r="L3488" s="125"/>
    </row>
    <row r="3489" spans="1:12" x14ac:dyDescent="0.25">
      <c r="A3489" s="115"/>
      <c r="B3489" s="115"/>
      <c r="C3489" s="115"/>
      <c r="D3489" s="115"/>
      <c r="E3489" s="115"/>
      <c r="F3489" s="115"/>
      <c r="G3489" s="116"/>
      <c r="I3489" s="118"/>
      <c r="J3489" s="118"/>
      <c r="L3489" s="125"/>
    </row>
    <row r="3490" spans="1:12" x14ac:dyDescent="0.25">
      <c r="A3490" s="115"/>
      <c r="B3490" s="115"/>
      <c r="C3490" s="115"/>
      <c r="D3490" s="115"/>
      <c r="E3490" s="115"/>
      <c r="F3490" s="115"/>
      <c r="G3490" s="116"/>
      <c r="I3490" s="118"/>
      <c r="J3490" s="118"/>
      <c r="L3490" s="125"/>
    </row>
    <row r="3491" spans="1:12" x14ac:dyDescent="0.25">
      <c r="A3491" s="115"/>
      <c r="B3491" s="115"/>
      <c r="C3491" s="115"/>
      <c r="D3491" s="115"/>
      <c r="E3491" s="115"/>
      <c r="F3491" s="115"/>
      <c r="G3491" s="116"/>
      <c r="I3491" s="118"/>
      <c r="J3491" s="118"/>
      <c r="L3491" s="125"/>
    </row>
    <row r="3492" spans="1:12" x14ac:dyDescent="0.25">
      <c r="A3492" s="115"/>
      <c r="B3492" s="115"/>
      <c r="C3492" s="115"/>
      <c r="D3492" s="115"/>
      <c r="E3492" s="115"/>
      <c r="F3492" s="115"/>
      <c r="G3492" s="116"/>
      <c r="I3492" s="118"/>
      <c r="J3492" s="118"/>
      <c r="L3492" s="125"/>
    </row>
    <row r="3493" spans="1:12" x14ac:dyDescent="0.25">
      <c r="A3493" s="115"/>
      <c r="B3493" s="115"/>
      <c r="C3493" s="115"/>
      <c r="D3493" s="115"/>
      <c r="E3493" s="115"/>
      <c r="F3493" s="115"/>
      <c r="G3493" s="116"/>
      <c r="I3493" s="118"/>
      <c r="J3493" s="118"/>
      <c r="L3493" s="125"/>
    </row>
    <row r="3494" spans="1:12" x14ac:dyDescent="0.25">
      <c r="A3494" s="115"/>
      <c r="B3494" s="115"/>
      <c r="C3494" s="115"/>
      <c r="D3494" s="115"/>
      <c r="E3494" s="115"/>
      <c r="F3494" s="115"/>
      <c r="G3494" s="116"/>
      <c r="I3494" s="118"/>
      <c r="J3494" s="118"/>
      <c r="L3494" s="125"/>
    </row>
    <row r="3495" spans="1:12" x14ac:dyDescent="0.25">
      <c r="A3495" s="115"/>
      <c r="B3495" s="115"/>
      <c r="C3495" s="115"/>
      <c r="D3495" s="115"/>
      <c r="E3495" s="115"/>
      <c r="F3495" s="115"/>
      <c r="G3495" s="116"/>
      <c r="I3495" s="118"/>
      <c r="J3495" s="118"/>
      <c r="L3495" s="125"/>
    </row>
    <row r="3496" spans="1:12" x14ac:dyDescent="0.25">
      <c r="A3496" s="115"/>
      <c r="B3496" s="115"/>
      <c r="C3496" s="115"/>
      <c r="D3496" s="115"/>
      <c r="E3496" s="115"/>
      <c r="F3496" s="115"/>
      <c r="G3496" s="116"/>
      <c r="I3496" s="118"/>
      <c r="J3496" s="118"/>
      <c r="L3496" s="125"/>
    </row>
    <row r="3497" spans="1:12" x14ac:dyDescent="0.25">
      <c r="A3497" s="115"/>
      <c r="B3497" s="115"/>
      <c r="C3497" s="115"/>
      <c r="D3497" s="115"/>
      <c r="E3497" s="115"/>
      <c r="F3497" s="115"/>
      <c r="G3497" s="116"/>
      <c r="I3497" s="118"/>
      <c r="J3497" s="118"/>
      <c r="L3497" s="125"/>
    </row>
    <row r="3498" spans="1:12" x14ac:dyDescent="0.25">
      <c r="A3498" s="115"/>
      <c r="B3498" s="115"/>
      <c r="C3498" s="115"/>
      <c r="D3498" s="115"/>
      <c r="E3498" s="115"/>
      <c r="F3498" s="115"/>
      <c r="G3498" s="116"/>
      <c r="I3498" s="118"/>
      <c r="J3498" s="118"/>
      <c r="L3498" s="125"/>
    </row>
    <row r="3499" spans="1:12" x14ac:dyDescent="0.25">
      <c r="A3499" s="115"/>
      <c r="B3499" s="115"/>
      <c r="C3499" s="115"/>
      <c r="D3499" s="115"/>
      <c r="E3499" s="115"/>
      <c r="F3499" s="115"/>
      <c r="G3499" s="116"/>
      <c r="I3499" s="118"/>
      <c r="J3499" s="118"/>
      <c r="L3499" s="125"/>
    </row>
    <row r="3500" spans="1:12" x14ac:dyDescent="0.25">
      <c r="A3500" s="115"/>
      <c r="B3500" s="115"/>
      <c r="C3500" s="115"/>
      <c r="D3500" s="115"/>
      <c r="E3500" s="115"/>
      <c r="F3500" s="115"/>
      <c r="G3500" s="116"/>
      <c r="I3500" s="118"/>
      <c r="J3500" s="118"/>
      <c r="L3500" s="125"/>
    </row>
    <row r="3501" spans="1:12" x14ac:dyDescent="0.25">
      <c r="A3501" s="115"/>
      <c r="B3501" s="115"/>
      <c r="C3501" s="115"/>
      <c r="D3501" s="115"/>
      <c r="E3501" s="115"/>
      <c r="F3501" s="115"/>
      <c r="G3501" s="116"/>
      <c r="I3501" s="118"/>
      <c r="J3501" s="118"/>
      <c r="L3501" s="125"/>
    </row>
    <row r="3502" spans="1:12" x14ac:dyDescent="0.25">
      <c r="A3502" s="115"/>
      <c r="B3502" s="115"/>
      <c r="C3502" s="115"/>
      <c r="D3502" s="115"/>
      <c r="E3502" s="115"/>
      <c r="F3502" s="115"/>
      <c r="G3502" s="116"/>
      <c r="I3502" s="118"/>
      <c r="J3502" s="118"/>
      <c r="L3502" s="125"/>
    </row>
    <row r="3503" spans="1:12" x14ac:dyDescent="0.25">
      <c r="A3503" s="115"/>
      <c r="B3503" s="115"/>
      <c r="C3503" s="115"/>
      <c r="D3503" s="115"/>
      <c r="E3503" s="115"/>
      <c r="F3503" s="115"/>
      <c r="G3503" s="116"/>
      <c r="I3503" s="118"/>
      <c r="J3503" s="118"/>
      <c r="L3503" s="125"/>
    </row>
    <row r="3504" spans="1:12" x14ac:dyDescent="0.25">
      <c r="A3504" s="115"/>
      <c r="B3504" s="115"/>
      <c r="C3504" s="115"/>
      <c r="D3504" s="115"/>
      <c r="E3504" s="115"/>
      <c r="F3504" s="115"/>
      <c r="G3504" s="116"/>
      <c r="I3504" s="118"/>
      <c r="J3504" s="118"/>
      <c r="L3504" s="125"/>
    </row>
    <row r="3505" spans="1:12" x14ac:dyDescent="0.25">
      <c r="A3505" s="115"/>
      <c r="B3505" s="115"/>
      <c r="C3505" s="115"/>
      <c r="D3505" s="115"/>
      <c r="E3505" s="115"/>
      <c r="F3505" s="115"/>
      <c r="G3505" s="116"/>
      <c r="I3505" s="118"/>
      <c r="J3505" s="118"/>
      <c r="L3505" s="125"/>
    </row>
    <row r="3506" spans="1:12" x14ac:dyDescent="0.25">
      <c r="A3506" s="115"/>
      <c r="B3506" s="115"/>
      <c r="C3506" s="115"/>
      <c r="D3506" s="115"/>
      <c r="E3506" s="115"/>
      <c r="F3506" s="115"/>
      <c r="G3506" s="116"/>
      <c r="I3506" s="118"/>
      <c r="J3506" s="118"/>
      <c r="L3506" s="125"/>
    </row>
    <row r="3507" spans="1:12" x14ac:dyDescent="0.25">
      <c r="A3507" s="115"/>
      <c r="B3507" s="115"/>
      <c r="C3507" s="115"/>
      <c r="D3507" s="115"/>
      <c r="E3507" s="115"/>
      <c r="F3507" s="115"/>
      <c r="G3507" s="116"/>
      <c r="I3507" s="118"/>
      <c r="J3507" s="118"/>
      <c r="L3507" s="125"/>
    </row>
    <row r="3508" spans="1:12" x14ac:dyDescent="0.25">
      <c r="A3508" s="115"/>
      <c r="B3508" s="115"/>
      <c r="C3508" s="115"/>
      <c r="D3508" s="115"/>
      <c r="E3508" s="115"/>
      <c r="F3508" s="115"/>
      <c r="G3508" s="116"/>
      <c r="I3508" s="118"/>
      <c r="J3508" s="118"/>
      <c r="L3508" s="125"/>
    </row>
    <row r="3509" spans="1:12" x14ac:dyDescent="0.25">
      <c r="A3509" s="115"/>
      <c r="B3509" s="115"/>
      <c r="C3509" s="115"/>
      <c r="D3509" s="115"/>
      <c r="E3509" s="115"/>
      <c r="F3509" s="115"/>
      <c r="G3509" s="116"/>
      <c r="I3509" s="118"/>
      <c r="J3509" s="118"/>
      <c r="L3509" s="125"/>
    </row>
    <row r="3510" spans="1:12" x14ac:dyDescent="0.25">
      <c r="A3510" s="115"/>
      <c r="B3510" s="115"/>
      <c r="C3510" s="115"/>
      <c r="D3510" s="115"/>
      <c r="E3510" s="115"/>
      <c r="F3510" s="115"/>
      <c r="G3510" s="116"/>
      <c r="I3510" s="118"/>
      <c r="J3510" s="118"/>
      <c r="L3510" s="125"/>
    </row>
    <row r="3511" spans="1:12" x14ac:dyDescent="0.25">
      <c r="A3511" s="115"/>
      <c r="B3511" s="115"/>
      <c r="C3511" s="115"/>
      <c r="D3511" s="115"/>
      <c r="E3511" s="115"/>
      <c r="F3511" s="115"/>
      <c r="G3511" s="116"/>
      <c r="I3511" s="118"/>
      <c r="J3511" s="118"/>
      <c r="L3511" s="125"/>
    </row>
    <row r="3512" spans="1:12" x14ac:dyDescent="0.25">
      <c r="A3512" s="115"/>
      <c r="B3512" s="115"/>
      <c r="C3512" s="115"/>
      <c r="D3512" s="115"/>
      <c r="E3512" s="115"/>
      <c r="F3512" s="115"/>
      <c r="G3512" s="116"/>
      <c r="I3512" s="118"/>
      <c r="J3512" s="118"/>
      <c r="L3512" s="125"/>
    </row>
    <row r="3513" spans="1:12" x14ac:dyDescent="0.25">
      <c r="A3513" s="115"/>
      <c r="B3513" s="115"/>
      <c r="C3513" s="115"/>
      <c r="D3513" s="115"/>
      <c r="E3513" s="115"/>
      <c r="F3513" s="115"/>
      <c r="G3513" s="116"/>
      <c r="I3513" s="118"/>
      <c r="J3513" s="118"/>
      <c r="L3513" s="125"/>
    </row>
    <row r="3514" spans="1:12" x14ac:dyDescent="0.25">
      <c r="A3514" s="115"/>
      <c r="B3514" s="115"/>
      <c r="C3514" s="115"/>
      <c r="D3514" s="115"/>
      <c r="E3514" s="115"/>
      <c r="F3514" s="115"/>
      <c r="G3514" s="116"/>
      <c r="I3514" s="118"/>
      <c r="J3514" s="118"/>
      <c r="L3514" s="125"/>
    </row>
    <row r="3515" spans="1:12" x14ac:dyDescent="0.25">
      <c r="A3515" s="115"/>
      <c r="B3515" s="115"/>
      <c r="C3515" s="115"/>
      <c r="D3515" s="115"/>
      <c r="E3515" s="115"/>
      <c r="F3515" s="115"/>
      <c r="G3515" s="116"/>
      <c r="I3515" s="118"/>
      <c r="J3515" s="118"/>
      <c r="L3515" s="125"/>
    </row>
    <row r="3516" spans="1:12" x14ac:dyDescent="0.25">
      <c r="A3516" s="115"/>
      <c r="B3516" s="115"/>
      <c r="C3516" s="115"/>
      <c r="D3516" s="115"/>
      <c r="E3516" s="115"/>
      <c r="F3516" s="115"/>
      <c r="G3516" s="116"/>
      <c r="I3516" s="118"/>
      <c r="J3516" s="118"/>
      <c r="L3516" s="125"/>
    </row>
    <row r="3517" spans="1:12" x14ac:dyDescent="0.25">
      <c r="A3517" s="115"/>
      <c r="B3517" s="115"/>
      <c r="C3517" s="115"/>
      <c r="D3517" s="115"/>
      <c r="E3517" s="115"/>
      <c r="F3517" s="115"/>
      <c r="G3517" s="116"/>
      <c r="I3517" s="118"/>
      <c r="J3517" s="118"/>
      <c r="L3517" s="125"/>
    </row>
    <row r="3518" spans="1:12" x14ac:dyDescent="0.25">
      <c r="A3518" s="115"/>
      <c r="B3518" s="115"/>
      <c r="C3518" s="115"/>
      <c r="D3518" s="115"/>
      <c r="E3518" s="115"/>
      <c r="F3518" s="115"/>
      <c r="G3518" s="116"/>
      <c r="I3518" s="118"/>
      <c r="J3518" s="118"/>
      <c r="L3518" s="125"/>
    </row>
    <row r="3519" spans="1:12" x14ac:dyDescent="0.25">
      <c r="A3519" s="115"/>
      <c r="B3519" s="115"/>
      <c r="C3519" s="115"/>
      <c r="D3519" s="115"/>
      <c r="E3519" s="115"/>
      <c r="F3519" s="115"/>
      <c r="G3519" s="116"/>
      <c r="I3519" s="118"/>
      <c r="J3519" s="118"/>
      <c r="L3519" s="125"/>
    </row>
    <row r="3520" spans="1:12" x14ac:dyDescent="0.25">
      <c r="A3520" s="115"/>
      <c r="B3520" s="115"/>
      <c r="C3520" s="115"/>
      <c r="D3520" s="115"/>
      <c r="E3520" s="115"/>
      <c r="F3520" s="115"/>
      <c r="G3520" s="116"/>
      <c r="I3520" s="118"/>
      <c r="J3520" s="118"/>
      <c r="L3520" s="125"/>
    </row>
    <row r="3521" spans="1:12" x14ac:dyDescent="0.25">
      <c r="A3521" s="115"/>
      <c r="B3521" s="115"/>
      <c r="C3521" s="115"/>
      <c r="D3521" s="115"/>
      <c r="E3521" s="115"/>
      <c r="F3521" s="115"/>
      <c r="G3521" s="116"/>
      <c r="I3521" s="118"/>
      <c r="J3521" s="118"/>
      <c r="L3521" s="125"/>
    </row>
    <row r="3522" spans="1:12" x14ac:dyDescent="0.25">
      <c r="A3522" s="115"/>
      <c r="B3522" s="115"/>
      <c r="C3522" s="115"/>
      <c r="D3522" s="115"/>
      <c r="E3522" s="115"/>
      <c r="F3522" s="115"/>
      <c r="G3522" s="116"/>
      <c r="I3522" s="118"/>
      <c r="J3522" s="118"/>
      <c r="L3522" s="125"/>
    </row>
    <row r="3523" spans="1:12" x14ac:dyDescent="0.25">
      <c r="A3523" s="115"/>
      <c r="B3523" s="115"/>
      <c r="C3523" s="115"/>
      <c r="D3523" s="115"/>
      <c r="E3523" s="115"/>
      <c r="F3523" s="115"/>
      <c r="G3523" s="116"/>
      <c r="I3523" s="118"/>
      <c r="J3523" s="118"/>
      <c r="L3523" s="125"/>
    </row>
    <row r="3524" spans="1:12" x14ac:dyDescent="0.25">
      <c r="A3524" s="115"/>
      <c r="B3524" s="115"/>
      <c r="C3524" s="115"/>
      <c r="D3524" s="115"/>
      <c r="E3524" s="115"/>
      <c r="F3524" s="115"/>
      <c r="G3524" s="116"/>
      <c r="I3524" s="118"/>
      <c r="J3524" s="118"/>
      <c r="L3524" s="125"/>
    </row>
    <row r="3525" spans="1:12" x14ac:dyDescent="0.25">
      <c r="A3525" s="115"/>
      <c r="B3525" s="115"/>
      <c r="C3525" s="115"/>
      <c r="D3525" s="115"/>
      <c r="E3525" s="115"/>
      <c r="F3525" s="115"/>
      <c r="G3525" s="116"/>
      <c r="I3525" s="118"/>
      <c r="J3525" s="118"/>
      <c r="L3525" s="125"/>
    </row>
    <row r="3526" spans="1:12" x14ac:dyDescent="0.25">
      <c r="A3526" s="115"/>
      <c r="B3526" s="115"/>
      <c r="C3526" s="115"/>
      <c r="D3526" s="115"/>
      <c r="E3526" s="115"/>
      <c r="F3526" s="115"/>
      <c r="G3526" s="116"/>
      <c r="I3526" s="118"/>
      <c r="J3526" s="118"/>
      <c r="L3526" s="125"/>
    </row>
    <row r="3527" spans="1:12" x14ac:dyDescent="0.25">
      <c r="A3527" s="115"/>
      <c r="B3527" s="115"/>
      <c r="C3527" s="115"/>
      <c r="D3527" s="115"/>
      <c r="E3527" s="115"/>
      <c r="F3527" s="115"/>
      <c r="G3527" s="116"/>
      <c r="I3527" s="118"/>
      <c r="J3527" s="118"/>
      <c r="L3527" s="125"/>
    </row>
    <row r="3528" spans="1:12" x14ac:dyDescent="0.25">
      <c r="A3528" s="115"/>
      <c r="B3528" s="115"/>
      <c r="C3528" s="115"/>
      <c r="D3528" s="115"/>
      <c r="E3528" s="115"/>
      <c r="F3528" s="115"/>
      <c r="G3528" s="116"/>
      <c r="I3528" s="118"/>
      <c r="J3528" s="118"/>
      <c r="L3528" s="125"/>
    </row>
    <row r="3529" spans="1:12" x14ac:dyDescent="0.25">
      <c r="A3529" s="115"/>
      <c r="B3529" s="115"/>
      <c r="C3529" s="115"/>
      <c r="D3529" s="115"/>
      <c r="E3529" s="115"/>
      <c r="F3529" s="115"/>
      <c r="G3529" s="116"/>
      <c r="I3529" s="118"/>
      <c r="J3529" s="118"/>
      <c r="L3529" s="125"/>
    </row>
    <row r="3530" spans="1:12" x14ac:dyDescent="0.25">
      <c r="A3530" s="115"/>
      <c r="B3530" s="115"/>
      <c r="C3530" s="115"/>
      <c r="D3530" s="115"/>
      <c r="E3530" s="115"/>
      <c r="F3530" s="115"/>
      <c r="G3530" s="116"/>
      <c r="I3530" s="118"/>
      <c r="J3530" s="118"/>
      <c r="L3530" s="125"/>
    </row>
    <row r="3531" spans="1:12" x14ac:dyDescent="0.25">
      <c r="A3531" s="115"/>
      <c r="B3531" s="115"/>
      <c r="C3531" s="115"/>
      <c r="D3531" s="115"/>
      <c r="E3531" s="115"/>
      <c r="F3531" s="115"/>
      <c r="G3531" s="116"/>
      <c r="I3531" s="118"/>
      <c r="J3531" s="118"/>
      <c r="L3531" s="125"/>
    </row>
    <row r="3532" spans="1:12" x14ac:dyDescent="0.25">
      <c r="A3532" s="115"/>
      <c r="B3532" s="115"/>
      <c r="C3532" s="115"/>
      <c r="D3532" s="115"/>
      <c r="E3532" s="115"/>
      <c r="F3532" s="115"/>
      <c r="G3532" s="116"/>
      <c r="I3532" s="118"/>
      <c r="J3532" s="118"/>
      <c r="L3532" s="125"/>
    </row>
    <row r="3533" spans="1:12" x14ac:dyDescent="0.25">
      <c r="A3533" s="115"/>
      <c r="B3533" s="115"/>
      <c r="C3533" s="115"/>
      <c r="D3533" s="115"/>
      <c r="E3533" s="115"/>
      <c r="F3533" s="115"/>
      <c r="G3533" s="116"/>
      <c r="I3533" s="118"/>
      <c r="J3533" s="118"/>
      <c r="L3533" s="125"/>
    </row>
    <row r="3534" spans="1:12" x14ac:dyDescent="0.25">
      <c r="A3534" s="115"/>
      <c r="B3534" s="115"/>
      <c r="C3534" s="115"/>
      <c r="D3534" s="115"/>
      <c r="E3534" s="115"/>
      <c r="F3534" s="115"/>
      <c r="G3534" s="116"/>
      <c r="I3534" s="118"/>
      <c r="J3534" s="118"/>
      <c r="L3534" s="125"/>
    </row>
    <row r="3535" spans="1:12" x14ac:dyDescent="0.25">
      <c r="A3535" s="115"/>
      <c r="B3535" s="115"/>
      <c r="C3535" s="115"/>
      <c r="D3535" s="115"/>
      <c r="E3535" s="115"/>
      <c r="F3535" s="115"/>
      <c r="G3535" s="116"/>
      <c r="I3535" s="118"/>
      <c r="J3535" s="118"/>
      <c r="L3535" s="125"/>
    </row>
    <row r="3536" spans="1:12" x14ac:dyDescent="0.25">
      <c r="A3536" s="115"/>
      <c r="B3536" s="115"/>
      <c r="C3536" s="115"/>
      <c r="D3536" s="115"/>
      <c r="E3536" s="115"/>
      <c r="F3536" s="115"/>
      <c r="G3536" s="116"/>
      <c r="I3536" s="118"/>
      <c r="J3536" s="118"/>
      <c r="L3536" s="125"/>
    </row>
    <row r="3537" spans="1:12" x14ac:dyDescent="0.25">
      <c r="A3537" s="115"/>
      <c r="B3537" s="115"/>
      <c r="C3537" s="115"/>
      <c r="D3537" s="115"/>
      <c r="E3537" s="115"/>
      <c r="F3537" s="115"/>
      <c r="G3537" s="116"/>
      <c r="I3537" s="118"/>
      <c r="J3537" s="118"/>
      <c r="L3537" s="125"/>
    </row>
    <row r="3538" spans="1:12" x14ac:dyDescent="0.25">
      <c r="A3538" s="115"/>
      <c r="B3538" s="115"/>
      <c r="C3538" s="115"/>
      <c r="D3538" s="115"/>
      <c r="E3538" s="115"/>
      <c r="F3538" s="115"/>
      <c r="G3538" s="116"/>
      <c r="I3538" s="118"/>
      <c r="J3538" s="118"/>
      <c r="L3538" s="125"/>
    </row>
    <row r="3539" spans="1:12" x14ac:dyDescent="0.25">
      <c r="A3539" s="115"/>
      <c r="B3539" s="115"/>
      <c r="C3539" s="115"/>
      <c r="D3539" s="115"/>
      <c r="E3539" s="115"/>
      <c r="F3539" s="115"/>
      <c r="G3539" s="116"/>
      <c r="I3539" s="118"/>
      <c r="J3539" s="118"/>
      <c r="L3539" s="125"/>
    </row>
    <row r="3540" spans="1:12" x14ac:dyDescent="0.25">
      <c r="A3540" s="115"/>
      <c r="B3540" s="115"/>
      <c r="C3540" s="115"/>
      <c r="D3540" s="115"/>
      <c r="E3540" s="115"/>
      <c r="F3540" s="115"/>
      <c r="G3540" s="116"/>
      <c r="I3540" s="118"/>
      <c r="J3540" s="118"/>
      <c r="L3540" s="125"/>
    </row>
    <row r="3541" spans="1:12" x14ac:dyDescent="0.25">
      <c r="A3541" s="115"/>
      <c r="B3541" s="115"/>
      <c r="C3541" s="115"/>
      <c r="D3541" s="115"/>
      <c r="E3541" s="115"/>
      <c r="F3541" s="115"/>
      <c r="G3541" s="116"/>
      <c r="I3541" s="118"/>
      <c r="J3541" s="118"/>
      <c r="L3541" s="125"/>
    </row>
    <row r="3542" spans="1:12" x14ac:dyDescent="0.25">
      <c r="A3542" s="115"/>
      <c r="B3542" s="115"/>
      <c r="C3542" s="115"/>
      <c r="D3542" s="115"/>
      <c r="E3542" s="115"/>
      <c r="F3542" s="115"/>
      <c r="G3542" s="116"/>
      <c r="I3542" s="118"/>
      <c r="J3542" s="118"/>
      <c r="L3542" s="125"/>
    </row>
    <row r="3543" spans="1:12" x14ac:dyDescent="0.25">
      <c r="A3543" s="115"/>
      <c r="B3543" s="115"/>
      <c r="C3543" s="115"/>
      <c r="D3543" s="115"/>
      <c r="E3543" s="115"/>
      <c r="F3543" s="115"/>
      <c r="G3543" s="116"/>
      <c r="I3543" s="118"/>
      <c r="J3543" s="118"/>
      <c r="L3543" s="125"/>
    </row>
    <row r="3544" spans="1:12" x14ac:dyDescent="0.25">
      <c r="A3544" s="115"/>
      <c r="B3544" s="115"/>
      <c r="C3544" s="115"/>
      <c r="D3544" s="115"/>
      <c r="E3544" s="115"/>
      <c r="F3544" s="115"/>
      <c r="G3544" s="116"/>
      <c r="I3544" s="118"/>
      <c r="J3544" s="118"/>
      <c r="L3544" s="125"/>
    </row>
    <row r="3545" spans="1:12" x14ac:dyDescent="0.25">
      <c r="A3545" s="115"/>
      <c r="B3545" s="115"/>
      <c r="C3545" s="115"/>
      <c r="D3545" s="115"/>
      <c r="E3545" s="115"/>
      <c r="F3545" s="115"/>
      <c r="G3545" s="116"/>
      <c r="I3545" s="118"/>
      <c r="J3545" s="118"/>
      <c r="L3545" s="125"/>
    </row>
    <row r="3546" spans="1:12" x14ac:dyDescent="0.25">
      <c r="A3546" s="115"/>
      <c r="B3546" s="115"/>
      <c r="C3546" s="115"/>
      <c r="D3546" s="115"/>
      <c r="E3546" s="115"/>
      <c r="F3546" s="115"/>
      <c r="G3546" s="116"/>
      <c r="I3546" s="118"/>
      <c r="J3546" s="118"/>
      <c r="L3546" s="125"/>
    </row>
    <row r="3547" spans="1:12" x14ac:dyDescent="0.25">
      <c r="A3547" s="115"/>
      <c r="B3547" s="115"/>
      <c r="C3547" s="115"/>
      <c r="D3547" s="115"/>
      <c r="E3547" s="115"/>
      <c r="F3547" s="115"/>
      <c r="G3547" s="116"/>
      <c r="I3547" s="118"/>
      <c r="J3547" s="118"/>
      <c r="L3547" s="125"/>
    </row>
    <row r="3548" spans="1:12" x14ac:dyDescent="0.25">
      <c r="A3548" s="115"/>
      <c r="B3548" s="115"/>
      <c r="C3548" s="115"/>
      <c r="D3548" s="115"/>
      <c r="E3548" s="115"/>
      <c r="F3548" s="115"/>
      <c r="G3548" s="116"/>
      <c r="I3548" s="118"/>
      <c r="J3548" s="118"/>
      <c r="L3548" s="125"/>
    </row>
    <row r="3549" spans="1:12" x14ac:dyDescent="0.25">
      <c r="A3549" s="115"/>
      <c r="B3549" s="115"/>
      <c r="C3549" s="115"/>
      <c r="D3549" s="115"/>
      <c r="E3549" s="115"/>
      <c r="F3549" s="115"/>
      <c r="G3549" s="116"/>
      <c r="I3549" s="118"/>
      <c r="J3549" s="118"/>
      <c r="L3549" s="125"/>
    </row>
    <row r="3550" spans="1:12" x14ac:dyDescent="0.25">
      <c r="A3550" s="115"/>
      <c r="B3550" s="115"/>
      <c r="C3550" s="115"/>
      <c r="D3550" s="115"/>
      <c r="E3550" s="115"/>
      <c r="F3550" s="115"/>
      <c r="G3550" s="116"/>
      <c r="I3550" s="118"/>
      <c r="J3550" s="118"/>
      <c r="L3550" s="125"/>
    </row>
    <row r="3551" spans="1:12" x14ac:dyDescent="0.25">
      <c r="A3551" s="115"/>
      <c r="B3551" s="115"/>
      <c r="C3551" s="115"/>
      <c r="D3551" s="115"/>
      <c r="E3551" s="115"/>
      <c r="F3551" s="115"/>
      <c r="G3551" s="116"/>
      <c r="I3551" s="118"/>
      <c r="J3551" s="118"/>
      <c r="L3551" s="125"/>
    </row>
    <row r="3552" spans="1:12" x14ac:dyDescent="0.25">
      <c r="A3552" s="115"/>
      <c r="B3552" s="115"/>
      <c r="C3552" s="115"/>
      <c r="D3552" s="115"/>
      <c r="E3552" s="115"/>
      <c r="F3552" s="115"/>
      <c r="G3552" s="116"/>
      <c r="I3552" s="118"/>
      <c r="J3552" s="118"/>
      <c r="L3552" s="125"/>
    </row>
    <row r="3553" spans="1:12" x14ac:dyDescent="0.25">
      <c r="A3553" s="115"/>
      <c r="B3553" s="115"/>
      <c r="C3553" s="115"/>
      <c r="D3553" s="115"/>
      <c r="E3553" s="115"/>
      <c r="F3553" s="115"/>
      <c r="G3553" s="116"/>
      <c r="I3553" s="118"/>
      <c r="J3553" s="118"/>
      <c r="L3553" s="125"/>
    </row>
    <row r="3554" spans="1:12" x14ac:dyDescent="0.25">
      <c r="A3554" s="115"/>
      <c r="B3554" s="115"/>
      <c r="C3554" s="115"/>
      <c r="D3554" s="115"/>
      <c r="E3554" s="115"/>
      <c r="F3554" s="115"/>
      <c r="G3554" s="116"/>
      <c r="I3554" s="118"/>
      <c r="J3554" s="118"/>
      <c r="L3554" s="125"/>
    </row>
    <row r="3555" spans="1:12" x14ac:dyDescent="0.25">
      <c r="A3555" s="115"/>
      <c r="B3555" s="115"/>
      <c r="C3555" s="115"/>
      <c r="D3555" s="115"/>
      <c r="E3555" s="115"/>
      <c r="F3555" s="115"/>
      <c r="G3555" s="116"/>
      <c r="I3555" s="118"/>
      <c r="J3555" s="118"/>
      <c r="L3555" s="125"/>
    </row>
    <row r="3556" spans="1:12" x14ac:dyDescent="0.25">
      <c r="A3556" s="115"/>
      <c r="B3556" s="115"/>
      <c r="C3556" s="115"/>
      <c r="D3556" s="115"/>
      <c r="E3556" s="115"/>
      <c r="F3556" s="115"/>
      <c r="G3556" s="116"/>
      <c r="I3556" s="118"/>
      <c r="J3556" s="118"/>
      <c r="L3556" s="125"/>
    </row>
    <row r="3557" spans="1:12" x14ac:dyDescent="0.25">
      <c r="A3557" s="115"/>
      <c r="B3557" s="115"/>
      <c r="C3557" s="115"/>
      <c r="D3557" s="115"/>
      <c r="E3557" s="115"/>
      <c r="F3557" s="115"/>
      <c r="G3557" s="116"/>
      <c r="I3557" s="118"/>
      <c r="J3557" s="118"/>
      <c r="L3557" s="125"/>
    </row>
    <row r="3558" spans="1:12" x14ac:dyDescent="0.25">
      <c r="A3558" s="115"/>
      <c r="B3558" s="115"/>
      <c r="C3558" s="115"/>
      <c r="D3558" s="115"/>
      <c r="E3558" s="115"/>
      <c r="F3558" s="115"/>
      <c r="G3558" s="116"/>
      <c r="I3558" s="118"/>
      <c r="J3558" s="118"/>
      <c r="L3558" s="125"/>
    </row>
    <row r="3559" spans="1:12" x14ac:dyDescent="0.25">
      <c r="A3559" s="115"/>
      <c r="B3559" s="115"/>
      <c r="C3559" s="115"/>
      <c r="D3559" s="115"/>
      <c r="E3559" s="115"/>
      <c r="F3559" s="115"/>
      <c r="G3559" s="116"/>
      <c r="I3559" s="118"/>
      <c r="J3559" s="118"/>
      <c r="L3559" s="125"/>
    </row>
    <row r="3560" spans="1:12" x14ac:dyDescent="0.25">
      <c r="A3560" s="115"/>
      <c r="B3560" s="115"/>
      <c r="C3560" s="115"/>
      <c r="D3560" s="115"/>
      <c r="E3560" s="115"/>
      <c r="F3560" s="115"/>
      <c r="G3560" s="116"/>
      <c r="I3560" s="118"/>
      <c r="J3560" s="118"/>
      <c r="L3560" s="125"/>
    </row>
    <row r="3561" spans="1:12" x14ac:dyDescent="0.25">
      <c r="A3561" s="115"/>
      <c r="B3561" s="115"/>
      <c r="C3561" s="115"/>
      <c r="D3561" s="115"/>
      <c r="E3561" s="115"/>
      <c r="F3561" s="115"/>
      <c r="G3561" s="116"/>
      <c r="I3561" s="118"/>
      <c r="J3561" s="118"/>
      <c r="L3561" s="125"/>
    </row>
    <row r="3562" spans="1:12" x14ac:dyDescent="0.25">
      <c r="A3562" s="115"/>
      <c r="B3562" s="115"/>
      <c r="C3562" s="115"/>
      <c r="D3562" s="115"/>
      <c r="E3562" s="115"/>
      <c r="F3562" s="115"/>
      <c r="G3562" s="116"/>
      <c r="I3562" s="118"/>
      <c r="J3562" s="118"/>
      <c r="L3562" s="125"/>
    </row>
    <row r="3563" spans="1:12" x14ac:dyDescent="0.25">
      <c r="A3563" s="115"/>
      <c r="B3563" s="115"/>
      <c r="C3563" s="115"/>
      <c r="D3563" s="115"/>
      <c r="E3563" s="115"/>
      <c r="F3563" s="115"/>
      <c r="G3563" s="116"/>
      <c r="I3563" s="118"/>
      <c r="J3563" s="118"/>
      <c r="L3563" s="125"/>
    </row>
    <row r="3564" spans="1:12" x14ac:dyDescent="0.25">
      <c r="A3564" s="115"/>
      <c r="B3564" s="115"/>
      <c r="C3564" s="115"/>
      <c r="D3564" s="115"/>
      <c r="E3564" s="115"/>
      <c r="F3564" s="115"/>
      <c r="G3564" s="116"/>
      <c r="I3564" s="118"/>
      <c r="J3564" s="118"/>
      <c r="L3564" s="125"/>
    </row>
    <row r="3565" spans="1:12" x14ac:dyDescent="0.25">
      <c r="A3565" s="115"/>
      <c r="B3565" s="115"/>
      <c r="C3565" s="115"/>
      <c r="D3565" s="115"/>
      <c r="E3565" s="115"/>
      <c r="F3565" s="115"/>
      <c r="G3565" s="116"/>
      <c r="I3565" s="118"/>
      <c r="J3565" s="118"/>
      <c r="L3565" s="125"/>
    </row>
    <row r="3566" spans="1:12" x14ac:dyDescent="0.25">
      <c r="A3566" s="115"/>
      <c r="B3566" s="115"/>
      <c r="C3566" s="115"/>
      <c r="D3566" s="115"/>
      <c r="E3566" s="115"/>
      <c r="F3566" s="115"/>
      <c r="G3566" s="116"/>
      <c r="I3566" s="118"/>
      <c r="J3566" s="118"/>
      <c r="L3566" s="125"/>
    </row>
    <row r="3567" spans="1:12" x14ac:dyDescent="0.25">
      <c r="A3567" s="115"/>
      <c r="B3567" s="115"/>
      <c r="C3567" s="115"/>
      <c r="D3567" s="115"/>
      <c r="E3567" s="115"/>
      <c r="F3567" s="115"/>
      <c r="G3567" s="116"/>
      <c r="I3567" s="118"/>
      <c r="J3567" s="118"/>
      <c r="L3567" s="125"/>
    </row>
    <row r="3568" spans="1:12" x14ac:dyDescent="0.25">
      <c r="A3568" s="115"/>
      <c r="B3568" s="115"/>
      <c r="C3568" s="115"/>
      <c r="D3568" s="115"/>
      <c r="E3568" s="115"/>
      <c r="F3568" s="115"/>
      <c r="G3568" s="116"/>
      <c r="I3568" s="118"/>
      <c r="J3568" s="118"/>
      <c r="L3568" s="125"/>
    </row>
    <row r="3569" spans="1:12" x14ac:dyDescent="0.25">
      <c r="A3569" s="115"/>
      <c r="B3569" s="115"/>
      <c r="C3569" s="115"/>
      <c r="D3569" s="115"/>
      <c r="E3569" s="115"/>
      <c r="F3569" s="115"/>
      <c r="G3569" s="116"/>
      <c r="I3569" s="118"/>
      <c r="J3569" s="118"/>
      <c r="L3569" s="125"/>
    </row>
    <row r="3570" spans="1:12" x14ac:dyDescent="0.25">
      <c r="A3570" s="115"/>
      <c r="B3570" s="115"/>
      <c r="C3570" s="115"/>
      <c r="D3570" s="115"/>
      <c r="E3570" s="115"/>
      <c r="F3570" s="115"/>
      <c r="G3570" s="116"/>
      <c r="I3570" s="118"/>
      <c r="J3570" s="118"/>
      <c r="L3570" s="125"/>
    </row>
    <row r="3571" spans="1:12" x14ac:dyDescent="0.25">
      <c r="A3571" s="115"/>
      <c r="B3571" s="115"/>
      <c r="C3571" s="115"/>
      <c r="D3571" s="115"/>
      <c r="E3571" s="115"/>
      <c r="F3571" s="115"/>
      <c r="G3571" s="116"/>
      <c r="I3571" s="118"/>
      <c r="J3571" s="118"/>
      <c r="L3571" s="125"/>
    </row>
    <row r="3572" spans="1:12" x14ac:dyDescent="0.25">
      <c r="A3572" s="115"/>
      <c r="B3572" s="115"/>
      <c r="C3572" s="115"/>
      <c r="D3572" s="115"/>
      <c r="E3572" s="115"/>
      <c r="F3572" s="115"/>
      <c r="G3572" s="116"/>
      <c r="I3572" s="118"/>
      <c r="J3572" s="118"/>
      <c r="L3572" s="125"/>
    </row>
    <row r="3573" spans="1:12" x14ac:dyDescent="0.25">
      <c r="A3573" s="115"/>
      <c r="B3573" s="115"/>
      <c r="C3573" s="115"/>
      <c r="D3573" s="115"/>
      <c r="E3573" s="115"/>
      <c r="F3573" s="115"/>
      <c r="G3573" s="116"/>
      <c r="I3573" s="118"/>
      <c r="J3573" s="118"/>
      <c r="L3573" s="125"/>
    </row>
    <row r="3574" spans="1:12" x14ac:dyDescent="0.25">
      <c r="A3574" s="115"/>
      <c r="B3574" s="115"/>
      <c r="C3574" s="115"/>
      <c r="D3574" s="115"/>
      <c r="E3574" s="115"/>
      <c r="F3574" s="115"/>
      <c r="G3574" s="116"/>
      <c r="I3574" s="118"/>
      <c r="J3574" s="118"/>
      <c r="L3574" s="125"/>
    </row>
    <row r="3575" spans="1:12" x14ac:dyDescent="0.25">
      <c r="A3575" s="115"/>
      <c r="B3575" s="115"/>
      <c r="C3575" s="115"/>
      <c r="D3575" s="115"/>
      <c r="E3575" s="115"/>
      <c r="F3575" s="115"/>
      <c r="G3575" s="116"/>
      <c r="I3575" s="118"/>
      <c r="J3575" s="118"/>
      <c r="L3575" s="125"/>
    </row>
    <row r="3576" spans="1:12" x14ac:dyDescent="0.25">
      <c r="A3576" s="115"/>
      <c r="B3576" s="115"/>
      <c r="C3576" s="115"/>
      <c r="D3576" s="115"/>
      <c r="E3576" s="115"/>
      <c r="F3576" s="115"/>
      <c r="G3576" s="116"/>
      <c r="I3576" s="118"/>
      <c r="J3576" s="118"/>
      <c r="L3576" s="125"/>
    </row>
    <row r="3577" spans="1:12" x14ac:dyDescent="0.25">
      <c r="A3577" s="115"/>
      <c r="B3577" s="115"/>
      <c r="C3577" s="115"/>
      <c r="D3577" s="115"/>
      <c r="E3577" s="115"/>
      <c r="F3577" s="115"/>
      <c r="G3577" s="116"/>
      <c r="I3577" s="118"/>
      <c r="J3577" s="118"/>
      <c r="L3577" s="125"/>
    </row>
    <row r="3578" spans="1:12" x14ac:dyDescent="0.25">
      <c r="A3578" s="115"/>
      <c r="B3578" s="115"/>
      <c r="C3578" s="115"/>
      <c r="D3578" s="115"/>
      <c r="E3578" s="115"/>
      <c r="F3578" s="115"/>
      <c r="G3578" s="116"/>
      <c r="I3578" s="118"/>
      <c r="J3578" s="118"/>
      <c r="L3578" s="125"/>
    </row>
    <row r="3579" spans="1:12" x14ac:dyDescent="0.25">
      <c r="A3579" s="115"/>
      <c r="B3579" s="115"/>
      <c r="C3579" s="115"/>
      <c r="D3579" s="115"/>
      <c r="E3579" s="115"/>
      <c r="F3579" s="115"/>
      <c r="G3579" s="116"/>
      <c r="I3579" s="118"/>
      <c r="J3579" s="118"/>
      <c r="L3579" s="125"/>
    </row>
    <row r="3580" spans="1:12" x14ac:dyDescent="0.25">
      <c r="A3580" s="115"/>
      <c r="B3580" s="115"/>
      <c r="C3580" s="115"/>
      <c r="D3580" s="115"/>
      <c r="E3580" s="115"/>
      <c r="F3580" s="115"/>
      <c r="G3580" s="116"/>
      <c r="I3580" s="118"/>
      <c r="J3580" s="118"/>
      <c r="L3580" s="125"/>
    </row>
    <row r="3581" spans="1:12" x14ac:dyDescent="0.25">
      <c r="A3581" s="115"/>
      <c r="B3581" s="115"/>
      <c r="C3581" s="115"/>
      <c r="D3581" s="115"/>
      <c r="E3581" s="115"/>
      <c r="F3581" s="115"/>
      <c r="G3581" s="116"/>
      <c r="I3581" s="118"/>
      <c r="J3581" s="118"/>
      <c r="L3581" s="125"/>
    </row>
    <row r="3582" spans="1:12" x14ac:dyDescent="0.25">
      <c r="A3582" s="115"/>
      <c r="B3582" s="115"/>
      <c r="C3582" s="115"/>
      <c r="D3582" s="115"/>
      <c r="E3582" s="115"/>
      <c r="F3582" s="115"/>
      <c r="G3582" s="116"/>
      <c r="I3582" s="118"/>
      <c r="J3582" s="118"/>
      <c r="L3582" s="125"/>
    </row>
    <row r="3583" spans="1:12" x14ac:dyDescent="0.25">
      <c r="A3583" s="115"/>
      <c r="B3583" s="115"/>
      <c r="C3583" s="115"/>
      <c r="D3583" s="115"/>
      <c r="E3583" s="115"/>
      <c r="F3583" s="115"/>
      <c r="G3583" s="116"/>
      <c r="I3583" s="118"/>
      <c r="J3583" s="118"/>
      <c r="L3583" s="125"/>
    </row>
    <row r="3584" spans="1:12" x14ac:dyDescent="0.25">
      <c r="A3584" s="115"/>
      <c r="B3584" s="115"/>
      <c r="C3584" s="115"/>
      <c r="D3584" s="115"/>
      <c r="E3584" s="115"/>
      <c r="F3584" s="115"/>
      <c r="G3584" s="116"/>
      <c r="I3584" s="118"/>
      <c r="J3584" s="118"/>
      <c r="L3584" s="125"/>
    </row>
    <row r="3585" spans="1:12" x14ac:dyDescent="0.25">
      <c r="A3585" s="115"/>
      <c r="B3585" s="115"/>
      <c r="C3585" s="115"/>
      <c r="D3585" s="115"/>
      <c r="E3585" s="115"/>
      <c r="F3585" s="115"/>
      <c r="G3585" s="116"/>
      <c r="I3585" s="118"/>
      <c r="J3585" s="118"/>
      <c r="L3585" s="125"/>
    </row>
    <row r="3586" spans="1:12" x14ac:dyDescent="0.25">
      <c r="A3586" s="115"/>
      <c r="B3586" s="115"/>
      <c r="C3586" s="115"/>
      <c r="D3586" s="115"/>
      <c r="E3586" s="115"/>
      <c r="F3586" s="115"/>
      <c r="G3586" s="116"/>
      <c r="I3586" s="118"/>
      <c r="J3586" s="118"/>
      <c r="L3586" s="125"/>
    </row>
    <row r="3587" spans="1:12" x14ac:dyDescent="0.25">
      <c r="A3587" s="115"/>
      <c r="B3587" s="115"/>
      <c r="C3587" s="115"/>
      <c r="D3587" s="115"/>
      <c r="E3587" s="115"/>
      <c r="F3587" s="115"/>
      <c r="G3587" s="116"/>
      <c r="I3587" s="118"/>
      <c r="J3587" s="118"/>
      <c r="L3587" s="125"/>
    </row>
    <row r="3588" spans="1:12" x14ac:dyDescent="0.25">
      <c r="A3588" s="115"/>
      <c r="B3588" s="115"/>
      <c r="C3588" s="115"/>
      <c r="D3588" s="115"/>
      <c r="E3588" s="115"/>
      <c r="F3588" s="115"/>
      <c r="G3588" s="116"/>
      <c r="I3588" s="118"/>
      <c r="J3588" s="118"/>
      <c r="L3588" s="125"/>
    </row>
    <row r="3589" spans="1:12" x14ac:dyDescent="0.25">
      <c r="A3589" s="115"/>
      <c r="B3589" s="115"/>
      <c r="C3589" s="115"/>
      <c r="D3589" s="115"/>
      <c r="E3589" s="115"/>
      <c r="F3589" s="115"/>
      <c r="G3589" s="116"/>
      <c r="I3589" s="118"/>
      <c r="J3589" s="118"/>
      <c r="L3589" s="125"/>
    </row>
    <row r="3590" spans="1:12" x14ac:dyDescent="0.25">
      <c r="A3590" s="115"/>
      <c r="B3590" s="115"/>
      <c r="C3590" s="115"/>
      <c r="D3590" s="115"/>
      <c r="E3590" s="115"/>
      <c r="F3590" s="115"/>
      <c r="G3590" s="116"/>
      <c r="I3590" s="118"/>
      <c r="J3590" s="118"/>
      <c r="L3590" s="125"/>
    </row>
    <row r="3591" spans="1:12" x14ac:dyDescent="0.25">
      <c r="A3591" s="115"/>
      <c r="B3591" s="115"/>
      <c r="C3591" s="115"/>
      <c r="D3591" s="115"/>
      <c r="E3591" s="115"/>
      <c r="F3591" s="115"/>
      <c r="G3591" s="116"/>
      <c r="I3591" s="118"/>
      <c r="J3591" s="118"/>
      <c r="L3591" s="125"/>
    </row>
    <row r="3592" spans="1:12" x14ac:dyDescent="0.25">
      <c r="A3592" s="115"/>
      <c r="B3592" s="115"/>
      <c r="C3592" s="115"/>
      <c r="D3592" s="115"/>
      <c r="E3592" s="115"/>
      <c r="F3592" s="115"/>
      <c r="G3592" s="116"/>
      <c r="I3592" s="118"/>
      <c r="J3592" s="118"/>
      <c r="L3592" s="125"/>
    </row>
    <row r="3593" spans="1:12" x14ac:dyDescent="0.25">
      <c r="A3593" s="115"/>
      <c r="B3593" s="115"/>
      <c r="C3593" s="115"/>
      <c r="D3593" s="115"/>
      <c r="E3593" s="115"/>
      <c r="F3593" s="115"/>
      <c r="G3593" s="116"/>
      <c r="I3593" s="118"/>
      <c r="J3593" s="118"/>
      <c r="L3593" s="125"/>
    </row>
    <row r="3594" spans="1:12" x14ac:dyDescent="0.25">
      <c r="A3594" s="115"/>
      <c r="B3594" s="115"/>
      <c r="C3594" s="115"/>
      <c r="D3594" s="115"/>
      <c r="E3594" s="115"/>
      <c r="F3594" s="115"/>
      <c r="G3594" s="116"/>
      <c r="I3594" s="118"/>
      <c r="J3594" s="118"/>
      <c r="L3594" s="125"/>
    </row>
    <row r="3595" spans="1:12" x14ac:dyDescent="0.25">
      <c r="A3595" s="115"/>
      <c r="B3595" s="115"/>
      <c r="C3595" s="115"/>
      <c r="D3595" s="115"/>
      <c r="E3595" s="115"/>
      <c r="F3595" s="115"/>
      <c r="G3595" s="116"/>
      <c r="I3595" s="118"/>
      <c r="J3595" s="118"/>
      <c r="L3595" s="125"/>
    </row>
    <row r="3596" spans="1:12" x14ac:dyDescent="0.25">
      <c r="A3596" s="115"/>
      <c r="B3596" s="115"/>
      <c r="C3596" s="115"/>
      <c r="D3596" s="115"/>
      <c r="E3596" s="115"/>
      <c r="F3596" s="115"/>
      <c r="G3596" s="116"/>
      <c r="I3596" s="118"/>
      <c r="J3596" s="118"/>
      <c r="L3596" s="125"/>
    </row>
    <row r="3597" spans="1:12" x14ac:dyDescent="0.25">
      <c r="A3597" s="115"/>
      <c r="B3597" s="115"/>
      <c r="C3597" s="115"/>
      <c r="D3597" s="115"/>
      <c r="E3597" s="115"/>
      <c r="F3597" s="115"/>
      <c r="G3597" s="116"/>
      <c r="I3597" s="118"/>
      <c r="J3597" s="118"/>
      <c r="L3597" s="125"/>
    </row>
    <row r="3598" spans="1:12" x14ac:dyDescent="0.25">
      <c r="A3598" s="115"/>
      <c r="B3598" s="115"/>
      <c r="C3598" s="115"/>
      <c r="D3598" s="115"/>
      <c r="E3598" s="115"/>
      <c r="F3598" s="115"/>
      <c r="G3598" s="116"/>
      <c r="I3598" s="118"/>
      <c r="J3598" s="118"/>
      <c r="L3598" s="125"/>
    </row>
    <row r="3599" spans="1:12" x14ac:dyDescent="0.25">
      <c r="A3599" s="115"/>
      <c r="B3599" s="115"/>
      <c r="C3599" s="115"/>
      <c r="D3599" s="115"/>
      <c r="E3599" s="115"/>
      <c r="F3599" s="115"/>
      <c r="G3599" s="116"/>
      <c r="I3599" s="118"/>
      <c r="J3599" s="118"/>
      <c r="L3599" s="125"/>
    </row>
    <row r="3600" spans="1:12" x14ac:dyDescent="0.25">
      <c r="A3600" s="115"/>
      <c r="B3600" s="115"/>
      <c r="C3600" s="115"/>
      <c r="D3600" s="115"/>
      <c r="E3600" s="115"/>
      <c r="F3600" s="115"/>
      <c r="G3600" s="116"/>
      <c r="I3600" s="118"/>
      <c r="J3600" s="118"/>
      <c r="L3600" s="125"/>
    </row>
    <row r="3601" spans="1:12" x14ac:dyDescent="0.25">
      <c r="A3601" s="115"/>
      <c r="B3601" s="115"/>
      <c r="C3601" s="115"/>
      <c r="D3601" s="115"/>
      <c r="E3601" s="115"/>
      <c r="F3601" s="115"/>
      <c r="G3601" s="116"/>
      <c r="I3601" s="118"/>
      <c r="J3601" s="118"/>
      <c r="L3601" s="125"/>
    </row>
    <row r="3602" spans="1:12" x14ac:dyDescent="0.25">
      <c r="A3602" s="115"/>
      <c r="B3602" s="115"/>
      <c r="C3602" s="115"/>
      <c r="D3602" s="115"/>
      <c r="E3602" s="115"/>
      <c r="F3602" s="115"/>
      <c r="G3602" s="116"/>
      <c r="I3602" s="118"/>
      <c r="J3602" s="118"/>
      <c r="L3602" s="125"/>
    </row>
    <row r="3603" spans="1:12" x14ac:dyDescent="0.25">
      <c r="A3603" s="115"/>
      <c r="B3603" s="115"/>
      <c r="C3603" s="115"/>
      <c r="D3603" s="115"/>
      <c r="E3603" s="115"/>
      <c r="F3603" s="115"/>
      <c r="G3603" s="116"/>
      <c r="I3603" s="118"/>
      <c r="J3603" s="118"/>
      <c r="L3603" s="125"/>
    </row>
    <row r="3604" spans="1:12" x14ac:dyDescent="0.25">
      <c r="A3604" s="115"/>
      <c r="B3604" s="115"/>
      <c r="C3604" s="115"/>
      <c r="D3604" s="115"/>
      <c r="E3604" s="115"/>
      <c r="F3604" s="115"/>
      <c r="G3604" s="116"/>
      <c r="I3604" s="118"/>
      <c r="J3604" s="118"/>
      <c r="L3604" s="125"/>
    </row>
    <row r="3605" spans="1:12" x14ac:dyDescent="0.25">
      <c r="A3605" s="115"/>
      <c r="B3605" s="115"/>
      <c r="C3605" s="115"/>
      <c r="D3605" s="115"/>
      <c r="E3605" s="115"/>
      <c r="F3605" s="115"/>
      <c r="G3605" s="116"/>
      <c r="I3605" s="118"/>
      <c r="J3605" s="118"/>
      <c r="L3605" s="125"/>
    </row>
    <row r="3606" spans="1:12" x14ac:dyDescent="0.25">
      <c r="A3606" s="115"/>
      <c r="B3606" s="115"/>
      <c r="C3606" s="115"/>
      <c r="D3606" s="115"/>
      <c r="E3606" s="115"/>
      <c r="F3606" s="115"/>
      <c r="G3606" s="116"/>
      <c r="I3606" s="118"/>
      <c r="J3606" s="118"/>
      <c r="L3606" s="125"/>
    </row>
    <row r="3607" spans="1:12" x14ac:dyDescent="0.25">
      <c r="A3607" s="115"/>
      <c r="B3607" s="115"/>
      <c r="C3607" s="115"/>
      <c r="D3607" s="115"/>
      <c r="E3607" s="115"/>
      <c r="F3607" s="115"/>
      <c r="G3607" s="116"/>
      <c r="I3607" s="118"/>
      <c r="J3607" s="118"/>
      <c r="L3607" s="125"/>
    </row>
    <row r="3608" spans="1:12" x14ac:dyDescent="0.25">
      <c r="A3608" s="115"/>
      <c r="B3608" s="115"/>
      <c r="C3608" s="115"/>
      <c r="D3608" s="115"/>
      <c r="E3608" s="115"/>
      <c r="F3608" s="115"/>
      <c r="G3608" s="116"/>
      <c r="I3608" s="118"/>
      <c r="J3608" s="118"/>
      <c r="L3608" s="125"/>
    </row>
    <row r="3609" spans="1:12" x14ac:dyDescent="0.25">
      <c r="A3609" s="115"/>
      <c r="B3609" s="115"/>
      <c r="C3609" s="115"/>
      <c r="D3609" s="115"/>
      <c r="E3609" s="115"/>
      <c r="F3609" s="115"/>
      <c r="G3609" s="116"/>
      <c r="I3609" s="118"/>
      <c r="J3609" s="118"/>
      <c r="L3609" s="125"/>
    </row>
    <row r="3610" spans="1:12" x14ac:dyDescent="0.25">
      <c r="A3610" s="115"/>
      <c r="B3610" s="115"/>
      <c r="C3610" s="115"/>
      <c r="D3610" s="115"/>
      <c r="E3610" s="115"/>
      <c r="F3610" s="115"/>
      <c r="G3610" s="116"/>
      <c r="I3610" s="118"/>
      <c r="J3610" s="118"/>
      <c r="L3610" s="125"/>
    </row>
    <row r="3611" spans="1:12" x14ac:dyDescent="0.25">
      <c r="A3611" s="115"/>
      <c r="B3611" s="115"/>
      <c r="C3611" s="115"/>
      <c r="D3611" s="115"/>
      <c r="E3611" s="115"/>
      <c r="F3611" s="115"/>
      <c r="G3611" s="116"/>
      <c r="I3611" s="118"/>
      <c r="J3611" s="118"/>
      <c r="L3611" s="125"/>
    </row>
    <row r="3612" spans="1:12" x14ac:dyDescent="0.25">
      <c r="A3612" s="115"/>
      <c r="B3612" s="115"/>
      <c r="C3612" s="115"/>
      <c r="D3612" s="115"/>
      <c r="E3612" s="115"/>
      <c r="F3612" s="115"/>
      <c r="G3612" s="116"/>
      <c r="I3612" s="118"/>
      <c r="J3612" s="118"/>
      <c r="L3612" s="125"/>
    </row>
    <row r="3613" spans="1:12" x14ac:dyDescent="0.25">
      <c r="A3613" s="115"/>
      <c r="B3613" s="115"/>
      <c r="C3613" s="115"/>
      <c r="D3613" s="115"/>
      <c r="E3613" s="115"/>
      <c r="F3613" s="115"/>
      <c r="G3613" s="116"/>
      <c r="I3613" s="118"/>
      <c r="J3613" s="118"/>
      <c r="L3613" s="125"/>
    </row>
    <row r="3614" spans="1:12" x14ac:dyDescent="0.25">
      <c r="A3614" s="115"/>
      <c r="B3614" s="115"/>
      <c r="C3614" s="115"/>
      <c r="D3614" s="115"/>
      <c r="E3614" s="115"/>
      <c r="F3614" s="115"/>
      <c r="G3614" s="116"/>
      <c r="I3614" s="118"/>
      <c r="J3614" s="118"/>
      <c r="L3614" s="125"/>
    </row>
    <row r="3615" spans="1:12" x14ac:dyDescent="0.25">
      <c r="A3615" s="115"/>
      <c r="B3615" s="115"/>
      <c r="C3615" s="115"/>
      <c r="D3615" s="115"/>
      <c r="E3615" s="115"/>
      <c r="F3615" s="115"/>
      <c r="G3615" s="116"/>
      <c r="I3615" s="118"/>
      <c r="J3615" s="118"/>
      <c r="L3615" s="125"/>
    </row>
    <row r="3616" spans="1:12" x14ac:dyDescent="0.25">
      <c r="A3616" s="115"/>
      <c r="B3616" s="115"/>
      <c r="C3616" s="115"/>
      <c r="D3616" s="115"/>
      <c r="E3616" s="115"/>
      <c r="F3616" s="115"/>
      <c r="G3616" s="116"/>
      <c r="I3616" s="118"/>
      <c r="J3616" s="118"/>
      <c r="L3616" s="125"/>
    </row>
    <row r="3617" spans="1:12" x14ac:dyDescent="0.25">
      <c r="A3617" s="115"/>
      <c r="B3617" s="115"/>
      <c r="C3617" s="115"/>
      <c r="D3617" s="115"/>
      <c r="E3617" s="115"/>
      <c r="F3617" s="115"/>
      <c r="G3617" s="116"/>
      <c r="I3617" s="118"/>
      <c r="J3617" s="118"/>
      <c r="L3617" s="125"/>
    </row>
    <row r="3618" spans="1:12" x14ac:dyDescent="0.25">
      <c r="A3618" s="115"/>
      <c r="B3618" s="115"/>
      <c r="C3618" s="115"/>
      <c r="D3618" s="115"/>
      <c r="E3618" s="115"/>
      <c r="F3618" s="115"/>
      <c r="G3618" s="116"/>
      <c r="I3618" s="118"/>
      <c r="J3618" s="118"/>
      <c r="L3618" s="125"/>
    </row>
    <row r="3619" spans="1:12" x14ac:dyDescent="0.25">
      <c r="A3619" s="115"/>
      <c r="B3619" s="115"/>
      <c r="C3619" s="115"/>
      <c r="D3619" s="115"/>
      <c r="E3619" s="115"/>
      <c r="F3619" s="115"/>
      <c r="G3619" s="116"/>
      <c r="I3619" s="118"/>
      <c r="J3619" s="118"/>
      <c r="L3619" s="125"/>
    </row>
    <row r="3620" spans="1:12" x14ac:dyDescent="0.25">
      <c r="A3620" s="115"/>
      <c r="B3620" s="115"/>
      <c r="C3620" s="115"/>
      <c r="D3620" s="115"/>
      <c r="E3620" s="115"/>
      <c r="F3620" s="115"/>
      <c r="G3620" s="116"/>
      <c r="I3620" s="118"/>
      <c r="J3620" s="118"/>
      <c r="L3620" s="125"/>
    </row>
    <row r="3621" spans="1:12" x14ac:dyDescent="0.25">
      <c r="A3621" s="115"/>
      <c r="B3621" s="115"/>
      <c r="C3621" s="115"/>
      <c r="D3621" s="115"/>
      <c r="E3621" s="115"/>
      <c r="F3621" s="115"/>
      <c r="G3621" s="116"/>
      <c r="I3621" s="118"/>
      <c r="J3621" s="118"/>
      <c r="L3621" s="125"/>
    </row>
    <row r="3622" spans="1:12" x14ac:dyDescent="0.25">
      <c r="A3622" s="115"/>
      <c r="B3622" s="115"/>
      <c r="C3622" s="115"/>
      <c r="D3622" s="115"/>
      <c r="E3622" s="115"/>
      <c r="F3622" s="115"/>
      <c r="G3622" s="116"/>
      <c r="I3622" s="118"/>
      <c r="J3622" s="118"/>
      <c r="L3622" s="125"/>
    </row>
    <row r="3623" spans="1:12" x14ac:dyDescent="0.25">
      <c r="A3623" s="115"/>
      <c r="B3623" s="115"/>
      <c r="C3623" s="115"/>
      <c r="D3623" s="115"/>
      <c r="E3623" s="115"/>
      <c r="F3623" s="115"/>
      <c r="G3623" s="116"/>
      <c r="I3623" s="118"/>
      <c r="J3623" s="118"/>
      <c r="L3623" s="125"/>
    </row>
    <row r="3624" spans="1:12" x14ac:dyDescent="0.25">
      <c r="A3624" s="115"/>
      <c r="B3624" s="115"/>
      <c r="C3624" s="115"/>
      <c r="D3624" s="115"/>
      <c r="E3624" s="115"/>
      <c r="F3624" s="115"/>
      <c r="G3624" s="116"/>
      <c r="I3624" s="118"/>
      <c r="J3624" s="118"/>
      <c r="L3624" s="125"/>
    </row>
    <row r="3625" spans="1:12" x14ac:dyDescent="0.25">
      <c r="A3625" s="115"/>
      <c r="B3625" s="115"/>
      <c r="C3625" s="115"/>
      <c r="D3625" s="115"/>
      <c r="E3625" s="115"/>
      <c r="F3625" s="115"/>
      <c r="G3625" s="116"/>
      <c r="I3625" s="118"/>
      <c r="J3625" s="118"/>
      <c r="L3625" s="125"/>
    </row>
    <row r="3626" spans="1:12" x14ac:dyDescent="0.25">
      <c r="A3626" s="115"/>
      <c r="B3626" s="115"/>
      <c r="C3626" s="115"/>
      <c r="D3626" s="115"/>
      <c r="E3626" s="115"/>
      <c r="F3626" s="115"/>
      <c r="G3626" s="116"/>
      <c r="I3626" s="118"/>
      <c r="J3626" s="118"/>
      <c r="L3626" s="125"/>
    </row>
    <row r="3627" spans="1:12" x14ac:dyDescent="0.25">
      <c r="A3627" s="115"/>
      <c r="B3627" s="115"/>
      <c r="C3627" s="115"/>
      <c r="D3627" s="115"/>
      <c r="E3627" s="115"/>
      <c r="F3627" s="115"/>
      <c r="G3627" s="116"/>
      <c r="I3627" s="118"/>
      <c r="J3627" s="118"/>
      <c r="L3627" s="125"/>
    </row>
    <row r="3628" spans="1:12" x14ac:dyDescent="0.25">
      <c r="A3628" s="115"/>
      <c r="B3628" s="115"/>
      <c r="C3628" s="115"/>
      <c r="D3628" s="115"/>
      <c r="E3628" s="115"/>
      <c r="F3628" s="115"/>
      <c r="G3628" s="116"/>
      <c r="I3628" s="118"/>
      <c r="J3628" s="118"/>
      <c r="L3628" s="125"/>
    </row>
    <row r="3629" spans="1:12" x14ac:dyDescent="0.25">
      <c r="A3629" s="115"/>
      <c r="B3629" s="115"/>
      <c r="C3629" s="115"/>
      <c r="D3629" s="115"/>
      <c r="E3629" s="115"/>
      <c r="F3629" s="115"/>
      <c r="G3629" s="116"/>
      <c r="I3629" s="118"/>
      <c r="J3629" s="118"/>
      <c r="L3629" s="125"/>
    </row>
    <row r="3630" spans="1:12" x14ac:dyDescent="0.25">
      <c r="A3630" s="115"/>
      <c r="B3630" s="115"/>
      <c r="C3630" s="115"/>
      <c r="D3630" s="115"/>
      <c r="E3630" s="115"/>
      <c r="F3630" s="115"/>
      <c r="G3630" s="116"/>
      <c r="I3630" s="118"/>
      <c r="J3630" s="118"/>
      <c r="L3630" s="125"/>
    </row>
    <row r="3631" spans="1:12" x14ac:dyDescent="0.25">
      <c r="A3631" s="115"/>
      <c r="B3631" s="115"/>
      <c r="C3631" s="115"/>
      <c r="D3631" s="115"/>
      <c r="E3631" s="115"/>
      <c r="F3631" s="115"/>
      <c r="G3631" s="116"/>
      <c r="I3631" s="118"/>
      <c r="J3631" s="118"/>
      <c r="L3631" s="125"/>
    </row>
    <row r="3632" spans="1:12" x14ac:dyDescent="0.25">
      <c r="A3632" s="115"/>
      <c r="B3632" s="115"/>
      <c r="C3632" s="115"/>
      <c r="D3632" s="115"/>
      <c r="E3632" s="115"/>
      <c r="F3632" s="115"/>
      <c r="G3632" s="116"/>
      <c r="I3632" s="118"/>
      <c r="J3632" s="118"/>
      <c r="L3632" s="125"/>
    </row>
    <row r="3633" spans="1:12" x14ac:dyDescent="0.25">
      <c r="A3633" s="115"/>
      <c r="B3633" s="115"/>
      <c r="C3633" s="115"/>
      <c r="D3633" s="115"/>
      <c r="E3633" s="115"/>
      <c r="F3633" s="115"/>
      <c r="G3633" s="116"/>
      <c r="I3633" s="118"/>
      <c r="J3633" s="118"/>
      <c r="L3633" s="125"/>
    </row>
    <row r="3634" spans="1:12" x14ac:dyDescent="0.25">
      <c r="A3634" s="115"/>
      <c r="B3634" s="115"/>
      <c r="C3634" s="115"/>
      <c r="D3634" s="115"/>
      <c r="E3634" s="115"/>
      <c r="F3634" s="115"/>
      <c r="G3634" s="116"/>
      <c r="I3634" s="118"/>
      <c r="J3634" s="118"/>
      <c r="L3634" s="125"/>
    </row>
    <row r="3635" spans="1:12" x14ac:dyDescent="0.25">
      <c r="A3635" s="115"/>
      <c r="B3635" s="115"/>
      <c r="C3635" s="115"/>
      <c r="D3635" s="115"/>
      <c r="E3635" s="115"/>
      <c r="F3635" s="115"/>
      <c r="G3635" s="116"/>
      <c r="I3635" s="118"/>
      <c r="J3635" s="118"/>
      <c r="L3635" s="125"/>
    </row>
    <row r="3636" spans="1:12" x14ac:dyDescent="0.25">
      <c r="A3636" s="115"/>
      <c r="B3636" s="115"/>
      <c r="C3636" s="115"/>
      <c r="D3636" s="115"/>
      <c r="E3636" s="115"/>
      <c r="F3636" s="115"/>
      <c r="G3636" s="116"/>
      <c r="I3636" s="118"/>
      <c r="J3636" s="118"/>
      <c r="L3636" s="125"/>
    </row>
    <row r="3637" spans="1:12" x14ac:dyDescent="0.25">
      <c r="A3637" s="115"/>
      <c r="B3637" s="115"/>
      <c r="C3637" s="115"/>
      <c r="D3637" s="115"/>
      <c r="E3637" s="115"/>
      <c r="F3637" s="115"/>
      <c r="G3637" s="116"/>
      <c r="I3637" s="118"/>
      <c r="J3637" s="118"/>
      <c r="L3637" s="125"/>
    </row>
    <row r="3638" spans="1:12" x14ac:dyDescent="0.25">
      <c r="A3638" s="115"/>
      <c r="B3638" s="115"/>
      <c r="C3638" s="115"/>
      <c r="D3638" s="115"/>
      <c r="E3638" s="115"/>
      <c r="F3638" s="115"/>
      <c r="G3638" s="116"/>
      <c r="I3638" s="118"/>
      <c r="J3638" s="118"/>
      <c r="L3638" s="125"/>
    </row>
    <row r="3639" spans="1:12" x14ac:dyDescent="0.25">
      <c r="A3639" s="115"/>
      <c r="B3639" s="115"/>
      <c r="C3639" s="115"/>
      <c r="D3639" s="115"/>
      <c r="E3639" s="115"/>
      <c r="F3639" s="115"/>
      <c r="G3639" s="116"/>
      <c r="I3639" s="118"/>
      <c r="J3639" s="118"/>
      <c r="L3639" s="125"/>
    </row>
    <row r="3640" spans="1:12" x14ac:dyDescent="0.25">
      <c r="A3640" s="115"/>
      <c r="B3640" s="115"/>
      <c r="C3640" s="115"/>
      <c r="D3640" s="115"/>
      <c r="E3640" s="115"/>
      <c r="F3640" s="115"/>
      <c r="G3640" s="116"/>
      <c r="I3640" s="118"/>
      <c r="J3640" s="118"/>
      <c r="L3640" s="125"/>
    </row>
    <row r="3641" spans="1:12" x14ac:dyDescent="0.25">
      <c r="A3641" s="115"/>
      <c r="B3641" s="115"/>
      <c r="C3641" s="115"/>
      <c r="D3641" s="115"/>
      <c r="E3641" s="115"/>
      <c r="F3641" s="115"/>
      <c r="G3641" s="116"/>
      <c r="I3641" s="118"/>
      <c r="J3641" s="118"/>
      <c r="L3641" s="125"/>
    </row>
    <row r="3642" spans="1:12" x14ac:dyDescent="0.25">
      <c r="A3642" s="115"/>
      <c r="B3642" s="115"/>
      <c r="C3642" s="115"/>
      <c r="D3642" s="115"/>
      <c r="E3642" s="115"/>
      <c r="F3642" s="115"/>
      <c r="G3642" s="116"/>
      <c r="I3642" s="118"/>
      <c r="J3642" s="118"/>
      <c r="L3642" s="125"/>
    </row>
    <row r="3643" spans="1:12" x14ac:dyDescent="0.25">
      <c r="A3643" s="115"/>
      <c r="B3643" s="115"/>
      <c r="C3643" s="115"/>
      <c r="D3643" s="115"/>
      <c r="E3643" s="115"/>
      <c r="F3643" s="115"/>
      <c r="G3643" s="116"/>
      <c r="I3643" s="118"/>
      <c r="J3643" s="118"/>
      <c r="L3643" s="125"/>
    </row>
    <row r="3644" spans="1:12" x14ac:dyDescent="0.25">
      <c r="A3644" s="115"/>
      <c r="B3644" s="115"/>
      <c r="C3644" s="115"/>
      <c r="D3644" s="115"/>
      <c r="E3644" s="115"/>
      <c r="F3644" s="115"/>
      <c r="G3644" s="116"/>
      <c r="I3644" s="118"/>
      <c r="J3644" s="118"/>
      <c r="L3644" s="125"/>
    </row>
    <row r="3645" spans="1:12" x14ac:dyDescent="0.25">
      <c r="A3645" s="115"/>
      <c r="B3645" s="115"/>
      <c r="C3645" s="115"/>
      <c r="D3645" s="115"/>
      <c r="E3645" s="115"/>
      <c r="F3645" s="115"/>
      <c r="G3645" s="116"/>
      <c r="I3645" s="118"/>
      <c r="J3645" s="118"/>
      <c r="L3645" s="125"/>
    </row>
    <row r="3646" spans="1:12" x14ac:dyDescent="0.25">
      <c r="A3646" s="115"/>
      <c r="B3646" s="115"/>
      <c r="C3646" s="115"/>
      <c r="D3646" s="115"/>
      <c r="E3646" s="115"/>
      <c r="F3646" s="115"/>
      <c r="G3646" s="116"/>
      <c r="I3646" s="118"/>
      <c r="J3646" s="118"/>
      <c r="L3646" s="125"/>
    </row>
    <row r="3647" spans="1:12" x14ac:dyDescent="0.25">
      <c r="A3647" s="115"/>
      <c r="B3647" s="115"/>
      <c r="C3647" s="115"/>
      <c r="D3647" s="115"/>
      <c r="E3647" s="115"/>
      <c r="F3647" s="115"/>
      <c r="G3647" s="116"/>
      <c r="I3647" s="118"/>
      <c r="J3647" s="118"/>
      <c r="L3647" s="125"/>
    </row>
    <row r="3648" spans="1:12" x14ac:dyDescent="0.25">
      <c r="A3648" s="115"/>
      <c r="B3648" s="115"/>
      <c r="C3648" s="115"/>
      <c r="D3648" s="115"/>
      <c r="E3648" s="115"/>
      <c r="F3648" s="115"/>
      <c r="G3648" s="116"/>
      <c r="I3648" s="118"/>
      <c r="J3648" s="118"/>
      <c r="L3648" s="125"/>
    </row>
    <row r="3649" spans="1:12" x14ac:dyDescent="0.25">
      <c r="A3649" s="115"/>
      <c r="B3649" s="115"/>
      <c r="C3649" s="115"/>
      <c r="D3649" s="115"/>
      <c r="E3649" s="115"/>
      <c r="F3649" s="115"/>
      <c r="G3649" s="116"/>
      <c r="I3649" s="118"/>
      <c r="J3649" s="118"/>
      <c r="L3649" s="125"/>
    </row>
    <row r="3650" spans="1:12" x14ac:dyDescent="0.25">
      <c r="A3650" s="115"/>
      <c r="B3650" s="115"/>
      <c r="C3650" s="115"/>
      <c r="D3650" s="115"/>
      <c r="E3650" s="115"/>
      <c r="F3650" s="115"/>
      <c r="G3650" s="116"/>
      <c r="I3650" s="118"/>
      <c r="J3650" s="118"/>
      <c r="L3650" s="125"/>
    </row>
    <row r="3651" spans="1:12" x14ac:dyDescent="0.25">
      <c r="A3651" s="115"/>
      <c r="B3651" s="115"/>
      <c r="C3651" s="115"/>
      <c r="D3651" s="115"/>
      <c r="E3651" s="115"/>
      <c r="F3651" s="115"/>
      <c r="G3651" s="116"/>
      <c r="I3651" s="118"/>
      <c r="J3651" s="118"/>
      <c r="L3651" s="125"/>
    </row>
    <row r="3652" spans="1:12" x14ac:dyDescent="0.25">
      <c r="A3652" s="115"/>
      <c r="B3652" s="115"/>
      <c r="C3652" s="115"/>
      <c r="D3652" s="115"/>
      <c r="E3652" s="115"/>
      <c r="F3652" s="115"/>
      <c r="G3652" s="116"/>
      <c r="I3652" s="118"/>
      <c r="J3652" s="118"/>
      <c r="L3652" s="125"/>
    </row>
    <row r="3653" spans="1:12" x14ac:dyDescent="0.25">
      <c r="A3653" s="115"/>
      <c r="B3653" s="115"/>
      <c r="C3653" s="115"/>
      <c r="D3653" s="115"/>
      <c r="E3653" s="115"/>
      <c r="F3653" s="115"/>
      <c r="G3653" s="116"/>
      <c r="I3653" s="118"/>
      <c r="J3653" s="118"/>
      <c r="L3653" s="125"/>
    </row>
    <row r="3654" spans="1:12" x14ac:dyDescent="0.25">
      <c r="A3654" s="115"/>
      <c r="B3654" s="115"/>
      <c r="C3654" s="115"/>
      <c r="D3654" s="115"/>
      <c r="E3654" s="115"/>
      <c r="F3654" s="115"/>
      <c r="G3654" s="116"/>
      <c r="I3654" s="118"/>
      <c r="J3654" s="118"/>
      <c r="L3654" s="125"/>
    </row>
    <row r="3655" spans="1:12" x14ac:dyDescent="0.25">
      <c r="A3655" s="115"/>
      <c r="B3655" s="115"/>
      <c r="C3655" s="115"/>
      <c r="D3655" s="115"/>
      <c r="E3655" s="115"/>
      <c r="F3655" s="115"/>
      <c r="G3655" s="116"/>
      <c r="I3655" s="118"/>
      <c r="J3655" s="118"/>
      <c r="L3655" s="125"/>
    </row>
    <row r="3656" spans="1:12" x14ac:dyDescent="0.25">
      <c r="A3656" s="115"/>
      <c r="B3656" s="115"/>
      <c r="C3656" s="115"/>
      <c r="D3656" s="115"/>
      <c r="E3656" s="115"/>
      <c r="F3656" s="115"/>
      <c r="G3656" s="116"/>
      <c r="I3656" s="118"/>
      <c r="J3656" s="118"/>
      <c r="L3656" s="125"/>
    </row>
    <row r="3657" spans="1:12" x14ac:dyDescent="0.25">
      <c r="A3657" s="115"/>
      <c r="B3657" s="115"/>
      <c r="C3657" s="115"/>
      <c r="D3657" s="115"/>
      <c r="E3657" s="115"/>
      <c r="F3657" s="115"/>
      <c r="G3657" s="116"/>
      <c r="I3657" s="118"/>
      <c r="J3657" s="118"/>
      <c r="L3657" s="125"/>
    </row>
    <row r="3658" spans="1:12" x14ac:dyDescent="0.25">
      <c r="A3658" s="115"/>
      <c r="B3658" s="115"/>
      <c r="C3658" s="115"/>
      <c r="D3658" s="115"/>
      <c r="E3658" s="115"/>
      <c r="F3658" s="115"/>
      <c r="G3658" s="116"/>
      <c r="I3658" s="118"/>
      <c r="J3658" s="118"/>
      <c r="L3658" s="125"/>
    </row>
    <row r="3659" spans="1:12" x14ac:dyDescent="0.25">
      <c r="A3659" s="115"/>
      <c r="B3659" s="115"/>
      <c r="C3659" s="115"/>
      <c r="D3659" s="115"/>
      <c r="E3659" s="115"/>
      <c r="F3659" s="115"/>
      <c r="G3659" s="116"/>
      <c r="I3659" s="118"/>
      <c r="J3659" s="118"/>
      <c r="L3659" s="125"/>
    </row>
    <row r="3660" spans="1:12" x14ac:dyDescent="0.25">
      <c r="A3660" s="115"/>
      <c r="B3660" s="115"/>
      <c r="C3660" s="115"/>
      <c r="D3660" s="115"/>
      <c r="E3660" s="115"/>
      <c r="F3660" s="115"/>
      <c r="G3660" s="116"/>
      <c r="I3660" s="118"/>
      <c r="J3660" s="118"/>
      <c r="L3660" s="125"/>
    </row>
    <row r="3661" spans="1:12" x14ac:dyDescent="0.25">
      <c r="A3661" s="115"/>
      <c r="B3661" s="115"/>
      <c r="C3661" s="115"/>
      <c r="D3661" s="115"/>
      <c r="E3661" s="115"/>
      <c r="F3661" s="115"/>
      <c r="G3661" s="116"/>
      <c r="I3661" s="118"/>
      <c r="J3661" s="118"/>
      <c r="L3661" s="125"/>
    </row>
    <row r="3662" spans="1:12" x14ac:dyDescent="0.25">
      <c r="A3662" s="115"/>
      <c r="B3662" s="115"/>
      <c r="C3662" s="115"/>
      <c r="D3662" s="115"/>
      <c r="E3662" s="115"/>
      <c r="F3662" s="115"/>
      <c r="G3662" s="116"/>
      <c r="I3662" s="118"/>
      <c r="J3662" s="118"/>
      <c r="L3662" s="125"/>
    </row>
    <row r="3663" spans="1:12" x14ac:dyDescent="0.25">
      <c r="A3663" s="115"/>
      <c r="B3663" s="115"/>
      <c r="C3663" s="115"/>
      <c r="D3663" s="115"/>
      <c r="E3663" s="115"/>
      <c r="F3663" s="115"/>
      <c r="G3663" s="116"/>
      <c r="I3663" s="118"/>
      <c r="J3663" s="118"/>
      <c r="L3663" s="125"/>
    </row>
    <row r="3664" spans="1:12" x14ac:dyDescent="0.25">
      <c r="A3664" s="115"/>
      <c r="B3664" s="115"/>
      <c r="C3664" s="115"/>
      <c r="D3664" s="115"/>
      <c r="E3664" s="115"/>
      <c r="F3664" s="115"/>
      <c r="G3664" s="116"/>
      <c r="I3664" s="118"/>
      <c r="J3664" s="118"/>
      <c r="L3664" s="125"/>
    </row>
    <row r="3665" spans="1:12" x14ac:dyDescent="0.25">
      <c r="A3665" s="115"/>
      <c r="B3665" s="115"/>
      <c r="C3665" s="115"/>
      <c r="D3665" s="115"/>
      <c r="E3665" s="115"/>
      <c r="F3665" s="115"/>
      <c r="G3665" s="116"/>
      <c r="I3665" s="118"/>
      <c r="J3665" s="118"/>
      <c r="L3665" s="125"/>
    </row>
    <row r="3666" spans="1:12" x14ac:dyDescent="0.25">
      <c r="A3666" s="115"/>
      <c r="B3666" s="115"/>
      <c r="C3666" s="115"/>
      <c r="D3666" s="115"/>
      <c r="E3666" s="115"/>
      <c r="F3666" s="115"/>
      <c r="G3666" s="116"/>
      <c r="I3666" s="118"/>
      <c r="J3666" s="118"/>
      <c r="L3666" s="125"/>
    </row>
    <row r="3667" spans="1:12" x14ac:dyDescent="0.25">
      <c r="A3667" s="115"/>
      <c r="B3667" s="115"/>
      <c r="C3667" s="115"/>
      <c r="D3667" s="115"/>
      <c r="E3667" s="115"/>
      <c r="F3667" s="115"/>
      <c r="G3667" s="116"/>
      <c r="I3667" s="118"/>
      <c r="J3667" s="118"/>
      <c r="L3667" s="125"/>
    </row>
    <row r="3668" spans="1:12" x14ac:dyDescent="0.25">
      <c r="A3668" s="115"/>
      <c r="B3668" s="115"/>
      <c r="C3668" s="115"/>
      <c r="D3668" s="115"/>
      <c r="E3668" s="115"/>
      <c r="F3668" s="115"/>
      <c r="G3668" s="116"/>
      <c r="I3668" s="118"/>
      <c r="J3668" s="118"/>
      <c r="L3668" s="125"/>
    </row>
    <row r="3669" spans="1:12" x14ac:dyDescent="0.25">
      <c r="A3669" s="115"/>
      <c r="B3669" s="115"/>
      <c r="C3669" s="115"/>
      <c r="D3669" s="115"/>
      <c r="E3669" s="115"/>
      <c r="F3669" s="115"/>
      <c r="G3669" s="116"/>
      <c r="I3669" s="118"/>
      <c r="J3669" s="118"/>
      <c r="L3669" s="125"/>
    </row>
    <row r="3670" spans="1:12" x14ac:dyDescent="0.25">
      <c r="A3670" s="115"/>
      <c r="B3670" s="115"/>
      <c r="C3670" s="115"/>
      <c r="D3670" s="115"/>
      <c r="E3670" s="115"/>
      <c r="F3670" s="115"/>
      <c r="G3670" s="116"/>
      <c r="I3670" s="118"/>
      <c r="J3670" s="118"/>
      <c r="L3670" s="125"/>
    </row>
    <row r="3671" spans="1:12" x14ac:dyDescent="0.25">
      <c r="A3671" s="115"/>
      <c r="B3671" s="115"/>
      <c r="C3671" s="115"/>
      <c r="D3671" s="115"/>
      <c r="E3671" s="115"/>
      <c r="F3671" s="115"/>
      <c r="G3671" s="116"/>
      <c r="I3671" s="118"/>
      <c r="J3671" s="118"/>
      <c r="L3671" s="125"/>
    </row>
    <row r="3672" spans="1:12" x14ac:dyDescent="0.25">
      <c r="A3672" s="115"/>
      <c r="B3672" s="115"/>
      <c r="C3672" s="115"/>
      <c r="D3672" s="115"/>
      <c r="E3672" s="115"/>
      <c r="F3672" s="115"/>
      <c r="G3672" s="116"/>
      <c r="I3672" s="118"/>
      <c r="J3672" s="118"/>
      <c r="L3672" s="125"/>
    </row>
    <row r="3673" spans="1:12" x14ac:dyDescent="0.25">
      <c r="A3673" s="115"/>
      <c r="B3673" s="115"/>
      <c r="C3673" s="115"/>
      <c r="D3673" s="115"/>
      <c r="E3673" s="115"/>
      <c r="F3673" s="115"/>
      <c r="G3673" s="116"/>
      <c r="I3673" s="118"/>
      <c r="J3673" s="118"/>
      <c r="L3673" s="125"/>
    </row>
    <row r="3674" spans="1:12" x14ac:dyDescent="0.25">
      <c r="A3674" s="115"/>
      <c r="B3674" s="115"/>
      <c r="C3674" s="115"/>
      <c r="D3674" s="115"/>
      <c r="E3674" s="115"/>
      <c r="F3674" s="115"/>
      <c r="G3674" s="116"/>
      <c r="I3674" s="118"/>
      <c r="J3674" s="118"/>
      <c r="L3674" s="125"/>
    </row>
    <row r="3675" spans="1:12" x14ac:dyDescent="0.25">
      <c r="A3675" s="115"/>
      <c r="B3675" s="115"/>
      <c r="C3675" s="115"/>
      <c r="D3675" s="115"/>
      <c r="E3675" s="115"/>
      <c r="F3675" s="115"/>
      <c r="G3675" s="116"/>
      <c r="I3675" s="118"/>
      <c r="J3675" s="118"/>
      <c r="L3675" s="125"/>
    </row>
    <row r="3676" spans="1:12" x14ac:dyDescent="0.25">
      <c r="A3676" s="115"/>
      <c r="B3676" s="115"/>
      <c r="C3676" s="115"/>
      <c r="D3676" s="115"/>
      <c r="E3676" s="115"/>
      <c r="F3676" s="115"/>
      <c r="G3676" s="116"/>
      <c r="I3676" s="118"/>
      <c r="J3676" s="118"/>
      <c r="L3676" s="125"/>
    </row>
    <row r="3677" spans="1:12" x14ac:dyDescent="0.25">
      <c r="A3677" s="115"/>
      <c r="B3677" s="115"/>
      <c r="C3677" s="115"/>
      <c r="D3677" s="115"/>
      <c r="E3677" s="115"/>
      <c r="F3677" s="115"/>
      <c r="G3677" s="116"/>
      <c r="I3677" s="118"/>
      <c r="J3677" s="118"/>
      <c r="L3677" s="125"/>
    </row>
    <row r="3678" spans="1:12" x14ac:dyDescent="0.25">
      <c r="A3678" s="115"/>
      <c r="B3678" s="115"/>
      <c r="C3678" s="115"/>
      <c r="D3678" s="115"/>
      <c r="E3678" s="115"/>
      <c r="F3678" s="115"/>
      <c r="G3678" s="116"/>
      <c r="I3678" s="118"/>
      <c r="J3678" s="118"/>
      <c r="L3678" s="125"/>
    </row>
    <row r="3679" spans="1:12" x14ac:dyDescent="0.25">
      <c r="A3679" s="115"/>
      <c r="B3679" s="115"/>
      <c r="C3679" s="115"/>
      <c r="D3679" s="115"/>
      <c r="E3679" s="115"/>
      <c r="F3679" s="115"/>
      <c r="G3679" s="116"/>
      <c r="I3679" s="118"/>
      <c r="J3679" s="118"/>
      <c r="L3679" s="125"/>
    </row>
    <row r="3680" spans="1:12" x14ac:dyDescent="0.25">
      <c r="A3680" s="115"/>
      <c r="B3680" s="115"/>
      <c r="C3680" s="115"/>
      <c r="D3680" s="115"/>
      <c r="E3680" s="115"/>
      <c r="F3680" s="115"/>
      <c r="G3680" s="116"/>
      <c r="I3680" s="118"/>
      <c r="J3680" s="118"/>
      <c r="L3680" s="125"/>
    </row>
    <row r="3681" spans="1:12" x14ac:dyDescent="0.25">
      <c r="A3681" s="115"/>
      <c r="B3681" s="115"/>
      <c r="C3681" s="115"/>
      <c r="D3681" s="115"/>
      <c r="E3681" s="115"/>
      <c r="F3681" s="115"/>
      <c r="G3681" s="116"/>
      <c r="I3681" s="118"/>
      <c r="J3681" s="118"/>
      <c r="L3681" s="125"/>
    </row>
    <row r="3682" spans="1:12" x14ac:dyDescent="0.25">
      <c r="A3682" s="115"/>
      <c r="B3682" s="115"/>
      <c r="C3682" s="115"/>
      <c r="D3682" s="115"/>
      <c r="E3682" s="115"/>
      <c r="F3682" s="115"/>
      <c r="G3682" s="116"/>
      <c r="I3682" s="118"/>
      <c r="J3682" s="118"/>
      <c r="L3682" s="125"/>
    </row>
    <row r="3683" spans="1:12" x14ac:dyDescent="0.25">
      <c r="A3683" s="115"/>
      <c r="B3683" s="115"/>
      <c r="C3683" s="115"/>
      <c r="D3683" s="115"/>
      <c r="E3683" s="115"/>
      <c r="F3683" s="115"/>
      <c r="G3683" s="116"/>
      <c r="I3683" s="118"/>
      <c r="J3683" s="118"/>
      <c r="L3683" s="125"/>
    </row>
    <row r="3684" spans="1:12" x14ac:dyDescent="0.25">
      <c r="A3684" s="115"/>
      <c r="B3684" s="115"/>
      <c r="C3684" s="115"/>
      <c r="D3684" s="115"/>
      <c r="E3684" s="115"/>
      <c r="F3684" s="115"/>
      <c r="G3684" s="116"/>
      <c r="I3684" s="118"/>
      <c r="J3684" s="118"/>
      <c r="L3684" s="125"/>
    </row>
    <row r="3685" spans="1:12" x14ac:dyDescent="0.25">
      <c r="A3685" s="115"/>
      <c r="B3685" s="115"/>
      <c r="C3685" s="115"/>
      <c r="D3685" s="115"/>
      <c r="E3685" s="115"/>
      <c r="F3685" s="115"/>
      <c r="G3685" s="116"/>
      <c r="I3685" s="118"/>
      <c r="J3685" s="118"/>
      <c r="L3685" s="125"/>
    </row>
    <row r="3686" spans="1:12" x14ac:dyDescent="0.25">
      <c r="A3686" s="115"/>
      <c r="B3686" s="115"/>
      <c r="C3686" s="115"/>
      <c r="D3686" s="115"/>
      <c r="E3686" s="115"/>
      <c r="F3686" s="115"/>
      <c r="G3686" s="116"/>
      <c r="I3686" s="118"/>
      <c r="J3686" s="118"/>
      <c r="L3686" s="125"/>
    </row>
    <row r="3687" spans="1:12" x14ac:dyDescent="0.25">
      <c r="A3687" s="115"/>
      <c r="B3687" s="115"/>
      <c r="C3687" s="115"/>
      <c r="D3687" s="115"/>
      <c r="E3687" s="115"/>
      <c r="F3687" s="115"/>
      <c r="G3687" s="116"/>
      <c r="I3687" s="118"/>
      <c r="J3687" s="118"/>
      <c r="L3687" s="125"/>
    </row>
    <row r="3688" spans="1:12" x14ac:dyDescent="0.25">
      <c r="A3688" s="115"/>
      <c r="B3688" s="115"/>
      <c r="C3688" s="115"/>
      <c r="D3688" s="115"/>
      <c r="E3688" s="115"/>
      <c r="F3688" s="115"/>
      <c r="G3688" s="116"/>
      <c r="I3688" s="118"/>
      <c r="J3688" s="118"/>
      <c r="L3688" s="125"/>
    </row>
    <row r="3689" spans="1:12" x14ac:dyDescent="0.25">
      <c r="A3689" s="115"/>
      <c r="B3689" s="115"/>
      <c r="C3689" s="115"/>
      <c r="D3689" s="115"/>
      <c r="E3689" s="115"/>
      <c r="F3689" s="115"/>
      <c r="G3689" s="116"/>
      <c r="I3689" s="118"/>
      <c r="J3689" s="118"/>
      <c r="L3689" s="125"/>
    </row>
    <row r="3690" spans="1:12" x14ac:dyDescent="0.25">
      <c r="A3690" s="115"/>
      <c r="B3690" s="115"/>
      <c r="C3690" s="115"/>
      <c r="D3690" s="115"/>
      <c r="E3690" s="115"/>
      <c r="F3690" s="115"/>
      <c r="G3690" s="116"/>
      <c r="I3690" s="118"/>
      <c r="J3690" s="118"/>
      <c r="L3690" s="125"/>
    </row>
    <row r="3691" spans="1:12" x14ac:dyDescent="0.25">
      <c r="A3691" s="115"/>
      <c r="B3691" s="115"/>
      <c r="C3691" s="115"/>
      <c r="D3691" s="115"/>
      <c r="E3691" s="115"/>
      <c r="F3691" s="115"/>
      <c r="G3691" s="116"/>
      <c r="I3691" s="118"/>
      <c r="J3691" s="118"/>
      <c r="L3691" s="125"/>
    </row>
    <row r="3692" spans="1:12" x14ac:dyDescent="0.25">
      <c r="A3692" s="115"/>
      <c r="B3692" s="115"/>
      <c r="C3692" s="115"/>
      <c r="D3692" s="115"/>
      <c r="E3692" s="115"/>
      <c r="F3692" s="115"/>
      <c r="G3692" s="116"/>
      <c r="I3692" s="118"/>
      <c r="J3692" s="118"/>
      <c r="L3692" s="125"/>
    </row>
    <row r="3693" spans="1:12" x14ac:dyDescent="0.25">
      <c r="A3693" s="115"/>
      <c r="B3693" s="115"/>
      <c r="C3693" s="115"/>
      <c r="D3693" s="115"/>
      <c r="E3693" s="115"/>
      <c r="F3693" s="115"/>
      <c r="G3693" s="116"/>
      <c r="I3693" s="118"/>
      <c r="J3693" s="118"/>
      <c r="L3693" s="125"/>
    </row>
    <row r="3694" spans="1:12" x14ac:dyDescent="0.25">
      <c r="A3694" s="115"/>
      <c r="B3694" s="115"/>
      <c r="C3694" s="115"/>
      <c r="D3694" s="115"/>
      <c r="E3694" s="115"/>
      <c r="F3694" s="115"/>
      <c r="G3694" s="116"/>
      <c r="I3694" s="118"/>
      <c r="J3694" s="118"/>
      <c r="L3694" s="125"/>
    </row>
    <row r="3695" spans="1:12" x14ac:dyDescent="0.25">
      <c r="A3695" s="115"/>
      <c r="B3695" s="115"/>
      <c r="C3695" s="115"/>
      <c r="D3695" s="115"/>
      <c r="E3695" s="115"/>
      <c r="F3695" s="115"/>
      <c r="G3695" s="116"/>
      <c r="I3695" s="118"/>
      <c r="J3695" s="118"/>
      <c r="L3695" s="125"/>
    </row>
    <row r="3696" spans="1:12" x14ac:dyDescent="0.25">
      <c r="A3696" s="115"/>
      <c r="B3696" s="115"/>
      <c r="C3696" s="115"/>
      <c r="D3696" s="115"/>
      <c r="E3696" s="115"/>
      <c r="F3696" s="115"/>
      <c r="G3696" s="116"/>
      <c r="I3696" s="118"/>
      <c r="J3696" s="118"/>
      <c r="L3696" s="125"/>
    </row>
    <row r="3697" spans="1:12" x14ac:dyDescent="0.25">
      <c r="A3697" s="115"/>
      <c r="B3697" s="115"/>
      <c r="C3697" s="115"/>
      <c r="D3697" s="115"/>
      <c r="E3697" s="115"/>
      <c r="F3697" s="115"/>
      <c r="G3697" s="116"/>
      <c r="I3697" s="118"/>
      <c r="J3697" s="118"/>
      <c r="L3697" s="125"/>
    </row>
    <row r="3698" spans="1:12" x14ac:dyDescent="0.25">
      <c r="A3698" s="115"/>
      <c r="B3698" s="115"/>
      <c r="C3698" s="115"/>
      <c r="D3698" s="115"/>
      <c r="E3698" s="115"/>
      <c r="F3698" s="115"/>
      <c r="G3698" s="116"/>
      <c r="I3698" s="118"/>
      <c r="J3698" s="118"/>
      <c r="L3698" s="125"/>
    </row>
    <row r="3699" spans="1:12" x14ac:dyDescent="0.25">
      <c r="A3699" s="115"/>
      <c r="B3699" s="115"/>
      <c r="C3699" s="115"/>
      <c r="D3699" s="115"/>
      <c r="E3699" s="115"/>
      <c r="F3699" s="115"/>
      <c r="G3699" s="116"/>
      <c r="I3699" s="118"/>
      <c r="J3699" s="118"/>
      <c r="L3699" s="125"/>
    </row>
    <row r="3700" spans="1:12" x14ac:dyDescent="0.25">
      <c r="A3700" s="115"/>
      <c r="B3700" s="115"/>
      <c r="C3700" s="115"/>
      <c r="D3700" s="115"/>
      <c r="E3700" s="115"/>
      <c r="F3700" s="115"/>
      <c r="G3700" s="116"/>
      <c r="I3700" s="118"/>
      <c r="J3700" s="118"/>
      <c r="L3700" s="125"/>
    </row>
    <row r="3701" spans="1:12" x14ac:dyDescent="0.25">
      <c r="A3701" s="115"/>
      <c r="B3701" s="115"/>
      <c r="C3701" s="115"/>
      <c r="D3701" s="115"/>
      <c r="E3701" s="115"/>
      <c r="F3701" s="115"/>
      <c r="G3701" s="116"/>
      <c r="I3701" s="118"/>
      <c r="J3701" s="118"/>
      <c r="L3701" s="125"/>
    </row>
    <row r="3702" spans="1:12" x14ac:dyDescent="0.25">
      <c r="A3702" s="115"/>
      <c r="B3702" s="115"/>
      <c r="C3702" s="115"/>
      <c r="D3702" s="115"/>
      <c r="E3702" s="115"/>
      <c r="F3702" s="115"/>
      <c r="G3702" s="116"/>
      <c r="I3702" s="118"/>
      <c r="J3702" s="118"/>
      <c r="L3702" s="125"/>
    </row>
    <row r="3703" spans="1:12" x14ac:dyDescent="0.25">
      <c r="A3703" s="115"/>
      <c r="B3703" s="115"/>
      <c r="C3703" s="115"/>
      <c r="D3703" s="115"/>
      <c r="E3703" s="115"/>
      <c r="F3703" s="115"/>
      <c r="G3703" s="116"/>
      <c r="I3703" s="118"/>
      <c r="J3703" s="118"/>
      <c r="L3703" s="125"/>
    </row>
    <row r="3704" spans="1:12" x14ac:dyDescent="0.25">
      <c r="A3704" s="115"/>
      <c r="B3704" s="115"/>
      <c r="C3704" s="115"/>
      <c r="D3704" s="115"/>
      <c r="E3704" s="115"/>
      <c r="F3704" s="115"/>
      <c r="G3704" s="116"/>
      <c r="I3704" s="118"/>
      <c r="J3704" s="118"/>
      <c r="L3704" s="125"/>
    </row>
    <row r="3705" spans="1:12" x14ac:dyDescent="0.25">
      <c r="A3705" s="115"/>
      <c r="B3705" s="115"/>
      <c r="C3705" s="115"/>
      <c r="D3705" s="115"/>
      <c r="E3705" s="115"/>
      <c r="F3705" s="115"/>
      <c r="G3705" s="116"/>
      <c r="I3705" s="118"/>
      <c r="J3705" s="118"/>
      <c r="L3705" s="125"/>
    </row>
    <row r="3706" spans="1:12" x14ac:dyDescent="0.25">
      <c r="A3706" s="115"/>
      <c r="B3706" s="115"/>
      <c r="C3706" s="115"/>
      <c r="D3706" s="115"/>
      <c r="E3706" s="115"/>
      <c r="F3706" s="115"/>
      <c r="G3706" s="116"/>
      <c r="I3706" s="118"/>
      <c r="J3706" s="118"/>
      <c r="L3706" s="125"/>
    </row>
    <row r="3707" spans="1:12" x14ac:dyDescent="0.25">
      <c r="A3707" s="115"/>
      <c r="B3707" s="115"/>
      <c r="C3707" s="115"/>
      <c r="D3707" s="115"/>
      <c r="E3707" s="115"/>
      <c r="F3707" s="115"/>
      <c r="G3707" s="116"/>
      <c r="I3707" s="118"/>
      <c r="J3707" s="118"/>
      <c r="L3707" s="125"/>
    </row>
    <row r="3708" spans="1:12" x14ac:dyDescent="0.25">
      <c r="A3708" s="115"/>
      <c r="B3708" s="115"/>
      <c r="C3708" s="115"/>
      <c r="D3708" s="115"/>
      <c r="E3708" s="115"/>
      <c r="F3708" s="115"/>
      <c r="G3708" s="116"/>
      <c r="I3708" s="118"/>
      <c r="J3708" s="118"/>
      <c r="L3708" s="125"/>
    </row>
    <row r="3709" spans="1:12" x14ac:dyDescent="0.25">
      <c r="A3709" s="115"/>
      <c r="B3709" s="115"/>
      <c r="C3709" s="115"/>
      <c r="D3709" s="115"/>
      <c r="E3709" s="115"/>
      <c r="F3709" s="115"/>
      <c r="G3709" s="116"/>
      <c r="I3709" s="118"/>
      <c r="J3709" s="118"/>
      <c r="L3709" s="125"/>
    </row>
    <row r="3710" spans="1:12" x14ac:dyDescent="0.25">
      <c r="A3710" s="115"/>
      <c r="B3710" s="115"/>
      <c r="C3710" s="115"/>
      <c r="D3710" s="115"/>
      <c r="E3710" s="115"/>
      <c r="F3710" s="115"/>
      <c r="G3710" s="116"/>
      <c r="I3710" s="118"/>
      <c r="J3710" s="118"/>
      <c r="L3710" s="125"/>
    </row>
    <row r="3711" spans="1:12" x14ac:dyDescent="0.25">
      <c r="A3711" s="115"/>
      <c r="B3711" s="115"/>
      <c r="C3711" s="115"/>
      <c r="D3711" s="115"/>
      <c r="E3711" s="115"/>
      <c r="F3711" s="115"/>
      <c r="G3711" s="116"/>
      <c r="I3711" s="118"/>
      <c r="J3711" s="118"/>
      <c r="L3711" s="125"/>
    </row>
    <row r="3712" spans="1:12" x14ac:dyDescent="0.25">
      <c r="A3712" s="115"/>
      <c r="B3712" s="115"/>
      <c r="C3712" s="115"/>
      <c r="D3712" s="115"/>
      <c r="E3712" s="115"/>
      <c r="F3712" s="115"/>
      <c r="G3712" s="116"/>
      <c r="I3712" s="118"/>
      <c r="J3712" s="118"/>
      <c r="L3712" s="125"/>
    </row>
    <row r="3713" spans="1:12" x14ac:dyDescent="0.25">
      <c r="A3713" s="115"/>
      <c r="B3713" s="115"/>
      <c r="C3713" s="115"/>
      <c r="D3713" s="115"/>
      <c r="E3713" s="115"/>
      <c r="F3713" s="115"/>
      <c r="G3713" s="116"/>
      <c r="I3713" s="118"/>
      <c r="J3713" s="118"/>
      <c r="L3713" s="125"/>
    </row>
    <row r="3714" spans="1:12" x14ac:dyDescent="0.25">
      <c r="A3714" s="115"/>
      <c r="B3714" s="115"/>
      <c r="C3714" s="115"/>
      <c r="D3714" s="115"/>
      <c r="E3714" s="115"/>
      <c r="F3714" s="115"/>
      <c r="G3714" s="116"/>
      <c r="I3714" s="118"/>
      <c r="J3714" s="118"/>
      <c r="L3714" s="125"/>
    </row>
    <row r="3715" spans="1:12" x14ac:dyDescent="0.25">
      <c r="A3715" s="115"/>
      <c r="B3715" s="115"/>
      <c r="C3715" s="115"/>
      <c r="D3715" s="115"/>
      <c r="E3715" s="115"/>
      <c r="F3715" s="115"/>
      <c r="G3715" s="116"/>
      <c r="I3715" s="118"/>
      <c r="J3715" s="118"/>
      <c r="L3715" s="125"/>
    </row>
    <row r="3716" spans="1:12" x14ac:dyDescent="0.25">
      <c r="A3716" s="115"/>
      <c r="B3716" s="115"/>
      <c r="C3716" s="115"/>
      <c r="D3716" s="115"/>
      <c r="E3716" s="115"/>
      <c r="F3716" s="115"/>
      <c r="G3716" s="116"/>
      <c r="I3716" s="118"/>
      <c r="J3716" s="118"/>
      <c r="L3716" s="125"/>
    </row>
    <row r="3717" spans="1:12" x14ac:dyDescent="0.25">
      <c r="A3717" s="115"/>
      <c r="B3717" s="115"/>
      <c r="C3717" s="115"/>
      <c r="D3717" s="115"/>
      <c r="E3717" s="115"/>
      <c r="F3717" s="115"/>
      <c r="G3717" s="116"/>
      <c r="I3717" s="118"/>
      <c r="J3717" s="118"/>
      <c r="L3717" s="125"/>
    </row>
    <row r="3718" spans="1:12" x14ac:dyDescent="0.25">
      <c r="A3718" s="115"/>
      <c r="B3718" s="115"/>
      <c r="C3718" s="115"/>
      <c r="D3718" s="115"/>
      <c r="E3718" s="115"/>
      <c r="F3718" s="115"/>
      <c r="G3718" s="116"/>
      <c r="I3718" s="118"/>
      <c r="J3718" s="118"/>
      <c r="L3718" s="125"/>
    </row>
    <row r="3719" spans="1:12" x14ac:dyDescent="0.25">
      <c r="A3719" s="115"/>
      <c r="B3719" s="115"/>
      <c r="C3719" s="115"/>
      <c r="D3719" s="115"/>
      <c r="E3719" s="115"/>
      <c r="F3719" s="115"/>
      <c r="G3719" s="116"/>
      <c r="I3719" s="118"/>
      <c r="J3719" s="118"/>
      <c r="L3719" s="125"/>
    </row>
    <row r="3720" spans="1:12" x14ac:dyDescent="0.25">
      <c r="A3720" s="115"/>
      <c r="B3720" s="115"/>
      <c r="C3720" s="115"/>
      <c r="D3720" s="115"/>
      <c r="E3720" s="115"/>
      <c r="F3720" s="115"/>
      <c r="G3720" s="116"/>
      <c r="I3720" s="118"/>
      <c r="J3720" s="118"/>
      <c r="L3720" s="125"/>
    </row>
    <row r="3721" spans="1:12" x14ac:dyDescent="0.25">
      <c r="A3721" s="115"/>
      <c r="B3721" s="115"/>
      <c r="C3721" s="115"/>
      <c r="D3721" s="115"/>
      <c r="E3721" s="115"/>
      <c r="F3721" s="115"/>
      <c r="G3721" s="116"/>
      <c r="I3721" s="118"/>
      <c r="J3721" s="118"/>
      <c r="L3721" s="125"/>
    </row>
    <row r="3722" spans="1:12" x14ac:dyDescent="0.25">
      <c r="A3722" s="115"/>
      <c r="B3722" s="115"/>
      <c r="C3722" s="115"/>
      <c r="D3722" s="115"/>
      <c r="E3722" s="115"/>
      <c r="F3722" s="115"/>
      <c r="G3722" s="116"/>
      <c r="I3722" s="118"/>
      <c r="J3722" s="118"/>
      <c r="L3722" s="125"/>
    </row>
    <row r="3723" spans="1:12" x14ac:dyDescent="0.25">
      <c r="A3723" s="115"/>
      <c r="B3723" s="115"/>
      <c r="C3723" s="115"/>
      <c r="D3723" s="115"/>
      <c r="E3723" s="115"/>
      <c r="F3723" s="115"/>
      <c r="G3723" s="116"/>
      <c r="I3723" s="118"/>
      <c r="J3723" s="118"/>
      <c r="L3723" s="125"/>
    </row>
    <row r="3724" spans="1:12" x14ac:dyDescent="0.25">
      <c r="A3724" s="115"/>
      <c r="B3724" s="115"/>
      <c r="C3724" s="115"/>
      <c r="D3724" s="115"/>
      <c r="E3724" s="115"/>
      <c r="F3724" s="115"/>
      <c r="G3724" s="116"/>
      <c r="I3724" s="118"/>
      <c r="J3724" s="118"/>
      <c r="L3724" s="125"/>
    </row>
    <row r="3725" spans="1:12" x14ac:dyDescent="0.25">
      <c r="A3725" s="115"/>
      <c r="B3725" s="115"/>
      <c r="C3725" s="115"/>
      <c r="D3725" s="115"/>
      <c r="E3725" s="115"/>
      <c r="F3725" s="115"/>
      <c r="G3725" s="116"/>
      <c r="I3725" s="118"/>
      <c r="J3725" s="118"/>
      <c r="L3725" s="125"/>
    </row>
    <row r="3726" spans="1:12" x14ac:dyDescent="0.25">
      <c r="A3726" s="115"/>
      <c r="B3726" s="115"/>
      <c r="C3726" s="115"/>
      <c r="D3726" s="115"/>
      <c r="E3726" s="115"/>
      <c r="F3726" s="115"/>
      <c r="G3726" s="116"/>
      <c r="I3726" s="118"/>
      <c r="J3726" s="118"/>
      <c r="L3726" s="125"/>
    </row>
    <row r="3727" spans="1:12" x14ac:dyDescent="0.25">
      <c r="A3727" s="115"/>
      <c r="B3727" s="115"/>
      <c r="C3727" s="115"/>
      <c r="D3727" s="115"/>
      <c r="E3727" s="115"/>
      <c r="F3727" s="115"/>
      <c r="G3727" s="116"/>
      <c r="I3727" s="118"/>
      <c r="J3727" s="118"/>
      <c r="L3727" s="125"/>
    </row>
    <row r="3728" spans="1:12" x14ac:dyDescent="0.25">
      <c r="A3728" s="115"/>
      <c r="B3728" s="115"/>
      <c r="C3728" s="115"/>
      <c r="D3728" s="115"/>
      <c r="E3728" s="115"/>
      <c r="F3728" s="115"/>
      <c r="G3728" s="116"/>
      <c r="I3728" s="118"/>
      <c r="J3728" s="118"/>
      <c r="L3728" s="125"/>
    </row>
    <row r="3729" spans="1:12" x14ac:dyDescent="0.25">
      <c r="A3729" s="115"/>
      <c r="B3729" s="115"/>
      <c r="C3729" s="115"/>
      <c r="D3729" s="115"/>
      <c r="E3729" s="115"/>
      <c r="F3729" s="115"/>
      <c r="G3729" s="116"/>
      <c r="I3729" s="118"/>
      <c r="J3729" s="118"/>
      <c r="L3729" s="125"/>
    </row>
    <row r="3730" spans="1:12" x14ac:dyDescent="0.25">
      <c r="A3730" s="115"/>
      <c r="B3730" s="115"/>
      <c r="C3730" s="115"/>
      <c r="D3730" s="115"/>
      <c r="E3730" s="115"/>
      <c r="F3730" s="115"/>
      <c r="G3730" s="116"/>
      <c r="I3730" s="118"/>
      <c r="J3730" s="118"/>
      <c r="L3730" s="125"/>
    </row>
    <row r="3731" spans="1:12" x14ac:dyDescent="0.25">
      <c r="A3731" s="115"/>
      <c r="B3731" s="115"/>
      <c r="C3731" s="115"/>
      <c r="D3731" s="115"/>
      <c r="E3731" s="115"/>
      <c r="F3731" s="115"/>
      <c r="G3731" s="116"/>
      <c r="I3731" s="118"/>
      <c r="J3731" s="118"/>
      <c r="L3731" s="125"/>
    </row>
    <row r="3732" spans="1:12" x14ac:dyDescent="0.25">
      <c r="A3732" s="115"/>
      <c r="B3732" s="115"/>
      <c r="C3732" s="115"/>
      <c r="D3732" s="115"/>
      <c r="E3732" s="115"/>
      <c r="F3732" s="115"/>
      <c r="G3732" s="116"/>
      <c r="I3732" s="118"/>
      <c r="J3732" s="118"/>
      <c r="L3732" s="125"/>
    </row>
    <row r="3733" spans="1:12" x14ac:dyDescent="0.25">
      <c r="A3733" s="115"/>
      <c r="B3733" s="115"/>
      <c r="C3733" s="115"/>
      <c r="D3733" s="115"/>
      <c r="E3733" s="115"/>
      <c r="F3733" s="115"/>
      <c r="G3733" s="116"/>
      <c r="I3733" s="118"/>
      <c r="J3733" s="118"/>
      <c r="L3733" s="125"/>
    </row>
    <row r="3734" spans="1:12" x14ac:dyDescent="0.25">
      <c r="A3734" s="115"/>
      <c r="B3734" s="115"/>
      <c r="C3734" s="115"/>
      <c r="D3734" s="115"/>
      <c r="E3734" s="115"/>
      <c r="F3734" s="115"/>
      <c r="G3734" s="116"/>
      <c r="I3734" s="118"/>
      <c r="J3734" s="118"/>
      <c r="L3734" s="125"/>
    </row>
    <row r="3735" spans="1:12" x14ac:dyDescent="0.25">
      <c r="A3735" s="115"/>
      <c r="B3735" s="115"/>
      <c r="C3735" s="115"/>
      <c r="D3735" s="115"/>
      <c r="E3735" s="115"/>
      <c r="F3735" s="115"/>
      <c r="G3735" s="116"/>
      <c r="I3735" s="118"/>
      <c r="J3735" s="118"/>
      <c r="L3735" s="125"/>
    </row>
    <row r="3736" spans="1:12" x14ac:dyDescent="0.25">
      <c r="A3736" s="115"/>
      <c r="B3736" s="115"/>
      <c r="C3736" s="115"/>
      <c r="D3736" s="115"/>
      <c r="E3736" s="115"/>
      <c r="F3736" s="115"/>
      <c r="G3736" s="116"/>
      <c r="I3736" s="118"/>
      <c r="J3736" s="118"/>
      <c r="L3736" s="125"/>
    </row>
    <row r="3737" spans="1:12" x14ac:dyDescent="0.25">
      <c r="A3737" s="115"/>
      <c r="B3737" s="115"/>
      <c r="C3737" s="115"/>
      <c r="D3737" s="115"/>
      <c r="E3737" s="115"/>
      <c r="F3737" s="115"/>
      <c r="G3737" s="116"/>
      <c r="I3737" s="118"/>
      <c r="J3737" s="118"/>
      <c r="L3737" s="125"/>
    </row>
    <row r="3738" spans="1:12" x14ac:dyDescent="0.25">
      <c r="A3738" s="115"/>
      <c r="B3738" s="115"/>
      <c r="C3738" s="115"/>
      <c r="D3738" s="115"/>
      <c r="E3738" s="115"/>
      <c r="F3738" s="115"/>
      <c r="G3738" s="116"/>
      <c r="I3738" s="118"/>
      <c r="J3738" s="118"/>
      <c r="L3738" s="125"/>
    </row>
    <row r="3739" spans="1:12" x14ac:dyDescent="0.25">
      <c r="A3739" s="115"/>
      <c r="B3739" s="115"/>
      <c r="C3739" s="115"/>
      <c r="D3739" s="115"/>
      <c r="E3739" s="115"/>
      <c r="F3739" s="115"/>
      <c r="G3739" s="116"/>
      <c r="I3739" s="118"/>
      <c r="J3739" s="118"/>
      <c r="L3739" s="125"/>
    </row>
    <row r="3740" spans="1:12" x14ac:dyDescent="0.25">
      <c r="A3740" s="115"/>
      <c r="B3740" s="115"/>
      <c r="C3740" s="115"/>
      <c r="D3740" s="115"/>
      <c r="E3740" s="115"/>
      <c r="F3740" s="115"/>
      <c r="G3740" s="116"/>
      <c r="I3740" s="118"/>
      <c r="J3740" s="118"/>
      <c r="L3740" s="125"/>
    </row>
    <row r="3741" spans="1:12" x14ac:dyDescent="0.25">
      <c r="A3741" s="115"/>
      <c r="B3741" s="115"/>
      <c r="C3741" s="115"/>
      <c r="D3741" s="115"/>
      <c r="E3741" s="115"/>
      <c r="F3741" s="115"/>
      <c r="G3741" s="116"/>
      <c r="I3741" s="118"/>
      <c r="J3741" s="118"/>
      <c r="L3741" s="125"/>
    </row>
    <row r="3742" spans="1:12" x14ac:dyDescent="0.25">
      <c r="A3742" s="115"/>
      <c r="B3742" s="115"/>
      <c r="C3742" s="115"/>
      <c r="D3742" s="115"/>
      <c r="E3742" s="115"/>
      <c r="F3742" s="115"/>
      <c r="G3742" s="116"/>
      <c r="I3742" s="118"/>
      <c r="J3742" s="118"/>
      <c r="L3742" s="125"/>
    </row>
    <row r="3743" spans="1:12" x14ac:dyDescent="0.25">
      <c r="A3743" s="115"/>
      <c r="B3743" s="115"/>
      <c r="C3743" s="115"/>
      <c r="D3743" s="115"/>
      <c r="E3743" s="115"/>
      <c r="F3743" s="115"/>
      <c r="G3743" s="116"/>
      <c r="I3743" s="118"/>
      <c r="J3743" s="118"/>
      <c r="L3743" s="125"/>
    </row>
    <row r="3744" spans="1:12" x14ac:dyDescent="0.25">
      <c r="A3744" s="115"/>
      <c r="B3744" s="115"/>
      <c r="C3744" s="115"/>
      <c r="D3744" s="115"/>
      <c r="E3744" s="115"/>
      <c r="F3744" s="115"/>
      <c r="G3744" s="116"/>
      <c r="I3744" s="118"/>
      <c r="J3744" s="118"/>
      <c r="L3744" s="125"/>
    </row>
    <row r="3745" spans="1:12" x14ac:dyDescent="0.25">
      <c r="A3745" s="115"/>
      <c r="B3745" s="115"/>
      <c r="C3745" s="115"/>
      <c r="D3745" s="115"/>
      <c r="E3745" s="115"/>
      <c r="F3745" s="115"/>
      <c r="G3745" s="116"/>
      <c r="I3745" s="118"/>
      <c r="J3745" s="118"/>
      <c r="L3745" s="125"/>
    </row>
    <row r="3746" spans="1:12" x14ac:dyDescent="0.25">
      <c r="A3746" s="115"/>
      <c r="B3746" s="115"/>
      <c r="C3746" s="115"/>
      <c r="D3746" s="115"/>
      <c r="E3746" s="115"/>
      <c r="F3746" s="115"/>
      <c r="G3746" s="116"/>
      <c r="I3746" s="118"/>
      <c r="J3746" s="118"/>
      <c r="L3746" s="125"/>
    </row>
    <row r="3747" spans="1:12" x14ac:dyDescent="0.25">
      <c r="A3747" s="115"/>
      <c r="B3747" s="115"/>
      <c r="C3747" s="115"/>
      <c r="D3747" s="115"/>
      <c r="E3747" s="115"/>
      <c r="F3747" s="115"/>
      <c r="G3747" s="116"/>
      <c r="I3747" s="118"/>
      <c r="J3747" s="118"/>
      <c r="L3747" s="125"/>
    </row>
    <row r="3748" spans="1:12" x14ac:dyDescent="0.25">
      <c r="A3748" s="115"/>
      <c r="B3748" s="115"/>
      <c r="C3748" s="115"/>
      <c r="D3748" s="115"/>
      <c r="E3748" s="115"/>
      <c r="F3748" s="115"/>
      <c r="G3748" s="116"/>
      <c r="I3748" s="118"/>
      <c r="J3748" s="118"/>
      <c r="L3748" s="125"/>
    </row>
    <row r="3749" spans="1:12" x14ac:dyDescent="0.25">
      <c r="A3749" s="115"/>
      <c r="B3749" s="115"/>
      <c r="C3749" s="115"/>
      <c r="D3749" s="115"/>
      <c r="E3749" s="115"/>
      <c r="F3749" s="115"/>
      <c r="G3749" s="116"/>
      <c r="I3749" s="118"/>
      <c r="J3749" s="118"/>
      <c r="L3749" s="125"/>
    </row>
    <row r="3750" spans="1:12" x14ac:dyDescent="0.25">
      <c r="A3750" s="115"/>
      <c r="B3750" s="115"/>
      <c r="C3750" s="115"/>
      <c r="D3750" s="115"/>
      <c r="E3750" s="115"/>
      <c r="F3750" s="115"/>
      <c r="G3750" s="116"/>
      <c r="I3750" s="118"/>
      <c r="J3750" s="118"/>
      <c r="L3750" s="125"/>
    </row>
    <row r="3751" spans="1:12" x14ac:dyDescent="0.25">
      <c r="A3751" s="115"/>
      <c r="B3751" s="115"/>
      <c r="C3751" s="115"/>
      <c r="D3751" s="115"/>
      <c r="E3751" s="115"/>
      <c r="F3751" s="115"/>
      <c r="G3751" s="116"/>
      <c r="I3751" s="118"/>
      <c r="J3751" s="118"/>
      <c r="L3751" s="125"/>
    </row>
    <row r="3752" spans="1:12" x14ac:dyDescent="0.25">
      <c r="A3752" s="115"/>
      <c r="B3752" s="115"/>
      <c r="C3752" s="115"/>
      <c r="D3752" s="115"/>
      <c r="E3752" s="115"/>
      <c r="F3752" s="115"/>
      <c r="G3752" s="116"/>
      <c r="I3752" s="118"/>
      <c r="J3752" s="118"/>
      <c r="L3752" s="125"/>
    </row>
    <row r="3753" spans="1:12" x14ac:dyDescent="0.25">
      <c r="A3753" s="115"/>
      <c r="B3753" s="115"/>
      <c r="C3753" s="115"/>
      <c r="D3753" s="115"/>
      <c r="E3753" s="115"/>
      <c r="F3753" s="115"/>
      <c r="G3753" s="116"/>
      <c r="I3753" s="118"/>
      <c r="J3753" s="118"/>
      <c r="L3753" s="125"/>
    </row>
    <row r="3754" spans="1:12" x14ac:dyDescent="0.25">
      <c r="A3754" s="115"/>
      <c r="B3754" s="115"/>
      <c r="C3754" s="115"/>
      <c r="D3754" s="115"/>
      <c r="E3754" s="115"/>
      <c r="F3754" s="115"/>
      <c r="G3754" s="116"/>
      <c r="I3754" s="118"/>
      <c r="J3754" s="118"/>
      <c r="L3754" s="125"/>
    </row>
    <row r="3755" spans="1:12" x14ac:dyDescent="0.25">
      <c r="A3755" s="115"/>
      <c r="B3755" s="115"/>
      <c r="C3755" s="115"/>
      <c r="D3755" s="115"/>
      <c r="E3755" s="115"/>
      <c r="F3755" s="115"/>
      <c r="G3755" s="116"/>
      <c r="I3755" s="118"/>
      <c r="J3755" s="118"/>
      <c r="L3755" s="125"/>
    </row>
    <row r="3756" spans="1:12" x14ac:dyDescent="0.25">
      <c r="A3756" s="115"/>
      <c r="B3756" s="115"/>
      <c r="C3756" s="115"/>
      <c r="D3756" s="115"/>
      <c r="E3756" s="115"/>
      <c r="F3756" s="115"/>
      <c r="G3756" s="116"/>
      <c r="I3756" s="118"/>
      <c r="J3756" s="118"/>
      <c r="L3756" s="125"/>
    </row>
    <row r="3757" spans="1:12" x14ac:dyDescent="0.25">
      <c r="A3757" s="115"/>
      <c r="B3757" s="115"/>
      <c r="C3757" s="115"/>
      <c r="D3757" s="115"/>
      <c r="E3757" s="115"/>
      <c r="F3757" s="115"/>
      <c r="G3757" s="116"/>
      <c r="I3757" s="118"/>
      <c r="J3757" s="118"/>
      <c r="L3757" s="125"/>
    </row>
    <row r="3758" spans="1:12" x14ac:dyDescent="0.25">
      <c r="A3758" s="115"/>
      <c r="B3758" s="115"/>
      <c r="C3758" s="115"/>
      <c r="D3758" s="115"/>
      <c r="E3758" s="115"/>
      <c r="F3758" s="115"/>
      <c r="G3758" s="116"/>
      <c r="I3758" s="118"/>
      <c r="J3758" s="118"/>
      <c r="L3758" s="125"/>
    </row>
    <row r="3759" spans="1:12" x14ac:dyDescent="0.25">
      <c r="A3759" s="115"/>
      <c r="B3759" s="115"/>
      <c r="C3759" s="115"/>
      <c r="D3759" s="115"/>
      <c r="E3759" s="115"/>
      <c r="F3759" s="115"/>
      <c r="G3759" s="116"/>
      <c r="I3759" s="118"/>
      <c r="J3759" s="118"/>
      <c r="L3759" s="125"/>
    </row>
    <row r="3760" spans="1:12" x14ac:dyDescent="0.25">
      <c r="A3760" s="115"/>
      <c r="B3760" s="115"/>
      <c r="C3760" s="115"/>
      <c r="D3760" s="115"/>
      <c r="E3760" s="115"/>
      <c r="F3760" s="115"/>
      <c r="G3760" s="116"/>
      <c r="I3760" s="118"/>
      <c r="J3760" s="118"/>
      <c r="L3760" s="125"/>
    </row>
    <row r="3761" spans="1:12" x14ac:dyDescent="0.25">
      <c r="A3761" s="115"/>
      <c r="B3761" s="115"/>
      <c r="C3761" s="115"/>
      <c r="D3761" s="115"/>
      <c r="E3761" s="115"/>
      <c r="F3761" s="115"/>
      <c r="G3761" s="116"/>
      <c r="I3761" s="118"/>
      <c r="J3761" s="118"/>
      <c r="L3761" s="125"/>
    </row>
    <row r="3762" spans="1:12" x14ac:dyDescent="0.25">
      <c r="A3762" s="115"/>
      <c r="B3762" s="115"/>
      <c r="C3762" s="115"/>
      <c r="D3762" s="115"/>
      <c r="E3762" s="115"/>
      <c r="F3762" s="115"/>
      <c r="G3762" s="116"/>
      <c r="I3762" s="118"/>
      <c r="J3762" s="118"/>
      <c r="L3762" s="125"/>
    </row>
    <row r="3763" spans="1:12" x14ac:dyDescent="0.25">
      <c r="A3763" s="115"/>
      <c r="B3763" s="115"/>
      <c r="C3763" s="115"/>
      <c r="D3763" s="115"/>
      <c r="E3763" s="115"/>
      <c r="F3763" s="115"/>
      <c r="G3763" s="116"/>
      <c r="I3763" s="118"/>
      <c r="J3763" s="118"/>
      <c r="L3763" s="125"/>
    </row>
    <row r="3764" spans="1:12" x14ac:dyDescent="0.25">
      <c r="A3764" s="115"/>
      <c r="B3764" s="115"/>
      <c r="C3764" s="115"/>
      <c r="D3764" s="115"/>
      <c r="E3764" s="115"/>
      <c r="F3764" s="115"/>
      <c r="G3764" s="116"/>
      <c r="I3764" s="118"/>
      <c r="J3764" s="118"/>
      <c r="L3764" s="125"/>
    </row>
    <row r="3765" spans="1:12" x14ac:dyDescent="0.25">
      <c r="A3765" s="115"/>
      <c r="B3765" s="115"/>
      <c r="C3765" s="115"/>
      <c r="D3765" s="115"/>
      <c r="E3765" s="115"/>
      <c r="F3765" s="115"/>
      <c r="G3765" s="116"/>
      <c r="I3765" s="118"/>
      <c r="J3765" s="118"/>
      <c r="L3765" s="125"/>
    </row>
    <row r="3766" spans="1:12" x14ac:dyDescent="0.25">
      <c r="A3766" s="115"/>
      <c r="B3766" s="115"/>
      <c r="C3766" s="115"/>
      <c r="D3766" s="115"/>
      <c r="E3766" s="115"/>
      <c r="F3766" s="115"/>
      <c r="G3766" s="116"/>
      <c r="I3766" s="118"/>
      <c r="J3766" s="118"/>
      <c r="L3766" s="125"/>
    </row>
    <row r="3767" spans="1:12" x14ac:dyDescent="0.25">
      <c r="A3767" s="115"/>
      <c r="B3767" s="115"/>
      <c r="C3767" s="115"/>
      <c r="D3767" s="115"/>
      <c r="E3767" s="115"/>
      <c r="F3767" s="115"/>
      <c r="G3767" s="116"/>
      <c r="I3767" s="118"/>
      <c r="J3767" s="118"/>
      <c r="L3767" s="125"/>
    </row>
    <row r="3768" spans="1:12" x14ac:dyDescent="0.25">
      <c r="A3768" s="115"/>
      <c r="B3768" s="115"/>
      <c r="C3768" s="115"/>
      <c r="D3768" s="115"/>
      <c r="E3768" s="115"/>
      <c r="F3768" s="115"/>
      <c r="G3768" s="116"/>
      <c r="I3768" s="118"/>
      <c r="J3768" s="118"/>
      <c r="L3768" s="125"/>
    </row>
    <row r="3769" spans="1:12" x14ac:dyDescent="0.25">
      <c r="A3769" s="115"/>
      <c r="B3769" s="115"/>
      <c r="C3769" s="115"/>
      <c r="D3769" s="115"/>
      <c r="E3769" s="115"/>
      <c r="F3769" s="115"/>
      <c r="G3769" s="116"/>
      <c r="I3769" s="118"/>
      <c r="J3769" s="118"/>
      <c r="L3769" s="125"/>
    </row>
    <row r="3770" spans="1:12" x14ac:dyDescent="0.25">
      <c r="A3770" s="115"/>
      <c r="B3770" s="115"/>
      <c r="C3770" s="115"/>
      <c r="D3770" s="115"/>
      <c r="E3770" s="115"/>
      <c r="F3770" s="115"/>
      <c r="G3770" s="116"/>
      <c r="I3770" s="118"/>
      <c r="J3770" s="118"/>
      <c r="L3770" s="125"/>
    </row>
    <row r="3771" spans="1:12" x14ac:dyDescent="0.25">
      <c r="A3771" s="115"/>
      <c r="B3771" s="115"/>
      <c r="C3771" s="115"/>
      <c r="D3771" s="115"/>
      <c r="E3771" s="115"/>
      <c r="F3771" s="115"/>
      <c r="G3771" s="116"/>
      <c r="I3771" s="118"/>
      <c r="J3771" s="118"/>
      <c r="L3771" s="125"/>
    </row>
    <row r="3772" spans="1:12" x14ac:dyDescent="0.25">
      <c r="A3772" s="115"/>
      <c r="B3772" s="115"/>
      <c r="C3772" s="115"/>
      <c r="D3772" s="115"/>
      <c r="E3772" s="115"/>
      <c r="F3772" s="115"/>
      <c r="G3772" s="116"/>
      <c r="I3772" s="118"/>
      <c r="J3772" s="118"/>
      <c r="L3772" s="125"/>
    </row>
    <row r="3773" spans="1:12" x14ac:dyDescent="0.25">
      <c r="A3773" s="115"/>
      <c r="B3773" s="115"/>
      <c r="C3773" s="115"/>
      <c r="D3773" s="115"/>
      <c r="E3773" s="115"/>
      <c r="F3773" s="115"/>
      <c r="G3773" s="116"/>
      <c r="I3773" s="118"/>
      <c r="J3773" s="118"/>
      <c r="L3773" s="125"/>
    </row>
    <row r="3774" spans="1:12" x14ac:dyDescent="0.25">
      <c r="A3774" s="115"/>
      <c r="B3774" s="115"/>
      <c r="C3774" s="115"/>
      <c r="D3774" s="115"/>
      <c r="E3774" s="115"/>
      <c r="F3774" s="115"/>
      <c r="G3774" s="116"/>
      <c r="I3774" s="118"/>
      <c r="J3774" s="118"/>
      <c r="L3774" s="125"/>
    </row>
    <row r="3775" spans="1:12" x14ac:dyDescent="0.25">
      <c r="A3775" s="115"/>
      <c r="B3775" s="115"/>
      <c r="C3775" s="115"/>
      <c r="D3775" s="115"/>
      <c r="E3775" s="115"/>
      <c r="F3775" s="115"/>
      <c r="G3775" s="116"/>
      <c r="I3775" s="118"/>
      <c r="J3775" s="118"/>
      <c r="L3775" s="125"/>
    </row>
    <row r="3776" spans="1:12" x14ac:dyDescent="0.25">
      <c r="A3776" s="115"/>
      <c r="B3776" s="115"/>
      <c r="C3776" s="115"/>
      <c r="D3776" s="115"/>
      <c r="E3776" s="115"/>
      <c r="F3776" s="115"/>
      <c r="G3776" s="116"/>
      <c r="I3776" s="118"/>
      <c r="J3776" s="118"/>
      <c r="L3776" s="125"/>
    </row>
    <row r="3777" spans="1:12" x14ac:dyDescent="0.25">
      <c r="A3777" s="115"/>
      <c r="B3777" s="115"/>
      <c r="C3777" s="115"/>
      <c r="D3777" s="115"/>
      <c r="E3777" s="115"/>
      <c r="F3777" s="115"/>
      <c r="G3777" s="116"/>
      <c r="I3777" s="118"/>
      <c r="J3777" s="118"/>
      <c r="L3777" s="125"/>
    </row>
    <row r="3778" spans="1:12" x14ac:dyDescent="0.25">
      <c r="A3778" s="115"/>
      <c r="B3778" s="115"/>
      <c r="C3778" s="115"/>
      <c r="D3778" s="115"/>
      <c r="E3778" s="115"/>
      <c r="F3778" s="115"/>
      <c r="G3778" s="116"/>
      <c r="I3778" s="118"/>
      <c r="J3778" s="118"/>
      <c r="L3778" s="125"/>
    </row>
    <row r="3779" spans="1:12" x14ac:dyDescent="0.25">
      <c r="A3779" s="115"/>
      <c r="B3779" s="115"/>
      <c r="C3779" s="115"/>
      <c r="D3779" s="115"/>
      <c r="E3779" s="115"/>
      <c r="F3779" s="115"/>
      <c r="G3779" s="116"/>
      <c r="I3779" s="118"/>
      <c r="J3779" s="118"/>
      <c r="L3779" s="125"/>
    </row>
    <row r="3780" spans="1:12" x14ac:dyDescent="0.25">
      <c r="A3780" s="115"/>
      <c r="B3780" s="115"/>
      <c r="C3780" s="115"/>
      <c r="D3780" s="115"/>
      <c r="E3780" s="115"/>
      <c r="F3780" s="115"/>
      <c r="G3780" s="116"/>
      <c r="I3780" s="118"/>
      <c r="J3780" s="118"/>
      <c r="L3780" s="125"/>
    </row>
    <row r="3781" spans="1:12" x14ac:dyDescent="0.25">
      <c r="A3781" s="115"/>
      <c r="B3781" s="115"/>
      <c r="C3781" s="115"/>
      <c r="D3781" s="115"/>
      <c r="E3781" s="115"/>
      <c r="F3781" s="115"/>
      <c r="G3781" s="116"/>
      <c r="I3781" s="118"/>
      <c r="J3781" s="118"/>
      <c r="L3781" s="125"/>
    </row>
    <row r="3782" spans="1:12" x14ac:dyDescent="0.25">
      <c r="A3782" s="115"/>
      <c r="B3782" s="115"/>
      <c r="C3782" s="115"/>
      <c r="D3782" s="115"/>
      <c r="E3782" s="115"/>
      <c r="F3782" s="115"/>
      <c r="G3782" s="116"/>
      <c r="I3782" s="118"/>
      <c r="J3782" s="118"/>
      <c r="L3782" s="125"/>
    </row>
    <row r="3783" spans="1:12" x14ac:dyDescent="0.25">
      <c r="A3783" s="115"/>
      <c r="B3783" s="115"/>
      <c r="C3783" s="115"/>
      <c r="D3783" s="115"/>
      <c r="E3783" s="115"/>
      <c r="F3783" s="115"/>
      <c r="G3783" s="116"/>
      <c r="I3783" s="118"/>
      <c r="J3783" s="118"/>
      <c r="L3783" s="125"/>
    </row>
    <row r="3784" spans="1:12" x14ac:dyDescent="0.25">
      <c r="A3784" s="115"/>
      <c r="B3784" s="115"/>
      <c r="C3784" s="115"/>
      <c r="D3784" s="115"/>
      <c r="E3784" s="115"/>
      <c r="F3784" s="115"/>
      <c r="G3784" s="116"/>
      <c r="I3784" s="118"/>
      <c r="J3784" s="118"/>
      <c r="L3784" s="125"/>
    </row>
    <row r="3785" spans="1:12" x14ac:dyDescent="0.25">
      <c r="A3785" s="115"/>
      <c r="B3785" s="115"/>
      <c r="C3785" s="115"/>
      <c r="D3785" s="115"/>
      <c r="E3785" s="115"/>
      <c r="F3785" s="115"/>
      <c r="G3785" s="116"/>
      <c r="I3785" s="118"/>
      <c r="J3785" s="118"/>
      <c r="L3785" s="125"/>
    </row>
    <row r="3786" spans="1:12" x14ac:dyDescent="0.25">
      <c r="A3786" s="115"/>
      <c r="B3786" s="115"/>
      <c r="C3786" s="115"/>
      <c r="D3786" s="115"/>
      <c r="E3786" s="115"/>
      <c r="F3786" s="115"/>
      <c r="G3786" s="116"/>
      <c r="I3786" s="118"/>
      <c r="J3786" s="118"/>
      <c r="L3786" s="125"/>
    </row>
    <row r="3787" spans="1:12" x14ac:dyDescent="0.25">
      <c r="A3787" s="115"/>
      <c r="B3787" s="115"/>
      <c r="C3787" s="115"/>
      <c r="D3787" s="115"/>
      <c r="E3787" s="115"/>
      <c r="F3787" s="115"/>
      <c r="G3787" s="116"/>
      <c r="I3787" s="118"/>
      <c r="J3787" s="118"/>
      <c r="L3787" s="125"/>
    </row>
    <row r="3788" spans="1:12" x14ac:dyDescent="0.25">
      <c r="A3788" s="115"/>
      <c r="B3788" s="115"/>
      <c r="C3788" s="115"/>
      <c r="D3788" s="115"/>
      <c r="E3788" s="115"/>
      <c r="F3788" s="115"/>
      <c r="G3788" s="116"/>
      <c r="I3788" s="118"/>
      <c r="J3788" s="118"/>
      <c r="L3788" s="125"/>
    </row>
    <row r="3789" spans="1:12" x14ac:dyDescent="0.25">
      <c r="A3789" s="115"/>
      <c r="B3789" s="115"/>
      <c r="C3789" s="115"/>
      <c r="D3789" s="115"/>
      <c r="E3789" s="115"/>
      <c r="F3789" s="115"/>
      <c r="G3789" s="116"/>
      <c r="I3789" s="118"/>
      <c r="J3789" s="118"/>
      <c r="L3789" s="125"/>
    </row>
    <row r="3790" spans="1:12" x14ac:dyDescent="0.25">
      <c r="A3790" s="115"/>
      <c r="B3790" s="115"/>
      <c r="C3790" s="115"/>
      <c r="D3790" s="115"/>
      <c r="E3790" s="115"/>
      <c r="F3790" s="115"/>
      <c r="G3790" s="116"/>
      <c r="I3790" s="118"/>
      <c r="J3790" s="118"/>
      <c r="L3790" s="125"/>
    </row>
    <row r="3791" spans="1:12" x14ac:dyDescent="0.25">
      <c r="A3791" s="115"/>
      <c r="B3791" s="115"/>
      <c r="C3791" s="115"/>
      <c r="D3791" s="115"/>
      <c r="E3791" s="115"/>
      <c r="F3791" s="115"/>
      <c r="G3791" s="116"/>
      <c r="I3791" s="118"/>
      <c r="J3791" s="118"/>
      <c r="L3791" s="125"/>
    </row>
    <row r="3792" spans="1:12" x14ac:dyDescent="0.25">
      <c r="A3792" s="115"/>
      <c r="B3792" s="115"/>
      <c r="C3792" s="115"/>
      <c r="D3792" s="115"/>
      <c r="E3792" s="115"/>
      <c r="F3792" s="115"/>
      <c r="G3792" s="116"/>
      <c r="I3792" s="118"/>
      <c r="J3792" s="118"/>
      <c r="L3792" s="125"/>
    </row>
    <row r="3793" spans="1:12" x14ac:dyDescent="0.25">
      <c r="A3793" s="115"/>
      <c r="B3793" s="115"/>
      <c r="C3793" s="115"/>
      <c r="D3793" s="115"/>
      <c r="E3793" s="115"/>
      <c r="F3793" s="115"/>
      <c r="G3793" s="116"/>
      <c r="I3793" s="118"/>
      <c r="J3793" s="118"/>
      <c r="L3793" s="125"/>
    </row>
    <row r="3794" spans="1:12" x14ac:dyDescent="0.25">
      <c r="A3794" s="115"/>
      <c r="B3794" s="115"/>
      <c r="C3794" s="115"/>
      <c r="D3794" s="115"/>
      <c r="E3794" s="115"/>
      <c r="F3794" s="115"/>
      <c r="G3794" s="116"/>
      <c r="I3794" s="118"/>
      <c r="J3794" s="118"/>
      <c r="L3794" s="125"/>
    </row>
    <row r="3795" spans="1:12" x14ac:dyDescent="0.25">
      <c r="A3795" s="115"/>
      <c r="B3795" s="115"/>
      <c r="C3795" s="115"/>
      <c r="D3795" s="115"/>
      <c r="E3795" s="115"/>
      <c r="F3795" s="115"/>
      <c r="G3795" s="116"/>
      <c r="I3795" s="118"/>
      <c r="J3795" s="118"/>
      <c r="L3795" s="125"/>
    </row>
    <row r="3796" spans="1:12" x14ac:dyDescent="0.25">
      <c r="A3796" s="115"/>
      <c r="B3796" s="115"/>
      <c r="C3796" s="115"/>
      <c r="D3796" s="115"/>
      <c r="E3796" s="115"/>
      <c r="F3796" s="115"/>
      <c r="G3796" s="116"/>
      <c r="I3796" s="118"/>
      <c r="J3796" s="118"/>
      <c r="L3796" s="125"/>
    </row>
    <row r="3797" spans="1:12" x14ac:dyDescent="0.25">
      <c r="A3797" s="115"/>
      <c r="B3797" s="115"/>
      <c r="C3797" s="115"/>
      <c r="D3797" s="115"/>
      <c r="E3797" s="115"/>
      <c r="F3797" s="115"/>
      <c r="G3797" s="116"/>
      <c r="I3797" s="118"/>
      <c r="J3797" s="118"/>
      <c r="L3797" s="125"/>
    </row>
    <row r="3798" spans="1:12" x14ac:dyDescent="0.25">
      <c r="A3798" s="115"/>
      <c r="B3798" s="115"/>
      <c r="C3798" s="115"/>
      <c r="D3798" s="115"/>
      <c r="E3798" s="115"/>
      <c r="F3798" s="115"/>
      <c r="G3798" s="116"/>
      <c r="I3798" s="118"/>
      <c r="J3798" s="118"/>
      <c r="L3798" s="125"/>
    </row>
    <row r="3799" spans="1:12" x14ac:dyDescent="0.25">
      <c r="A3799" s="115"/>
      <c r="B3799" s="115"/>
      <c r="C3799" s="115"/>
      <c r="D3799" s="115"/>
      <c r="E3799" s="115"/>
      <c r="F3799" s="115"/>
      <c r="G3799" s="116"/>
      <c r="I3799" s="118"/>
      <c r="J3799" s="118"/>
      <c r="L3799" s="125"/>
    </row>
    <row r="3800" spans="1:12" x14ac:dyDescent="0.25">
      <c r="A3800" s="115"/>
      <c r="B3800" s="115"/>
      <c r="C3800" s="115"/>
      <c r="D3800" s="115"/>
      <c r="E3800" s="115"/>
      <c r="F3800" s="115"/>
      <c r="G3800" s="116"/>
      <c r="I3800" s="118"/>
      <c r="J3800" s="118"/>
      <c r="L3800" s="125"/>
    </row>
    <row r="3801" spans="1:12" x14ac:dyDescent="0.25">
      <c r="A3801" s="115"/>
      <c r="B3801" s="115"/>
      <c r="C3801" s="115"/>
      <c r="D3801" s="115"/>
      <c r="E3801" s="115"/>
      <c r="F3801" s="115"/>
      <c r="G3801" s="116"/>
      <c r="I3801" s="118"/>
      <c r="J3801" s="118"/>
      <c r="L3801" s="125"/>
    </row>
    <row r="3802" spans="1:12" x14ac:dyDescent="0.25">
      <c r="A3802" s="115"/>
      <c r="B3802" s="115"/>
      <c r="C3802" s="115"/>
      <c r="D3802" s="115"/>
      <c r="E3802" s="115"/>
      <c r="F3802" s="115"/>
      <c r="G3802" s="116"/>
      <c r="I3802" s="118"/>
      <c r="J3802" s="118"/>
      <c r="L3802" s="125"/>
    </row>
    <row r="3803" spans="1:12" x14ac:dyDescent="0.25">
      <c r="A3803" s="115"/>
      <c r="B3803" s="115"/>
      <c r="C3803" s="115"/>
      <c r="D3803" s="115"/>
      <c r="E3803" s="115"/>
      <c r="F3803" s="115"/>
      <c r="G3803" s="116"/>
      <c r="I3803" s="118"/>
      <c r="J3803" s="118"/>
      <c r="L3803" s="125"/>
    </row>
    <row r="3804" spans="1:12" x14ac:dyDescent="0.25">
      <c r="A3804" s="115"/>
      <c r="B3804" s="115"/>
      <c r="C3804" s="115"/>
      <c r="D3804" s="115"/>
      <c r="E3804" s="115"/>
      <c r="F3804" s="115"/>
      <c r="G3804" s="116"/>
      <c r="I3804" s="118"/>
      <c r="J3804" s="118"/>
      <c r="L3804" s="125"/>
    </row>
    <row r="3805" spans="1:12" x14ac:dyDescent="0.25">
      <c r="A3805" s="115"/>
      <c r="B3805" s="115"/>
      <c r="C3805" s="115"/>
      <c r="D3805" s="115"/>
      <c r="E3805" s="115"/>
      <c r="F3805" s="115"/>
      <c r="G3805" s="116"/>
      <c r="I3805" s="118"/>
      <c r="J3805" s="118"/>
      <c r="L3805" s="125"/>
    </row>
    <row r="3806" spans="1:12" x14ac:dyDescent="0.25">
      <c r="A3806" s="115"/>
      <c r="B3806" s="115"/>
      <c r="C3806" s="115"/>
      <c r="D3806" s="115"/>
      <c r="E3806" s="115"/>
      <c r="F3806" s="115"/>
      <c r="G3806" s="116"/>
      <c r="I3806" s="118"/>
      <c r="J3806" s="118"/>
      <c r="L3806" s="125"/>
    </row>
    <row r="3807" spans="1:12" x14ac:dyDescent="0.25">
      <c r="A3807" s="115"/>
      <c r="B3807" s="115"/>
      <c r="C3807" s="115"/>
      <c r="D3807" s="115"/>
      <c r="E3807" s="115"/>
      <c r="F3807" s="115"/>
      <c r="G3807" s="116"/>
      <c r="I3807" s="118"/>
      <c r="J3807" s="118"/>
      <c r="L3807" s="125"/>
    </row>
    <row r="3808" spans="1:12" x14ac:dyDescent="0.25">
      <c r="A3808" s="115"/>
      <c r="B3808" s="115"/>
      <c r="C3808" s="115"/>
      <c r="D3808" s="115"/>
      <c r="E3808" s="115"/>
      <c r="F3808" s="115"/>
      <c r="G3808" s="116"/>
      <c r="I3808" s="118"/>
      <c r="J3808" s="118"/>
      <c r="L3808" s="125"/>
    </row>
    <row r="3809" spans="1:12" x14ac:dyDescent="0.25">
      <c r="A3809" s="115"/>
      <c r="B3809" s="115"/>
      <c r="C3809" s="115"/>
      <c r="D3809" s="115"/>
      <c r="E3809" s="115"/>
      <c r="F3809" s="115"/>
      <c r="G3809" s="116"/>
      <c r="I3809" s="118"/>
      <c r="J3809" s="118"/>
      <c r="L3809" s="125"/>
    </row>
    <row r="3810" spans="1:12" x14ac:dyDescent="0.25">
      <c r="A3810" s="115"/>
      <c r="B3810" s="115"/>
      <c r="C3810" s="115"/>
      <c r="D3810" s="115"/>
      <c r="E3810" s="115"/>
      <c r="F3810" s="115"/>
      <c r="G3810" s="116"/>
      <c r="I3810" s="118"/>
      <c r="J3810" s="118"/>
      <c r="L3810" s="125"/>
    </row>
    <row r="3811" spans="1:12" x14ac:dyDescent="0.25">
      <c r="A3811" s="115"/>
      <c r="B3811" s="115"/>
      <c r="C3811" s="115"/>
      <c r="D3811" s="115"/>
      <c r="E3811" s="115"/>
      <c r="F3811" s="115"/>
      <c r="G3811" s="116"/>
      <c r="I3811" s="118"/>
      <c r="J3811" s="118"/>
      <c r="L3811" s="125"/>
    </row>
    <row r="3812" spans="1:12" x14ac:dyDescent="0.25">
      <c r="A3812" s="115"/>
      <c r="B3812" s="115"/>
      <c r="C3812" s="115"/>
      <c r="D3812" s="115"/>
      <c r="E3812" s="115"/>
      <c r="F3812" s="115"/>
      <c r="G3812" s="116"/>
      <c r="I3812" s="118"/>
      <c r="J3812" s="118"/>
      <c r="L3812" s="125"/>
    </row>
    <row r="3813" spans="1:12" x14ac:dyDescent="0.25">
      <c r="A3813" s="115"/>
      <c r="B3813" s="115"/>
      <c r="C3813" s="115"/>
      <c r="D3813" s="115"/>
      <c r="E3813" s="115"/>
      <c r="F3813" s="115"/>
      <c r="G3813" s="116"/>
      <c r="I3813" s="118"/>
      <c r="J3813" s="118"/>
      <c r="L3813" s="125"/>
    </row>
    <row r="3814" spans="1:12" x14ac:dyDescent="0.25">
      <c r="A3814" s="115"/>
      <c r="B3814" s="115"/>
      <c r="C3814" s="115"/>
      <c r="D3814" s="115"/>
      <c r="E3814" s="115"/>
      <c r="F3814" s="115"/>
      <c r="G3814" s="116"/>
      <c r="I3814" s="118"/>
      <c r="J3814" s="118"/>
      <c r="L3814" s="125"/>
    </row>
    <row r="3815" spans="1:12" x14ac:dyDescent="0.25">
      <c r="A3815" s="115"/>
      <c r="B3815" s="115"/>
      <c r="C3815" s="115"/>
      <c r="D3815" s="115"/>
      <c r="E3815" s="115"/>
      <c r="F3815" s="115"/>
      <c r="G3815" s="116"/>
      <c r="I3815" s="118"/>
      <c r="J3815" s="118"/>
      <c r="L3815" s="125"/>
    </row>
    <row r="3816" spans="1:12" x14ac:dyDescent="0.25">
      <c r="A3816" s="115"/>
      <c r="B3816" s="115"/>
      <c r="C3816" s="115"/>
      <c r="D3816" s="115"/>
      <c r="E3816" s="115"/>
      <c r="F3816" s="115"/>
      <c r="G3816" s="116"/>
      <c r="I3816" s="118"/>
      <c r="J3816" s="118"/>
      <c r="L3816" s="125"/>
    </row>
    <row r="3817" spans="1:12" x14ac:dyDescent="0.25">
      <c r="A3817" s="115"/>
      <c r="B3817" s="115"/>
      <c r="C3817" s="115"/>
      <c r="D3817" s="115"/>
      <c r="E3817" s="115"/>
      <c r="F3817" s="115"/>
      <c r="G3817" s="116"/>
      <c r="I3817" s="118"/>
      <c r="J3817" s="118"/>
      <c r="L3817" s="125"/>
    </row>
    <row r="3818" spans="1:12" x14ac:dyDescent="0.25">
      <c r="A3818" s="115"/>
      <c r="B3818" s="115"/>
      <c r="C3818" s="115"/>
      <c r="D3818" s="115"/>
      <c r="E3818" s="115"/>
      <c r="F3818" s="115"/>
      <c r="G3818" s="116"/>
      <c r="I3818" s="118"/>
      <c r="J3818" s="118"/>
      <c r="L3818" s="125"/>
    </row>
    <row r="3819" spans="1:12" x14ac:dyDescent="0.25">
      <c r="A3819" s="115"/>
      <c r="B3819" s="115"/>
      <c r="C3819" s="115"/>
      <c r="D3819" s="115"/>
      <c r="E3819" s="115"/>
      <c r="F3819" s="115"/>
      <c r="G3819" s="116"/>
      <c r="I3819" s="118"/>
      <c r="J3819" s="118"/>
      <c r="L3819" s="125"/>
    </row>
    <row r="3820" spans="1:12" x14ac:dyDescent="0.25">
      <c r="A3820" s="115"/>
      <c r="B3820" s="115"/>
      <c r="C3820" s="115"/>
      <c r="D3820" s="115"/>
      <c r="E3820" s="115"/>
      <c r="F3820" s="115"/>
      <c r="G3820" s="116"/>
      <c r="I3820" s="118"/>
      <c r="J3820" s="118"/>
      <c r="L3820" s="125"/>
    </row>
    <row r="3821" spans="1:12" x14ac:dyDescent="0.25">
      <c r="A3821" s="115"/>
      <c r="B3821" s="115"/>
      <c r="C3821" s="115"/>
      <c r="D3821" s="115"/>
      <c r="E3821" s="115"/>
      <c r="F3821" s="115"/>
      <c r="G3821" s="116"/>
      <c r="I3821" s="118"/>
      <c r="J3821" s="118"/>
      <c r="L3821" s="125"/>
    </row>
    <row r="3822" spans="1:12" x14ac:dyDescent="0.25">
      <c r="A3822" s="115"/>
      <c r="B3822" s="115"/>
      <c r="C3822" s="115"/>
      <c r="D3822" s="115"/>
      <c r="E3822" s="115"/>
      <c r="F3822" s="115"/>
      <c r="G3822" s="116"/>
      <c r="I3822" s="118"/>
      <c r="J3822" s="118"/>
      <c r="L3822" s="125"/>
    </row>
    <row r="3823" spans="1:12" x14ac:dyDescent="0.25">
      <c r="A3823" s="115"/>
      <c r="B3823" s="115"/>
      <c r="C3823" s="115"/>
      <c r="D3823" s="115"/>
      <c r="E3823" s="115"/>
      <c r="F3823" s="115"/>
      <c r="G3823" s="116"/>
      <c r="I3823" s="118"/>
      <c r="J3823" s="118"/>
      <c r="L3823" s="125"/>
    </row>
    <row r="3824" spans="1:12" x14ac:dyDescent="0.25">
      <c r="A3824" s="115"/>
      <c r="B3824" s="115"/>
      <c r="C3824" s="115"/>
      <c r="D3824" s="115"/>
      <c r="E3824" s="115"/>
      <c r="F3824" s="115"/>
      <c r="G3824" s="116"/>
      <c r="I3824" s="118"/>
      <c r="J3824" s="118"/>
      <c r="L3824" s="125"/>
    </row>
    <row r="3825" spans="1:12" x14ac:dyDescent="0.25">
      <c r="A3825" s="115"/>
      <c r="B3825" s="115"/>
      <c r="C3825" s="115"/>
      <c r="D3825" s="115"/>
      <c r="E3825" s="115"/>
      <c r="F3825" s="115"/>
      <c r="G3825" s="116"/>
      <c r="I3825" s="118"/>
      <c r="J3825" s="118"/>
      <c r="L3825" s="125"/>
    </row>
    <row r="3826" spans="1:12" x14ac:dyDescent="0.25">
      <c r="A3826" s="115"/>
      <c r="B3826" s="115"/>
      <c r="C3826" s="115"/>
      <c r="D3826" s="115"/>
      <c r="E3826" s="115"/>
      <c r="F3826" s="115"/>
      <c r="G3826" s="116"/>
      <c r="I3826" s="118"/>
      <c r="J3826" s="118"/>
      <c r="L3826" s="125"/>
    </row>
    <row r="3827" spans="1:12" x14ac:dyDescent="0.25">
      <c r="A3827" s="115"/>
      <c r="B3827" s="115"/>
      <c r="C3827" s="115"/>
      <c r="D3827" s="115"/>
      <c r="E3827" s="115"/>
      <c r="F3827" s="115"/>
      <c r="G3827" s="116"/>
      <c r="I3827" s="118"/>
      <c r="J3827" s="118"/>
      <c r="L3827" s="125"/>
    </row>
    <row r="3828" spans="1:12" x14ac:dyDescent="0.25">
      <c r="A3828" s="115"/>
      <c r="B3828" s="115"/>
      <c r="C3828" s="115"/>
      <c r="D3828" s="115"/>
      <c r="E3828" s="115"/>
      <c r="F3828" s="115"/>
      <c r="G3828" s="116"/>
      <c r="I3828" s="118"/>
      <c r="J3828" s="118"/>
      <c r="L3828" s="125"/>
    </row>
    <row r="3829" spans="1:12" x14ac:dyDescent="0.25">
      <c r="A3829" s="115"/>
      <c r="B3829" s="115"/>
      <c r="C3829" s="115"/>
      <c r="D3829" s="115"/>
      <c r="E3829" s="115"/>
      <c r="F3829" s="115"/>
      <c r="G3829" s="116"/>
      <c r="I3829" s="118"/>
      <c r="J3829" s="118"/>
      <c r="L3829" s="125"/>
    </row>
    <row r="3830" spans="1:12" x14ac:dyDescent="0.25">
      <c r="A3830" s="115"/>
      <c r="B3830" s="115"/>
      <c r="C3830" s="115"/>
      <c r="D3830" s="115"/>
      <c r="E3830" s="115"/>
      <c r="F3830" s="115"/>
      <c r="G3830" s="116"/>
      <c r="I3830" s="118"/>
      <c r="J3830" s="118"/>
      <c r="L3830" s="125"/>
    </row>
    <row r="3831" spans="1:12" x14ac:dyDescent="0.25">
      <c r="A3831" s="115"/>
      <c r="B3831" s="115"/>
      <c r="C3831" s="115"/>
      <c r="D3831" s="115"/>
      <c r="E3831" s="115"/>
      <c r="F3831" s="115"/>
      <c r="G3831" s="116"/>
      <c r="I3831" s="118"/>
      <c r="J3831" s="118"/>
      <c r="L3831" s="125"/>
    </row>
    <row r="3832" spans="1:12" x14ac:dyDescent="0.25">
      <c r="A3832" s="115"/>
      <c r="B3832" s="115"/>
      <c r="C3832" s="115"/>
      <c r="D3832" s="115"/>
      <c r="E3832" s="115"/>
      <c r="F3832" s="115"/>
      <c r="G3832" s="116"/>
      <c r="I3832" s="118"/>
      <c r="J3832" s="118"/>
      <c r="L3832" s="125"/>
    </row>
    <row r="3833" spans="1:12" x14ac:dyDescent="0.25">
      <c r="A3833" s="115"/>
      <c r="B3833" s="115"/>
      <c r="C3833" s="115"/>
      <c r="D3833" s="115"/>
      <c r="E3833" s="115"/>
      <c r="F3833" s="115"/>
      <c r="G3833" s="116"/>
      <c r="I3833" s="118"/>
      <c r="J3833" s="118"/>
      <c r="L3833" s="125"/>
    </row>
    <row r="3834" spans="1:12" x14ac:dyDescent="0.25">
      <c r="A3834" s="115"/>
      <c r="B3834" s="115"/>
      <c r="C3834" s="115"/>
      <c r="D3834" s="115"/>
      <c r="E3834" s="115"/>
      <c r="F3834" s="115"/>
      <c r="G3834" s="116"/>
      <c r="I3834" s="118"/>
      <c r="J3834" s="118"/>
      <c r="L3834" s="125"/>
    </row>
    <row r="3835" spans="1:12" x14ac:dyDescent="0.25">
      <c r="A3835" s="115"/>
      <c r="B3835" s="115"/>
      <c r="C3835" s="115"/>
      <c r="D3835" s="115"/>
      <c r="E3835" s="115"/>
      <c r="F3835" s="115"/>
      <c r="G3835" s="116"/>
      <c r="I3835" s="118"/>
      <c r="J3835" s="118"/>
      <c r="L3835" s="125"/>
    </row>
    <row r="3836" spans="1:12" x14ac:dyDescent="0.25">
      <c r="A3836" s="115"/>
      <c r="B3836" s="115"/>
      <c r="C3836" s="115"/>
      <c r="D3836" s="115"/>
      <c r="E3836" s="115"/>
      <c r="F3836" s="115"/>
      <c r="G3836" s="116"/>
      <c r="I3836" s="118"/>
      <c r="J3836" s="118"/>
      <c r="L3836" s="125"/>
    </row>
    <row r="3837" spans="1:12" x14ac:dyDescent="0.25">
      <c r="A3837" s="115"/>
      <c r="B3837" s="115"/>
      <c r="C3837" s="115"/>
      <c r="D3837" s="115"/>
      <c r="E3837" s="115"/>
      <c r="F3837" s="115"/>
      <c r="G3837" s="116"/>
      <c r="I3837" s="118"/>
      <c r="J3837" s="118"/>
      <c r="L3837" s="125"/>
    </row>
    <row r="3838" spans="1:12" x14ac:dyDescent="0.25">
      <c r="A3838" s="115"/>
      <c r="B3838" s="115"/>
      <c r="C3838" s="115"/>
      <c r="D3838" s="115"/>
      <c r="E3838" s="115"/>
      <c r="F3838" s="115"/>
      <c r="G3838" s="116"/>
      <c r="I3838" s="118"/>
      <c r="J3838" s="118"/>
      <c r="L3838" s="125"/>
    </row>
    <row r="3839" spans="1:12" x14ac:dyDescent="0.25">
      <c r="A3839" s="115"/>
      <c r="B3839" s="115"/>
      <c r="C3839" s="115"/>
      <c r="D3839" s="115"/>
      <c r="E3839" s="115"/>
      <c r="F3839" s="115"/>
      <c r="G3839" s="116"/>
      <c r="I3839" s="118"/>
      <c r="J3839" s="118"/>
      <c r="L3839" s="125"/>
    </row>
    <row r="3840" spans="1:12" x14ac:dyDescent="0.25">
      <c r="A3840" s="115"/>
      <c r="B3840" s="115"/>
      <c r="C3840" s="115"/>
      <c r="D3840" s="115"/>
      <c r="E3840" s="115"/>
      <c r="F3840" s="115"/>
      <c r="G3840" s="116"/>
      <c r="I3840" s="118"/>
      <c r="J3840" s="118"/>
      <c r="L3840" s="125"/>
    </row>
    <row r="3841" spans="1:12" x14ac:dyDescent="0.25">
      <c r="A3841" s="115"/>
      <c r="B3841" s="115"/>
      <c r="C3841" s="115"/>
      <c r="D3841" s="115"/>
      <c r="E3841" s="115"/>
      <c r="F3841" s="115"/>
      <c r="G3841" s="116"/>
      <c r="I3841" s="118"/>
      <c r="J3841" s="118"/>
      <c r="L3841" s="125"/>
    </row>
    <row r="3842" spans="1:12" x14ac:dyDescent="0.25">
      <c r="A3842" s="115"/>
      <c r="B3842" s="115"/>
      <c r="C3842" s="115"/>
      <c r="D3842" s="115"/>
      <c r="E3842" s="115"/>
      <c r="F3842" s="115"/>
      <c r="G3842" s="116"/>
      <c r="I3842" s="118"/>
      <c r="J3842" s="118"/>
      <c r="L3842" s="125"/>
    </row>
    <row r="3843" spans="1:12" x14ac:dyDescent="0.25">
      <c r="A3843" s="115"/>
      <c r="B3843" s="115"/>
      <c r="C3843" s="115"/>
      <c r="D3843" s="115"/>
      <c r="E3843" s="115"/>
      <c r="F3843" s="115"/>
      <c r="G3843" s="116"/>
      <c r="I3843" s="118"/>
      <c r="J3843" s="118"/>
      <c r="L3843" s="125"/>
    </row>
    <row r="3844" spans="1:12" x14ac:dyDescent="0.25">
      <c r="A3844" s="115"/>
      <c r="B3844" s="115"/>
      <c r="C3844" s="115"/>
      <c r="D3844" s="115"/>
      <c r="E3844" s="115"/>
      <c r="F3844" s="115"/>
      <c r="G3844" s="116"/>
      <c r="I3844" s="118"/>
      <c r="J3844" s="118"/>
      <c r="L3844" s="125"/>
    </row>
    <row r="3845" spans="1:12" x14ac:dyDescent="0.25">
      <c r="A3845" s="115"/>
      <c r="B3845" s="115"/>
      <c r="C3845" s="115"/>
      <c r="D3845" s="115"/>
      <c r="E3845" s="115"/>
      <c r="F3845" s="115"/>
      <c r="G3845" s="116"/>
      <c r="I3845" s="118"/>
      <c r="J3845" s="118"/>
      <c r="L3845" s="125"/>
    </row>
    <row r="3846" spans="1:12" x14ac:dyDescent="0.25">
      <c r="A3846" s="115"/>
      <c r="B3846" s="115"/>
      <c r="C3846" s="115"/>
      <c r="D3846" s="115"/>
      <c r="E3846" s="115"/>
      <c r="F3846" s="115"/>
      <c r="G3846" s="116"/>
      <c r="I3846" s="118"/>
      <c r="J3846" s="118"/>
      <c r="L3846" s="125"/>
    </row>
    <row r="3847" spans="1:12" x14ac:dyDescent="0.25">
      <c r="A3847" s="115"/>
      <c r="B3847" s="115"/>
      <c r="C3847" s="115"/>
      <c r="D3847" s="115"/>
      <c r="E3847" s="115"/>
      <c r="F3847" s="115"/>
      <c r="G3847" s="116"/>
      <c r="I3847" s="118"/>
      <c r="J3847" s="118"/>
      <c r="L3847" s="125"/>
    </row>
    <row r="3848" spans="1:12" x14ac:dyDescent="0.25">
      <c r="A3848" s="115"/>
      <c r="B3848" s="115"/>
      <c r="C3848" s="115"/>
      <c r="D3848" s="115"/>
      <c r="E3848" s="115"/>
      <c r="F3848" s="115"/>
      <c r="G3848" s="116"/>
      <c r="I3848" s="118"/>
      <c r="J3848" s="118"/>
      <c r="L3848" s="125"/>
    </row>
    <row r="3849" spans="1:12" x14ac:dyDescent="0.25">
      <c r="A3849" s="115"/>
      <c r="B3849" s="115"/>
      <c r="C3849" s="115"/>
      <c r="D3849" s="115"/>
      <c r="E3849" s="115"/>
      <c r="F3849" s="115"/>
      <c r="G3849" s="116"/>
      <c r="I3849" s="118"/>
      <c r="J3849" s="118"/>
      <c r="L3849" s="125"/>
    </row>
    <row r="3850" spans="1:12" x14ac:dyDescent="0.25">
      <c r="A3850" s="115"/>
      <c r="B3850" s="115"/>
      <c r="C3850" s="115"/>
      <c r="D3850" s="115"/>
      <c r="E3850" s="115"/>
      <c r="F3850" s="115"/>
      <c r="G3850" s="116"/>
      <c r="I3850" s="118"/>
      <c r="J3850" s="118"/>
      <c r="L3850" s="125"/>
    </row>
    <row r="3851" spans="1:12" x14ac:dyDescent="0.25">
      <c r="A3851" s="115"/>
      <c r="B3851" s="115"/>
      <c r="C3851" s="115"/>
      <c r="D3851" s="115"/>
      <c r="E3851" s="115"/>
      <c r="F3851" s="115"/>
      <c r="G3851" s="116"/>
      <c r="I3851" s="118"/>
      <c r="J3851" s="118"/>
      <c r="L3851" s="125"/>
    </row>
    <row r="3852" spans="1:12" x14ac:dyDescent="0.25">
      <c r="A3852" s="115"/>
      <c r="B3852" s="115"/>
      <c r="C3852" s="115"/>
      <c r="D3852" s="115"/>
      <c r="E3852" s="115"/>
      <c r="F3852" s="115"/>
      <c r="G3852" s="116"/>
      <c r="I3852" s="118"/>
      <c r="J3852" s="118"/>
      <c r="L3852" s="125"/>
    </row>
    <row r="3853" spans="1:12" x14ac:dyDescent="0.25">
      <c r="A3853" s="115"/>
      <c r="B3853" s="115"/>
      <c r="C3853" s="115"/>
      <c r="D3853" s="115"/>
      <c r="E3853" s="115"/>
      <c r="F3853" s="115"/>
      <c r="G3853" s="116"/>
      <c r="I3853" s="118"/>
      <c r="J3853" s="118"/>
      <c r="L3853" s="125"/>
    </row>
    <row r="3854" spans="1:12" x14ac:dyDescent="0.25">
      <c r="A3854" s="115"/>
      <c r="B3854" s="115"/>
      <c r="C3854" s="115"/>
      <c r="D3854" s="115"/>
      <c r="E3854" s="115"/>
      <c r="F3854" s="115"/>
      <c r="G3854" s="116"/>
      <c r="I3854" s="118"/>
      <c r="J3854" s="118"/>
      <c r="L3854" s="125"/>
    </row>
    <row r="3855" spans="1:12" x14ac:dyDescent="0.25">
      <c r="A3855" s="115"/>
      <c r="B3855" s="115"/>
      <c r="C3855" s="115"/>
      <c r="D3855" s="115"/>
      <c r="E3855" s="115"/>
      <c r="F3855" s="115"/>
      <c r="G3855" s="116"/>
      <c r="I3855" s="118"/>
      <c r="J3855" s="118"/>
      <c r="L3855" s="125"/>
    </row>
    <row r="3856" spans="1:12" x14ac:dyDescent="0.25">
      <c r="A3856" s="115"/>
      <c r="B3856" s="115"/>
      <c r="C3856" s="115"/>
      <c r="D3856" s="115"/>
      <c r="E3856" s="115"/>
      <c r="F3856" s="115"/>
      <c r="G3856" s="116"/>
      <c r="I3856" s="118"/>
      <c r="J3856" s="118"/>
      <c r="L3856" s="125"/>
    </row>
    <row r="3857" spans="1:12" x14ac:dyDescent="0.25">
      <c r="A3857" s="115"/>
      <c r="B3857" s="115"/>
      <c r="C3857" s="115"/>
      <c r="D3857" s="115"/>
      <c r="E3857" s="115"/>
      <c r="F3857" s="115"/>
      <c r="G3857" s="116"/>
      <c r="I3857" s="118"/>
      <c r="J3857" s="118"/>
      <c r="L3857" s="125"/>
    </row>
    <row r="3858" spans="1:12" x14ac:dyDescent="0.25">
      <c r="A3858" s="115"/>
      <c r="B3858" s="115"/>
      <c r="C3858" s="115"/>
      <c r="D3858" s="115"/>
      <c r="E3858" s="115"/>
      <c r="F3858" s="115"/>
      <c r="G3858" s="116"/>
      <c r="I3858" s="118"/>
      <c r="J3858" s="118"/>
      <c r="L3858" s="125"/>
    </row>
    <row r="3859" spans="1:12" x14ac:dyDescent="0.25">
      <c r="A3859" s="115"/>
      <c r="B3859" s="115"/>
      <c r="C3859" s="115"/>
      <c r="D3859" s="115"/>
      <c r="E3859" s="115"/>
      <c r="F3859" s="115"/>
      <c r="G3859" s="116"/>
      <c r="I3859" s="118"/>
      <c r="J3859" s="118"/>
      <c r="L3859" s="125"/>
    </row>
    <row r="3860" spans="1:12" x14ac:dyDescent="0.25">
      <c r="A3860" s="115"/>
      <c r="B3860" s="115"/>
      <c r="C3860" s="115"/>
      <c r="D3860" s="115"/>
      <c r="E3860" s="115"/>
      <c r="F3860" s="115"/>
      <c r="G3860" s="116"/>
      <c r="I3860" s="118"/>
      <c r="J3860" s="118"/>
      <c r="L3860" s="125"/>
    </row>
    <row r="3861" spans="1:12" x14ac:dyDescent="0.25">
      <c r="A3861" s="115"/>
      <c r="B3861" s="115"/>
      <c r="C3861" s="115"/>
      <c r="D3861" s="115"/>
      <c r="E3861" s="115"/>
      <c r="F3861" s="115"/>
      <c r="G3861" s="116"/>
      <c r="I3861" s="118"/>
      <c r="J3861" s="118"/>
      <c r="L3861" s="125"/>
    </row>
    <row r="3862" spans="1:12" x14ac:dyDescent="0.25">
      <c r="A3862" s="115"/>
      <c r="B3862" s="115"/>
      <c r="C3862" s="115"/>
      <c r="D3862" s="115"/>
      <c r="E3862" s="115"/>
      <c r="F3862" s="115"/>
      <c r="G3862" s="116"/>
      <c r="I3862" s="118"/>
      <c r="J3862" s="118"/>
      <c r="L3862" s="125"/>
    </row>
    <row r="3863" spans="1:12" x14ac:dyDescent="0.25">
      <c r="A3863" s="115"/>
      <c r="B3863" s="115"/>
      <c r="C3863" s="115"/>
      <c r="D3863" s="115"/>
      <c r="E3863" s="115"/>
      <c r="F3863" s="115"/>
      <c r="G3863" s="116"/>
      <c r="I3863" s="118"/>
      <c r="J3863" s="118"/>
      <c r="L3863" s="125"/>
    </row>
    <row r="3864" spans="1:12" x14ac:dyDescent="0.25">
      <c r="A3864" s="115"/>
      <c r="B3864" s="115"/>
      <c r="C3864" s="115"/>
      <c r="D3864" s="115"/>
      <c r="E3864" s="115"/>
      <c r="F3864" s="115"/>
      <c r="G3864" s="116"/>
      <c r="I3864" s="118"/>
      <c r="J3864" s="118"/>
      <c r="L3864" s="125"/>
    </row>
    <row r="3865" spans="1:12" x14ac:dyDescent="0.25">
      <c r="A3865" s="115"/>
      <c r="B3865" s="115"/>
      <c r="C3865" s="115"/>
      <c r="D3865" s="115"/>
      <c r="E3865" s="115"/>
      <c r="F3865" s="115"/>
      <c r="G3865" s="116"/>
      <c r="I3865" s="118"/>
      <c r="J3865" s="118"/>
      <c r="L3865" s="125"/>
    </row>
    <row r="3866" spans="1:12" x14ac:dyDescent="0.25">
      <c r="A3866" s="115"/>
      <c r="B3866" s="115"/>
      <c r="C3866" s="115"/>
      <c r="D3866" s="115"/>
      <c r="E3866" s="115"/>
      <c r="F3866" s="115"/>
      <c r="G3866" s="116"/>
      <c r="I3866" s="118"/>
      <c r="J3866" s="118"/>
      <c r="L3866" s="125"/>
    </row>
    <row r="3867" spans="1:12" x14ac:dyDescent="0.25">
      <c r="A3867" s="115"/>
      <c r="B3867" s="115"/>
      <c r="C3867" s="115"/>
      <c r="D3867" s="115"/>
      <c r="E3867" s="115"/>
      <c r="F3867" s="115"/>
      <c r="G3867" s="116"/>
      <c r="I3867" s="118"/>
      <c r="J3867" s="118"/>
      <c r="L3867" s="125"/>
    </row>
    <row r="3868" spans="1:12" x14ac:dyDescent="0.25">
      <c r="A3868" s="115"/>
      <c r="B3868" s="115"/>
      <c r="C3868" s="115"/>
      <c r="D3868" s="115"/>
      <c r="E3868" s="115"/>
      <c r="F3868" s="115"/>
      <c r="G3868" s="116"/>
      <c r="I3868" s="118"/>
      <c r="J3868" s="118"/>
      <c r="L3868" s="125"/>
    </row>
    <row r="3869" spans="1:12" x14ac:dyDescent="0.25">
      <c r="A3869" s="115"/>
      <c r="B3869" s="115"/>
      <c r="C3869" s="115"/>
      <c r="D3869" s="115"/>
      <c r="E3869" s="115"/>
      <c r="F3869" s="115"/>
      <c r="G3869" s="116"/>
      <c r="I3869" s="118"/>
      <c r="J3869" s="118"/>
      <c r="L3869" s="125"/>
    </row>
    <row r="3870" spans="1:12" x14ac:dyDescent="0.25">
      <c r="A3870" s="115"/>
      <c r="B3870" s="115"/>
      <c r="C3870" s="115"/>
      <c r="D3870" s="115"/>
      <c r="E3870" s="115"/>
      <c r="F3870" s="115"/>
      <c r="G3870" s="116"/>
      <c r="I3870" s="118"/>
      <c r="J3870" s="118"/>
      <c r="L3870" s="125"/>
    </row>
    <row r="3871" spans="1:12" x14ac:dyDescent="0.25">
      <c r="A3871" s="115"/>
      <c r="B3871" s="115"/>
      <c r="C3871" s="115"/>
      <c r="D3871" s="115"/>
      <c r="E3871" s="115"/>
      <c r="F3871" s="115"/>
      <c r="G3871" s="116"/>
      <c r="I3871" s="118"/>
      <c r="J3871" s="118"/>
      <c r="L3871" s="125"/>
    </row>
    <row r="3872" spans="1:12" x14ac:dyDescent="0.25">
      <c r="A3872" s="115"/>
      <c r="B3872" s="115"/>
      <c r="C3872" s="115"/>
      <c r="D3872" s="115"/>
      <c r="E3872" s="115"/>
      <c r="F3872" s="115"/>
      <c r="G3872" s="116"/>
      <c r="I3872" s="118"/>
      <c r="J3872" s="118"/>
      <c r="L3872" s="125"/>
    </row>
    <row r="3873" spans="1:12" x14ac:dyDescent="0.25">
      <c r="A3873" s="115"/>
      <c r="B3873" s="115"/>
      <c r="C3873" s="115"/>
      <c r="D3873" s="115"/>
      <c r="E3873" s="115"/>
      <c r="F3873" s="115"/>
      <c r="G3873" s="116"/>
      <c r="I3873" s="118"/>
      <c r="J3873" s="118"/>
      <c r="L3873" s="125"/>
    </row>
    <row r="3874" spans="1:12" x14ac:dyDescent="0.25">
      <c r="A3874" s="115"/>
      <c r="B3874" s="115"/>
      <c r="C3874" s="115"/>
      <c r="D3874" s="115"/>
      <c r="E3874" s="115"/>
      <c r="F3874" s="115"/>
      <c r="G3874" s="116"/>
      <c r="I3874" s="118"/>
      <c r="J3874" s="118"/>
      <c r="L3874" s="125"/>
    </row>
    <row r="3875" spans="1:12" x14ac:dyDescent="0.25">
      <c r="A3875" s="115"/>
      <c r="B3875" s="115"/>
      <c r="C3875" s="115"/>
      <c r="D3875" s="115"/>
      <c r="E3875" s="115"/>
      <c r="F3875" s="115"/>
      <c r="G3875" s="116"/>
      <c r="I3875" s="118"/>
      <c r="J3875" s="118"/>
      <c r="L3875" s="125"/>
    </row>
    <row r="3876" spans="1:12" x14ac:dyDescent="0.25">
      <c r="A3876" s="115"/>
      <c r="B3876" s="115"/>
      <c r="C3876" s="115"/>
      <c r="D3876" s="115"/>
      <c r="E3876" s="115"/>
      <c r="F3876" s="115"/>
      <c r="G3876" s="116"/>
      <c r="I3876" s="118"/>
      <c r="J3876" s="118"/>
      <c r="L3876" s="125"/>
    </row>
    <row r="3877" spans="1:12" x14ac:dyDescent="0.25">
      <c r="A3877" s="115"/>
      <c r="B3877" s="115"/>
      <c r="C3877" s="115"/>
      <c r="D3877" s="115"/>
      <c r="E3877" s="115"/>
      <c r="F3877" s="115"/>
      <c r="G3877" s="116"/>
      <c r="I3877" s="118"/>
      <c r="J3877" s="118"/>
      <c r="L3877" s="125"/>
    </row>
    <row r="3878" spans="1:12" x14ac:dyDescent="0.25">
      <c r="A3878" s="115"/>
      <c r="B3878" s="115"/>
      <c r="C3878" s="115"/>
      <c r="D3878" s="115"/>
      <c r="E3878" s="115"/>
      <c r="F3878" s="115"/>
      <c r="G3878" s="116"/>
      <c r="I3878" s="118"/>
      <c r="J3878" s="118"/>
      <c r="L3878" s="125"/>
    </row>
    <row r="3879" spans="1:12" x14ac:dyDescent="0.25">
      <c r="A3879" s="115"/>
      <c r="B3879" s="115"/>
      <c r="C3879" s="115"/>
      <c r="D3879" s="115"/>
      <c r="E3879" s="115"/>
      <c r="F3879" s="115"/>
      <c r="G3879" s="116"/>
      <c r="I3879" s="118"/>
      <c r="J3879" s="118"/>
      <c r="L3879" s="125"/>
    </row>
    <row r="3880" spans="1:12" x14ac:dyDescent="0.25">
      <c r="A3880" s="115"/>
      <c r="B3880" s="115"/>
      <c r="C3880" s="115"/>
      <c r="D3880" s="115"/>
      <c r="E3880" s="115"/>
      <c r="F3880" s="115"/>
      <c r="G3880" s="116"/>
      <c r="I3880" s="118"/>
      <c r="J3880" s="118"/>
      <c r="L3880" s="125"/>
    </row>
    <row r="3881" spans="1:12" x14ac:dyDescent="0.25">
      <c r="A3881" s="115"/>
      <c r="B3881" s="115"/>
      <c r="C3881" s="115"/>
      <c r="D3881" s="115"/>
      <c r="E3881" s="115"/>
      <c r="F3881" s="115"/>
      <c r="G3881" s="116"/>
      <c r="I3881" s="118"/>
      <c r="J3881" s="118"/>
      <c r="L3881" s="125"/>
    </row>
    <row r="3882" spans="1:12" x14ac:dyDescent="0.25">
      <c r="A3882" s="115"/>
      <c r="B3882" s="115"/>
      <c r="C3882" s="115"/>
      <c r="D3882" s="115"/>
      <c r="E3882" s="115"/>
      <c r="F3882" s="115"/>
      <c r="G3882" s="116"/>
      <c r="I3882" s="118"/>
      <c r="J3882" s="118"/>
      <c r="L3882" s="125"/>
    </row>
    <row r="3883" spans="1:12" x14ac:dyDescent="0.25">
      <c r="A3883" s="115"/>
      <c r="B3883" s="115"/>
      <c r="C3883" s="115"/>
      <c r="D3883" s="115"/>
      <c r="E3883" s="115"/>
      <c r="F3883" s="115"/>
      <c r="G3883" s="116"/>
      <c r="I3883" s="118"/>
      <c r="J3883" s="118"/>
      <c r="L3883" s="125"/>
    </row>
    <row r="3884" spans="1:12" x14ac:dyDescent="0.25">
      <c r="A3884" s="115"/>
      <c r="B3884" s="115"/>
      <c r="C3884" s="115"/>
      <c r="D3884" s="115"/>
      <c r="E3884" s="115"/>
      <c r="F3884" s="115"/>
      <c r="G3884" s="116"/>
      <c r="I3884" s="118"/>
      <c r="J3884" s="118"/>
      <c r="L3884" s="125"/>
    </row>
    <row r="3885" spans="1:12" x14ac:dyDescent="0.25">
      <c r="A3885" s="115"/>
      <c r="B3885" s="115"/>
      <c r="C3885" s="115"/>
      <c r="D3885" s="115"/>
      <c r="E3885" s="115"/>
      <c r="F3885" s="115"/>
      <c r="G3885" s="116"/>
      <c r="I3885" s="118"/>
      <c r="J3885" s="118"/>
      <c r="L3885" s="125"/>
    </row>
    <row r="3886" spans="1:12" x14ac:dyDescent="0.25">
      <c r="A3886" s="115"/>
      <c r="B3886" s="115"/>
      <c r="C3886" s="115"/>
      <c r="D3886" s="115"/>
      <c r="E3886" s="115"/>
      <c r="F3886" s="115"/>
      <c r="G3886" s="116"/>
      <c r="I3886" s="118"/>
      <c r="J3886" s="118"/>
      <c r="L3886" s="125"/>
    </row>
    <row r="3887" spans="1:12" x14ac:dyDescent="0.25">
      <c r="A3887" s="115"/>
      <c r="B3887" s="115"/>
      <c r="C3887" s="115"/>
      <c r="D3887" s="115"/>
      <c r="E3887" s="115"/>
      <c r="F3887" s="115"/>
      <c r="G3887" s="116"/>
      <c r="I3887" s="118"/>
      <c r="J3887" s="118"/>
      <c r="L3887" s="125"/>
    </row>
    <row r="3888" spans="1:12" x14ac:dyDescent="0.25">
      <c r="A3888" s="115"/>
      <c r="B3888" s="115"/>
      <c r="C3888" s="115"/>
      <c r="D3888" s="115"/>
      <c r="E3888" s="115"/>
      <c r="F3888" s="115"/>
      <c r="G3888" s="116"/>
      <c r="I3888" s="118"/>
      <c r="J3888" s="118"/>
      <c r="L3888" s="125"/>
    </row>
    <row r="3889" spans="1:12" x14ac:dyDescent="0.25">
      <c r="A3889" s="115"/>
      <c r="B3889" s="115"/>
      <c r="C3889" s="115"/>
      <c r="D3889" s="115"/>
      <c r="E3889" s="115"/>
      <c r="F3889" s="115"/>
      <c r="G3889" s="116"/>
      <c r="I3889" s="118"/>
      <c r="J3889" s="118"/>
      <c r="L3889" s="125"/>
    </row>
    <row r="3890" spans="1:12" x14ac:dyDescent="0.25">
      <c r="A3890" s="115"/>
      <c r="B3890" s="115"/>
      <c r="C3890" s="115"/>
      <c r="D3890" s="115"/>
      <c r="E3890" s="115"/>
      <c r="F3890" s="115"/>
      <c r="G3890" s="116"/>
      <c r="I3890" s="118"/>
      <c r="J3890" s="118"/>
      <c r="L3890" s="125"/>
    </row>
    <row r="3891" spans="1:12" x14ac:dyDescent="0.25">
      <c r="A3891" s="115"/>
      <c r="B3891" s="115"/>
      <c r="C3891" s="115"/>
      <c r="D3891" s="115"/>
      <c r="E3891" s="115"/>
      <c r="F3891" s="115"/>
      <c r="G3891" s="116"/>
      <c r="I3891" s="118"/>
      <c r="J3891" s="118"/>
      <c r="L3891" s="125"/>
    </row>
    <row r="3892" spans="1:12" x14ac:dyDescent="0.25">
      <c r="A3892" s="115"/>
      <c r="B3892" s="115"/>
      <c r="C3892" s="115"/>
      <c r="D3892" s="115"/>
      <c r="E3892" s="115"/>
      <c r="F3892" s="115"/>
      <c r="G3892" s="116"/>
      <c r="I3892" s="118"/>
      <c r="J3892" s="118"/>
      <c r="L3892" s="125"/>
    </row>
    <row r="3893" spans="1:12" x14ac:dyDescent="0.25">
      <c r="A3893" s="115"/>
      <c r="B3893" s="115"/>
      <c r="C3893" s="115"/>
      <c r="D3893" s="115"/>
      <c r="E3893" s="115"/>
      <c r="F3893" s="115"/>
      <c r="G3893" s="116"/>
      <c r="I3893" s="118"/>
      <c r="J3893" s="118"/>
      <c r="L3893" s="125"/>
    </row>
    <row r="3894" spans="1:12" x14ac:dyDescent="0.25">
      <c r="A3894" s="115"/>
      <c r="B3894" s="115"/>
      <c r="C3894" s="115"/>
      <c r="D3894" s="115"/>
      <c r="E3894" s="115"/>
      <c r="F3894" s="115"/>
      <c r="G3894" s="116"/>
      <c r="I3894" s="118"/>
      <c r="J3894" s="118"/>
      <c r="L3894" s="125"/>
    </row>
    <row r="3895" spans="1:12" x14ac:dyDescent="0.25">
      <c r="A3895" s="115"/>
      <c r="B3895" s="115"/>
      <c r="C3895" s="115"/>
      <c r="D3895" s="115"/>
      <c r="E3895" s="115"/>
      <c r="F3895" s="115"/>
      <c r="G3895" s="116"/>
      <c r="I3895" s="118"/>
      <c r="J3895" s="118"/>
      <c r="L3895" s="125"/>
    </row>
    <row r="3896" spans="1:12" x14ac:dyDescent="0.25">
      <c r="A3896" s="115"/>
      <c r="B3896" s="115"/>
      <c r="C3896" s="115"/>
      <c r="D3896" s="115"/>
      <c r="E3896" s="115"/>
      <c r="F3896" s="115"/>
      <c r="G3896" s="116"/>
      <c r="I3896" s="118"/>
      <c r="J3896" s="118"/>
      <c r="L3896" s="125"/>
    </row>
    <row r="3897" spans="1:12" x14ac:dyDescent="0.25">
      <c r="A3897" s="115"/>
      <c r="B3897" s="115"/>
      <c r="C3897" s="115"/>
      <c r="D3897" s="115"/>
      <c r="E3897" s="115"/>
      <c r="F3897" s="115"/>
      <c r="G3897" s="116"/>
      <c r="I3897" s="118"/>
      <c r="J3897" s="118"/>
      <c r="L3897" s="125"/>
    </row>
    <row r="3898" spans="1:12" x14ac:dyDescent="0.25">
      <c r="A3898" s="115"/>
      <c r="B3898" s="115"/>
      <c r="C3898" s="115"/>
      <c r="D3898" s="115"/>
      <c r="E3898" s="115"/>
      <c r="F3898" s="115"/>
      <c r="G3898" s="116"/>
      <c r="I3898" s="118"/>
      <c r="J3898" s="118"/>
      <c r="L3898" s="125"/>
    </row>
    <row r="3899" spans="1:12" x14ac:dyDescent="0.25">
      <c r="A3899" s="115"/>
      <c r="B3899" s="115"/>
      <c r="C3899" s="115"/>
      <c r="D3899" s="115"/>
      <c r="E3899" s="115"/>
      <c r="F3899" s="115"/>
      <c r="G3899" s="116"/>
      <c r="I3899" s="118"/>
      <c r="J3899" s="118"/>
      <c r="L3899" s="125"/>
    </row>
    <row r="3900" spans="1:12" x14ac:dyDescent="0.25">
      <c r="A3900" s="115"/>
      <c r="B3900" s="115"/>
      <c r="C3900" s="115"/>
      <c r="D3900" s="115"/>
      <c r="E3900" s="115"/>
      <c r="F3900" s="115"/>
      <c r="G3900" s="116"/>
      <c r="I3900" s="118"/>
      <c r="J3900" s="118"/>
      <c r="L3900" s="125"/>
    </row>
    <row r="3901" spans="1:12" x14ac:dyDescent="0.25">
      <c r="A3901" s="115"/>
      <c r="B3901" s="115"/>
      <c r="C3901" s="115"/>
      <c r="D3901" s="115"/>
      <c r="E3901" s="115"/>
      <c r="F3901" s="115"/>
      <c r="G3901" s="116"/>
      <c r="I3901" s="118"/>
      <c r="J3901" s="118"/>
      <c r="L3901" s="125"/>
    </row>
    <row r="3902" spans="1:12" x14ac:dyDescent="0.25">
      <c r="A3902" s="115"/>
      <c r="B3902" s="115"/>
      <c r="C3902" s="115"/>
      <c r="D3902" s="115"/>
      <c r="E3902" s="115"/>
      <c r="F3902" s="115"/>
      <c r="G3902" s="116"/>
      <c r="I3902" s="118"/>
      <c r="J3902" s="118"/>
      <c r="L3902" s="125"/>
    </row>
    <row r="3903" spans="1:12" x14ac:dyDescent="0.25">
      <c r="A3903" s="115"/>
      <c r="B3903" s="115"/>
      <c r="C3903" s="115"/>
      <c r="D3903" s="115"/>
      <c r="E3903" s="115"/>
      <c r="F3903" s="115"/>
      <c r="G3903" s="116"/>
      <c r="I3903" s="118"/>
      <c r="J3903" s="118"/>
      <c r="L3903" s="125"/>
    </row>
    <row r="3904" spans="1:12" x14ac:dyDescent="0.25">
      <c r="A3904" s="115"/>
      <c r="B3904" s="115"/>
      <c r="C3904" s="115"/>
      <c r="D3904" s="115"/>
      <c r="E3904" s="115"/>
      <c r="F3904" s="115"/>
      <c r="G3904" s="116"/>
      <c r="I3904" s="118"/>
      <c r="J3904" s="118"/>
      <c r="L3904" s="125"/>
    </row>
    <row r="3905" spans="1:12" x14ac:dyDescent="0.25">
      <c r="A3905" s="115"/>
      <c r="B3905" s="115"/>
      <c r="C3905" s="115"/>
      <c r="D3905" s="115"/>
      <c r="E3905" s="115"/>
      <c r="F3905" s="115"/>
      <c r="G3905" s="116"/>
      <c r="I3905" s="118"/>
      <c r="J3905" s="118"/>
      <c r="L3905" s="125"/>
    </row>
    <row r="3906" spans="1:12" x14ac:dyDescent="0.25">
      <c r="A3906" s="115"/>
      <c r="B3906" s="115"/>
      <c r="C3906" s="115"/>
      <c r="D3906" s="115"/>
      <c r="E3906" s="115"/>
      <c r="F3906" s="115"/>
      <c r="G3906" s="116"/>
      <c r="I3906" s="118"/>
      <c r="J3906" s="118"/>
      <c r="L3906" s="125"/>
    </row>
    <row r="3907" spans="1:12" x14ac:dyDescent="0.25">
      <c r="A3907" s="115"/>
      <c r="B3907" s="115"/>
      <c r="C3907" s="115"/>
      <c r="D3907" s="115"/>
      <c r="E3907" s="115"/>
      <c r="F3907" s="115"/>
      <c r="G3907" s="116"/>
      <c r="I3907" s="118"/>
      <c r="J3907" s="118"/>
      <c r="L3907" s="125"/>
    </row>
    <row r="3908" spans="1:12" x14ac:dyDescent="0.25">
      <c r="A3908" s="115"/>
      <c r="B3908" s="115"/>
      <c r="C3908" s="115"/>
      <c r="D3908" s="115"/>
      <c r="E3908" s="115"/>
      <c r="F3908" s="115"/>
      <c r="G3908" s="116"/>
      <c r="I3908" s="118"/>
      <c r="J3908" s="118"/>
      <c r="L3908" s="125"/>
    </row>
    <row r="3909" spans="1:12" x14ac:dyDescent="0.25">
      <c r="A3909" s="115"/>
      <c r="B3909" s="115"/>
      <c r="C3909" s="115"/>
      <c r="D3909" s="115"/>
      <c r="E3909" s="115"/>
      <c r="F3909" s="115"/>
      <c r="G3909" s="116"/>
      <c r="I3909" s="118"/>
      <c r="J3909" s="118"/>
      <c r="L3909" s="125"/>
    </row>
    <row r="3910" spans="1:12" x14ac:dyDescent="0.25">
      <c r="A3910" s="115"/>
      <c r="B3910" s="115"/>
      <c r="C3910" s="115"/>
      <c r="D3910" s="115"/>
      <c r="E3910" s="115"/>
      <c r="F3910" s="115"/>
      <c r="G3910" s="116"/>
      <c r="I3910" s="118"/>
      <c r="J3910" s="118"/>
      <c r="L3910" s="125"/>
    </row>
    <row r="3911" spans="1:12" x14ac:dyDescent="0.25">
      <c r="A3911" s="115"/>
      <c r="B3911" s="115"/>
      <c r="C3911" s="115"/>
      <c r="D3911" s="115"/>
      <c r="E3911" s="115"/>
      <c r="F3911" s="115"/>
      <c r="G3911" s="116"/>
      <c r="I3911" s="118"/>
      <c r="J3911" s="118"/>
      <c r="L3911" s="125"/>
    </row>
    <row r="3912" spans="1:12" x14ac:dyDescent="0.25">
      <c r="A3912" s="115"/>
      <c r="B3912" s="115"/>
      <c r="C3912" s="115"/>
      <c r="D3912" s="115"/>
      <c r="E3912" s="115"/>
      <c r="F3912" s="115"/>
      <c r="G3912" s="116"/>
      <c r="I3912" s="118"/>
      <c r="J3912" s="118"/>
      <c r="L3912" s="125"/>
    </row>
    <row r="3913" spans="1:12" x14ac:dyDescent="0.25">
      <c r="A3913" s="115"/>
      <c r="B3913" s="115"/>
      <c r="C3913" s="115"/>
      <c r="D3913" s="115"/>
      <c r="E3913" s="115"/>
      <c r="F3913" s="115"/>
      <c r="G3913" s="116"/>
      <c r="I3913" s="118"/>
      <c r="J3913" s="118"/>
      <c r="L3913" s="125"/>
    </row>
    <row r="3914" spans="1:12" x14ac:dyDescent="0.25">
      <c r="A3914" s="115"/>
      <c r="B3914" s="115"/>
      <c r="C3914" s="115"/>
      <c r="D3914" s="115"/>
      <c r="E3914" s="115"/>
      <c r="F3914" s="115"/>
      <c r="G3914" s="116"/>
      <c r="I3914" s="118"/>
      <c r="J3914" s="118"/>
      <c r="L3914" s="125"/>
    </row>
    <row r="3915" spans="1:12" x14ac:dyDescent="0.25">
      <c r="A3915" s="115"/>
      <c r="B3915" s="115"/>
      <c r="C3915" s="115"/>
      <c r="D3915" s="115"/>
      <c r="E3915" s="115"/>
      <c r="F3915" s="115"/>
      <c r="G3915" s="116"/>
      <c r="I3915" s="118"/>
      <c r="J3915" s="118"/>
      <c r="L3915" s="125"/>
    </row>
    <row r="3916" spans="1:12" x14ac:dyDescent="0.25">
      <c r="A3916" s="115"/>
      <c r="B3916" s="115"/>
      <c r="C3916" s="115"/>
      <c r="D3916" s="115"/>
      <c r="E3916" s="115"/>
      <c r="F3916" s="115"/>
      <c r="G3916" s="116"/>
      <c r="I3916" s="118"/>
      <c r="J3916" s="118"/>
      <c r="L3916" s="125"/>
    </row>
    <row r="3917" spans="1:12" x14ac:dyDescent="0.25">
      <c r="A3917" s="115"/>
      <c r="B3917" s="115"/>
      <c r="C3917" s="115"/>
      <c r="D3917" s="115"/>
      <c r="E3917" s="115"/>
      <c r="F3917" s="115"/>
      <c r="G3917" s="116"/>
      <c r="I3917" s="118"/>
      <c r="J3917" s="118"/>
      <c r="L3917" s="125"/>
    </row>
    <row r="3918" spans="1:12" x14ac:dyDescent="0.25">
      <c r="A3918" s="115"/>
      <c r="B3918" s="115"/>
      <c r="C3918" s="115"/>
      <c r="D3918" s="115"/>
      <c r="E3918" s="115"/>
      <c r="F3918" s="115"/>
      <c r="G3918" s="116"/>
      <c r="I3918" s="118"/>
      <c r="J3918" s="118"/>
      <c r="L3918" s="125"/>
    </row>
    <row r="3919" spans="1:12" x14ac:dyDescent="0.25">
      <c r="A3919" s="115"/>
      <c r="B3919" s="115"/>
      <c r="C3919" s="115"/>
      <c r="D3919" s="115"/>
      <c r="E3919" s="115"/>
      <c r="F3919" s="115"/>
      <c r="G3919" s="116"/>
      <c r="I3919" s="118"/>
      <c r="J3919" s="118"/>
      <c r="L3919" s="125"/>
    </row>
    <row r="3920" spans="1:12" x14ac:dyDescent="0.25">
      <c r="A3920" s="115"/>
      <c r="B3920" s="115"/>
      <c r="C3920" s="115"/>
      <c r="D3920" s="115"/>
      <c r="E3920" s="115"/>
      <c r="F3920" s="115"/>
      <c r="G3920" s="116"/>
      <c r="I3920" s="118"/>
      <c r="J3920" s="118"/>
      <c r="L3920" s="125"/>
    </row>
    <row r="3921" spans="1:12" x14ac:dyDescent="0.25">
      <c r="A3921" s="115"/>
      <c r="B3921" s="115"/>
      <c r="C3921" s="115"/>
      <c r="D3921" s="115"/>
      <c r="E3921" s="115"/>
      <c r="F3921" s="115"/>
      <c r="G3921" s="116"/>
      <c r="I3921" s="118"/>
      <c r="J3921" s="118"/>
      <c r="L3921" s="125"/>
    </row>
    <row r="3922" spans="1:12" x14ac:dyDescent="0.25">
      <c r="A3922" s="115"/>
      <c r="B3922" s="115"/>
      <c r="C3922" s="115"/>
      <c r="D3922" s="115"/>
      <c r="E3922" s="115"/>
      <c r="F3922" s="115"/>
      <c r="G3922" s="116"/>
      <c r="I3922" s="118"/>
      <c r="J3922" s="118"/>
      <c r="L3922" s="125"/>
    </row>
    <row r="3923" spans="1:12" x14ac:dyDescent="0.25">
      <c r="A3923" s="115"/>
      <c r="B3923" s="115"/>
      <c r="C3923" s="115"/>
      <c r="D3923" s="115"/>
      <c r="E3923" s="115"/>
      <c r="F3923" s="115"/>
      <c r="G3923" s="116"/>
      <c r="I3923" s="118"/>
      <c r="J3923" s="118"/>
      <c r="L3923" s="125"/>
    </row>
    <row r="3924" spans="1:12" x14ac:dyDescent="0.25">
      <c r="A3924" s="115"/>
      <c r="B3924" s="115"/>
      <c r="C3924" s="115"/>
      <c r="D3924" s="115"/>
      <c r="E3924" s="115"/>
      <c r="F3924" s="115"/>
      <c r="G3924" s="116"/>
      <c r="I3924" s="118"/>
      <c r="J3924" s="118"/>
      <c r="L3924" s="125"/>
    </row>
    <row r="3925" spans="1:12" x14ac:dyDescent="0.25">
      <c r="A3925" s="115"/>
      <c r="B3925" s="115"/>
      <c r="C3925" s="115"/>
      <c r="D3925" s="115"/>
      <c r="E3925" s="115"/>
      <c r="F3925" s="115"/>
      <c r="G3925" s="116"/>
      <c r="I3925" s="118"/>
      <c r="J3925" s="118"/>
      <c r="L3925" s="125"/>
    </row>
    <row r="3926" spans="1:12" x14ac:dyDescent="0.25">
      <c r="A3926" s="115"/>
      <c r="B3926" s="115"/>
      <c r="C3926" s="115"/>
      <c r="D3926" s="115"/>
      <c r="E3926" s="115"/>
      <c r="F3926" s="115"/>
      <c r="G3926" s="116"/>
      <c r="I3926" s="118"/>
      <c r="J3926" s="118"/>
      <c r="L3926" s="125"/>
    </row>
    <row r="3927" spans="1:12" x14ac:dyDescent="0.25">
      <c r="A3927" s="115"/>
      <c r="B3927" s="115"/>
      <c r="C3927" s="115"/>
      <c r="D3927" s="115"/>
      <c r="E3927" s="115"/>
      <c r="F3927" s="115"/>
      <c r="G3927" s="116"/>
      <c r="I3927" s="118"/>
      <c r="J3927" s="118"/>
      <c r="L3927" s="125"/>
    </row>
    <row r="3928" spans="1:12" x14ac:dyDescent="0.25">
      <c r="A3928" s="115"/>
      <c r="B3928" s="115"/>
      <c r="C3928" s="115"/>
      <c r="D3928" s="115"/>
      <c r="E3928" s="115"/>
      <c r="F3928" s="115"/>
      <c r="G3928" s="116"/>
      <c r="I3928" s="118"/>
      <c r="J3928" s="118"/>
      <c r="L3928" s="125"/>
    </row>
    <row r="3929" spans="1:12" x14ac:dyDescent="0.25">
      <c r="A3929" s="115"/>
      <c r="B3929" s="115"/>
      <c r="C3929" s="115"/>
      <c r="D3929" s="115"/>
      <c r="E3929" s="115"/>
      <c r="F3929" s="115"/>
      <c r="G3929" s="116"/>
      <c r="I3929" s="118"/>
      <c r="J3929" s="118"/>
      <c r="L3929" s="125"/>
    </row>
    <row r="3930" spans="1:12" x14ac:dyDescent="0.25">
      <c r="A3930" s="115"/>
      <c r="B3930" s="115"/>
      <c r="C3930" s="115"/>
      <c r="D3930" s="115"/>
      <c r="E3930" s="115"/>
      <c r="F3930" s="115"/>
      <c r="G3930" s="116"/>
      <c r="I3930" s="118"/>
      <c r="J3930" s="118"/>
      <c r="L3930" s="125"/>
    </row>
    <row r="3931" spans="1:12" x14ac:dyDescent="0.25">
      <c r="A3931" s="115"/>
      <c r="B3931" s="115"/>
      <c r="C3931" s="115"/>
      <c r="D3931" s="115"/>
      <c r="E3931" s="115"/>
      <c r="F3931" s="115"/>
      <c r="G3931" s="116"/>
      <c r="I3931" s="118"/>
      <c r="J3931" s="118"/>
      <c r="L3931" s="125"/>
    </row>
    <row r="3932" spans="1:12" x14ac:dyDescent="0.25">
      <c r="A3932" s="115"/>
      <c r="B3932" s="115"/>
      <c r="C3932" s="115"/>
      <c r="D3932" s="115"/>
      <c r="E3932" s="115"/>
      <c r="F3932" s="115"/>
      <c r="G3932" s="116"/>
      <c r="I3932" s="118"/>
      <c r="J3932" s="118"/>
      <c r="L3932" s="125"/>
    </row>
    <row r="3933" spans="1:12" x14ac:dyDescent="0.25">
      <c r="A3933" s="115"/>
      <c r="B3933" s="115"/>
      <c r="C3933" s="115"/>
      <c r="D3933" s="115"/>
      <c r="E3933" s="115"/>
      <c r="F3933" s="115"/>
      <c r="G3933" s="116"/>
      <c r="I3933" s="118"/>
      <c r="J3933" s="118"/>
      <c r="L3933" s="125"/>
    </row>
    <row r="3934" spans="1:12" x14ac:dyDescent="0.25">
      <c r="A3934" s="115"/>
      <c r="B3934" s="115"/>
      <c r="C3934" s="115"/>
      <c r="D3934" s="115"/>
      <c r="E3934" s="115"/>
      <c r="F3934" s="115"/>
      <c r="G3934" s="116"/>
      <c r="I3934" s="118"/>
      <c r="J3934" s="118"/>
      <c r="L3934" s="125"/>
    </row>
    <row r="3935" spans="1:12" x14ac:dyDescent="0.25">
      <c r="A3935" s="115"/>
      <c r="B3935" s="115"/>
      <c r="C3935" s="115"/>
      <c r="D3935" s="115"/>
      <c r="E3935" s="115"/>
      <c r="F3935" s="115"/>
      <c r="G3935" s="116"/>
      <c r="I3935" s="118"/>
      <c r="J3935" s="118"/>
      <c r="L3935" s="125"/>
    </row>
    <row r="3936" spans="1:12" x14ac:dyDescent="0.25">
      <c r="A3936" s="115"/>
      <c r="B3936" s="115"/>
      <c r="C3936" s="115"/>
      <c r="D3936" s="115"/>
      <c r="E3936" s="115"/>
      <c r="F3936" s="115"/>
      <c r="G3936" s="116"/>
      <c r="I3936" s="118"/>
      <c r="J3936" s="118"/>
      <c r="L3936" s="125"/>
    </row>
    <row r="3937" spans="1:12" x14ac:dyDescent="0.25">
      <c r="A3937" s="115"/>
      <c r="B3937" s="115"/>
      <c r="C3937" s="115"/>
      <c r="D3937" s="115"/>
      <c r="E3937" s="115"/>
      <c r="F3937" s="115"/>
      <c r="G3937" s="116"/>
      <c r="I3937" s="118"/>
      <c r="J3937" s="118"/>
      <c r="L3937" s="125"/>
    </row>
    <row r="3938" spans="1:12" x14ac:dyDescent="0.25">
      <c r="A3938" s="115"/>
      <c r="B3938" s="115"/>
      <c r="C3938" s="115"/>
      <c r="D3938" s="115"/>
      <c r="E3938" s="115"/>
      <c r="F3938" s="115"/>
      <c r="G3938" s="116"/>
      <c r="I3938" s="118"/>
      <c r="J3938" s="118"/>
      <c r="L3938" s="125"/>
    </row>
    <row r="3939" spans="1:12" x14ac:dyDescent="0.25">
      <c r="A3939" s="115"/>
      <c r="B3939" s="115"/>
      <c r="C3939" s="115"/>
      <c r="D3939" s="115"/>
      <c r="E3939" s="115"/>
      <c r="F3939" s="115"/>
      <c r="G3939" s="116"/>
      <c r="I3939" s="118"/>
      <c r="J3939" s="118"/>
      <c r="L3939" s="125"/>
    </row>
    <row r="3940" spans="1:12" x14ac:dyDescent="0.25">
      <c r="A3940" s="115"/>
      <c r="B3940" s="115"/>
      <c r="C3940" s="115"/>
      <c r="D3940" s="115"/>
      <c r="E3940" s="115"/>
      <c r="F3940" s="115"/>
      <c r="G3940" s="116"/>
      <c r="I3940" s="118"/>
      <c r="J3940" s="118"/>
      <c r="L3940" s="125"/>
    </row>
    <row r="3941" spans="1:12" x14ac:dyDescent="0.25">
      <c r="A3941" s="115"/>
      <c r="B3941" s="115"/>
      <c r="C3941" s="115"/>
      <c r="D3941" s="115"/>
      <c r="E3941" s="115"/>
      <c r="F3941" s="115"/>
      <c r="G3941" s="116"/>
      <c r="I3941" s="118"/>
      <c r="J3941" s="118"/>
      <c r="L3941" s="125"/>
    </row>
    <row r="3942" spans="1:12" x14ac:dyDescent="0.25">
      <c r="A3942" s="115"/>
      <c r="B3942" s="115"/>
      <c r="C3942" s="115"/>
      <c r="D3942" s="115"/>
      <c r="E3942" s="115"/>
      <c r="F3942" s="115"/>
      <c r="G3942" s="116"/>
      <c r="I3942" s="118"/>
      <c r="J3942" s="118"/>
      <c r="L3942" s="125"/>
    </row>
    <row r="3943" spans="1:12" x14ac:dyDescent="0.25">
      <c r="A3943" s="115"/>
      <c r="B3943" s="115"/>
      <c r="C3943" s="115"/>
      <c r="D3943" s="115"/>
      <c r="E3943" s="115"/>
      <c r="F3943" s="115"/>
      <c r="G3943" s="116"/>
      <c r="I3943" s="118"/>
      <c r="J3943" s="118"/>
      <c r="L3943" s="125"/>
    </row>
    <row r="3944" spans="1:12" x14ac:dyDescent="0.25">
      <c r="A3944" s="115"/>
      <c r="B3944" s="115"/>
      <c r="C3944" s="115"/>
      <c r="D3944" s="115"/>
      <c r="E3944" s="115"/>
      <c r="F3944" s="115"/>
      <c r="G3944" s="116"/>
      <c r="I3944" s="118"/>
      <c r="J3944" s="118"/>
      <c r="L3944" s="125"/>
    </row>
    <row r="3945" spans="1:12" x14ac:dyDescent="0.25">
      <c r="A3945" s="115"/>
      <c r="B3945" s="115"/>
      <c r="C3945" s="115"/>
      <c r="D3945" s="115"/>
      <c r="E3945" s="115"/>
      <c r="F3945" s="115"/>
      <c r="G3945" s="116"/>
      <c r="I3945" s="118"/>
      <c r="J3945" s="118"/>
      <c r="L3945" s="125"/>
    </row>
    <row r="3946" spans="1:12" x14ac:dyDescent="0.25">
      <c r="A3946" s="115"/>
      <c r="B3946" s="115"/>
      <c r="C3946" s="115"/>
      <c r="D3946" s="115"/>
      <c r="E3946" s="115"/>
      <c r="F3946" s="115"/>
      <c r="G3946" s="116"/>
      <c r="I3946" s="118"/>
      <c r="J3946" s="118"/>
      <c r="L3946" s="125"/>
    </row>
    <row r="3947" spans="1:12" x14ac:dyDescent="0.25">
      <c r="A3947" s="115"/>
      <c r="B3947" s="115"/>
      <c r="C3947" s="115"/>
      <c r="D3947" s="115"/>
      <c r="E3947" s="115"/>
      <c r="F3947" s="115"/>
      <c r="G3947" s="116"/>
      <c r="I3947" s="118"/>
      <c r="J3947" s="118"/>
      <c r="L3947" s="125"/>
    </row>
    <row r="3948" spans="1:12" x14ac:dyDescent="0.25">
      <c r="A3948" s="115"/>
      <c r="B3948" s="115"/>
      <c r="C3948" s="115"/>
      <c r="D3948" s="115"/>
      <c r="E3948" s="115"/>
      <c r="F3948" s="115"/>
      <c r="G3948" s="116"/>
      <c r="I3948" s="118"/>
      <c r="J3948" s="118"/>
      <c r="L3948" s="125"/>
    </row>
    <row r="3949" spans="1:12" x14ac:dyDescent="0.25">
      <c r="A3949" s="115"/>
      <c r="B3949" s="115"/>
      <c r="C3949" s="115"/>
      <c r="D3949" s="115"/>
      <c r="E3949" s="115"/>
      <c r="F3949" s="115"/>
      <c r="G3949" s="116"/>
      <c r="I3949" s="118"/>
      <c r="J3949" s="118"/>
      <c r="L3949" s="125"/>
    </row>
    <row r="3950" spans="1:12" x14ac:dyDescent="0.25">
      <c r="A3950" s="115"/>
      <c r="B3950" s="115"/>
      <c r="C3950" s="115"/>
      <c r="D3950" s="115"/>
      <c r="E3950" s="115"/>
      <c r="F3950" s="115"/>
      <c r="G3950" s="116"/>
      <c r="I3950" s="118"/>
      <c r="J3950" s="118"/>
      <c r="L3950" s="125"/>
    </row>
    <row r="3951" spans="1:12" x14ac:dyDescent="0.25">
      <c r="A3951" s="115"/>
      <c r="B3951" s="115"/>
      <c r="C3951" s="115"/>
      <c r="D3951" s="115"/>
      <c r="E3951" s="115"/>
      <c r="F3951" s="115"/>
      <c r="G3951" s="116"/>
      <c r="I3951" s="118"/>
      <c r="J3951" s="118"/>
      <c r="L3951" s="125"/>
    </row>
    <row r="3952" spans="1:12" x14ac:dyDescent="0.25">
      <c r="A3952" s="115"/>
      <c r="B3952" s="115"/>
      <c r="C3952" s="115"/>
      <c r="D3952" s="115"/>
      <c r="E3952" s="115"/>
      <c r="F3952" s="115"/>
      <c r="G3952" s="116"/>
      <c r="I3952" s="118"/>
      <c r="J3952" s="118"/>
      <c r="L3952" s="125"/>
    </row>
    <row r="3953" spans="1:12" x14ac:dyDescent="0.25">
      <c r="A3953" s="115"/>
      <c r="B3953" s="115"/>
      <c r="C3953" s="115"/>
      <c r="D3953" s="115"/>
      <c r="E3953" s="115"/>
      <c r="F3953" s="115"/>
      <c r="G3953" s="116"/>
      <c r="I3953" s="118"/>
      <c r="J3953" s="118"/>
      <c r="L3953" s="125"/>
    </row>
    <row r="3954" spans="1:12" x14ac:dyDescent="0.25">
      <c r="A3954" s="115"/>
      <c r="B3954" s="115"/>
      <c r="C3954" s="115"/>
      <c r="D3954" s="115"/>
      <c r="E3954" s="115"/>
      <c r="F3954" s="115"/>
      <c r="G3954" s="116"/>
      <c r="I3954" s="118"/>
      <c r="J3954" s="118"/>
      <c r="L3954" s="125"/>
    </row>
    <row r="3955" spans="1:12" x14ac:dyDescent="0.25">
      <c r="A3955" s="115"/>
      <c r="B3955" s="115"/>
      <c r="C3955" s="115"/>
      <c r="D3955" s="115"/>
      <c r="E3955" s="115"/>
      <c r="F3955" s="115"/>
      <c r="G3955" s="116"/>
      <c r="I3955" s="118"/>
      <c r="J3955" s="118"/>
      <c r="L3955" s="125"/>
    </row>
    <row r="3956" spans="1:12" x14ac:dyDescent="0.25">
      <c r="A3956" s="115"/>
      <c r="B3956" s="115"/>
      <c r="C3956" s="115"/>
      <c r="D3956" s="115"/>
      <c r="E3956" s="115"/>
      <c r="F3956" s="115"/>
      <c r="G3956" s="116"/>
      <c r="I3956" s="118"/>
      <c r="J3956" s="118"/>
      <c r="L3956" s="125"/>
    </row>
    <row r="3957" spans="1:12" x14ac:dyDescent="0.25">
      <c r="A3957" s="115"/>
      <c r="B3957" s="115"/>
      <c r="C3957" s="115"/>
      <c r="D3957" s="115"/>
      <c r="E3957" s="115"/>
      <c r="F3957" s="115"/>
      <c r="G3957" s="116"/>
      <c r="I3957" s="118"/>
      <c r="J3957" s="118"/>
      <c r="L3957" s="125"/>
    </row>
    <row r="3958" spans="1:12" x14ac:dyDescent="0.25">
      <c r="A3958" s="115"/>
      <c r="B3958" s="115"/>
      <c r="C3958" s="115"/>
      <c r="D3958" s="115"/>
      <c r="E3958" s="115"/>
      <c r="F3958" s="115"/>
      <c r="G3958" s="116"/>
      <c r="I3958" s="118"/>
      <c r="J3958" s="118"/>
      <c r="L3958" s="125"/>
    </row>
    <row r="3959" spans="1:12" x14ac:dyDescent="0.25">
      <c r="A3959" s="115"/>
      <c r="B3959" s="115"/>
      <c r="C3959" s="115"/>
      <c r="D3959" s="115"/>
      <c r="E3959" s="115"/>
      <c r="F3959" s="115"/>
      <c r="G3959" s="116"/>
      <c r="I3959" s="118"/>
      <c r="J3959" s="118"/>
      <c r="L3959" s="125"/>
    </row>
    <row r="3960" spans="1:12" x14ac:dyDescent="0.25">
      <c r="A3960" s="115"/>
      <c r="B3960" s="115"/>
      <c r="C3960" s="115"/>
      <c r="D3960" s="115"/>
      <c r="E3960" s="115"/>
      <c r="F3960" s="115"/>
      <c r="G3960" s="116"/>
      <c r="I3960" s="118"/>
      <c r="J3960" s="118"/>
      <c r="L3960" s="125"/>
    </row>
    <row r="3961" spans="1:12" x14ac:dyDescent="0.25">
      <c r="A3961" s="115"/>
      <c r="B3961" s="115"/>
      <c r="C3961" s="115"/>
      <c r="D3961" s="115"/>
      <c r="E3961" s="115"/>
      <c r="F3961" s="115"/>
      <c r="G3961" s="116"/>
      <c r="I3961" s="118"/>
      <c r="J3961" s="118"/>
      <c r="L3961" s="125"/>
    </row>
    <row r="3962" spans="1:12" x14ac:dyDescent="0.25">
      <c r="A3962" s="115"/>
      <c r="B3962" s="115"/>
      <c r="C3962" s="115"/>
      <c r="D3962" s="115"/>
      <c r="E3962" s="115"/>
      <c r="F3962" s="115"/>
      <c r="G3962" s="116"/>
      <c r="I3962" s="118"/>
      <c r="J3962" s="118"/>
      <c r="L3962" s="125"/>
    </row>
    <row r="3963" spans="1:12" x14ac:dyDescent="0.25">
      <c r="A3963" s="115"/>
      <c r="B3963" s="115"/>
      <c r="C3963" s="115"/>
      <c r="D3963" s="115"/>
      <c r="E3963" s="115"/>
      <c r="F3963" s="115"/>
      <c r="G3963" s="116"/>
      <c r="I3963" s="118"/>
      <c r="J3963" s="118"/>
      <c r="L3963" s="125"/>
    </row>
    <row r="3964" spans="1:12" x14ac:dyDescent="0.25">
      <c r="A3964" s="115"/>
      <c r="B3964" s="115"/>
      <c r="C3964" s="115"/>
      <c r="D3964" s="115"/>
      <c r="E3964" s="115"/>
      <c r="F3964" s="115"/>
      <c r="G3964" s="116"/>
      <c r="I3964" s="118"/>
      <c r="J3964" s="118"/>
      <c r="L3964" s="125"/>
    </row>
    <row r="3965" spans="1:12" x14ac:dyDescent="0.25">
      <c r="A3965" s="115"/>
      <c r="B3965" s="115"/>
      <c r="C3965" s="115"/>
      <c r="D3965" s="115"/>
      <c r="E3965" s="115"/>
      <c r="F3965" s="115"/>
      <c r="G3965" s="116"/>
      <c r="I3965" s="118"/>
      <c r="J3965" s="118"/>
      <c r="L3965" s="125"/>
    </row>
    <row r="3966" spans="1:12" x14ac:dyDescent="0.25">
      <c r="A3966" s="115"/>
      <c r="B3966" s="115"/>
      <c r="C3966" s="115"/>
      <c r="D3966" s="115"/>
      <c r="E3966" s="115"/>
      <c r="F3966" s="115"/>
      <c r="G3966" s="116"/>
      <c r="I3966" s="118"/>
      <c r="J3966" s="118"/>
      <c r="L3966" s="125"/>
    </row>
    <row r="3967" spans="1:12" x14ac:dyDescent="0.25">
      <c r="A3967" s="115"/>
      <c r="B3967" s="115"/>
      <c r="C3967" s="115"/>
      <c r="D3967" s="115"/>
      <c r="E3967" s="115"/>
      <c r="F3967" s="115"/>
      <c r="G3967" s="116"/>
      <c r="I3967" s="118"/>
      <c r="J3967" s="118"/>
      <c r="L3967" s="125"/>
    </row>
    <row r="3968" spans="1:12" x14ac:dyDescent="0.25">
      <c r="A3968" s="115"/>
      <c r="B3968" s="115"/>
      <c r="C3968" s="115"/>
      <c r="D3968" s="115"/>
      <c r="E3968" s="115"/>
      <c r="F3968" s="115"/>
      <c r="G3968" s="116"/>
      <c r="I3968" s="118"/>
      <c r="J3968" s="118"/>
      <c r="L3968" s="125"/>
    </row>
    <row r="3969" spans="1:12" x14ac:dyDescent="0.25">
      <c r="A3969" s="115"/>
      <c r="B3969" s="115"/>
      <c r="C3969" s="115"/>
      <c r="D3969" s="115"/>
      <c r="E3969" s="115"/>
      <c r="F3969" s="115"/>
      <c r="G3969" s="116"/>
      <c r="I3969" s="118"/>
      <c r="J3969" s="118"/>
      <c r="L3969" s="125"/>
    </row>
    <row r="3970" spans="1:12" x14ac:dyDescent="0.25">
      <c r="A3970" s="115"/>
      <c r="B3970" s="115"/>
      <c r="C3970" s="115"/>
      <c r="D3970" s="115"/>
      <c r="E3970" s="115"/>
      <c r="F3970" s="115"/>
      <c r="G3970" s="116"/>
      <c r="I3970" s="118"/>
      <c r="J3970" s="118"/>
      <c r="L3970" s="125"/>
    </row>
    <row r="3971" spans="1:12" x14ac:dyDescent="0.25">
      <c r="A3971" s="115"/>
      <c r="B3971" s="115"/>
      <c r="C3971" s="115"/>
      <c r="D3971" s="115"/>
      <c r="E3971" s="115"/>
      <c r="F3971" s="115"/>
      <c r="G3971" s="116"/>
      <c r="I3971" s="118"/>
      <c r="J3971" s="118"/>
      <c r="L3971" s="125"/>
    </row>
    <row r="3972" spans="1:12" x14ac:dyDescent="0.25">
      <c r="A3972" s="115"/>
      <c r="B3972" s="115"/>
      <c r="C3972" s="115"/>
      <c r="D3972" s="115"/>
      <c r="E3972" s="115"/>
      <c r="F3972" s="115"/>
      <c r="G3972" s="116"/>
      <c r="I3972" s="118"/>
      <c r="J3972" s="118"/>
      <c r="L3972" s="125"/>
    </row>
    <row r="3973" spans="1:12" x14ac:dyDescent="0.25">
      <c r="A3973" s="115"/>
      <c r="B3973" s="115"/>
      <c r="C3973" s="115"/>
      <c r="D3973" s="115"/>
      <c r="E3973" s="115"/>
      <c r="F3973" s="115"/>
      <c r="G3973" s="116"/>
      <c r="I3973" s="118"/>
      <c r="J3973" s="118"/>
      <c r="L3973" s="125"/>
    </row>
    <row r="3974" spans="1:12" x14ac:dyDescent="0.25">
      <c r="A3974" s="115"/>
      <c r="B3974" s="115"/>
      <c r="C3974" s="115"/>
      <c r="D3974" s="115"/>
      <c r="E3974" s="115"/>
      <c r="F3974" s="115"/>
      <c r="G3974" s="116"/>
      <c r="I3974" s="118"/>
      <c r="J3974" s="118"/>
      <c r="L3974" s="125"/>
    </row>
    <row r="3975" spans="1:12" x14ac:dyDescent="0.25">
      <c r="A3975" s="115"/>
      <c r="B3975" s="115"/>
      <c r="C3975" s="115"/>
      <c r="D3975" s="115"/>
      <c r="E3975" s="115"/>
      <c r="F3975" s="115"/>
      <c r="G3975" s="116"/>
      <c r="I3975" s="118"/>
      <c r="J3975" s="118"/>
      <c r="L3975" s="125"/>
    </row>
    <row r="3976" spans="1:12" x14ac:dyDescent="0.25">
      <c r="A3976" s="115"/>
      <c r="B3976" s="115"/>
      <c r="C3976" s="115"/>
      <c r="D3976" s="115"/>
      <c r="E3976" s="115"/>
      <c r="F3976" s="115"/>
      <c r="G3976" s="116"/>
      <c r="I3976" s="118"/>
      <c r="J3976" s="118"/>
      <c r="L3976" s="125"/>
    </row>
    <row r="3977" spans="1:12" x14ac:dyDescent="0.25">
      <c r="A3977" s="115"/>
      <c r="B3977" s="115"/>
      <c r="C3977" s="115"/>
      <c r="D3977" s="115"/>
      <c r="E3977" s="115"/>
      <c r="F3977" s="115"/>
      <c r="G3977" s="116"/>
      <c r="I3977" s="118"/>
      <c r="J3977" s="118"/>
      <c r="L3977" s="125"/>
    </row>
    <row r="3978" spans="1:12" x14ac:dyDescent="0.25">
      <c r="A3978" s="115"/>
      <c r="B3978" s="115"/>
      <c r="C3978" s="115"/>
      <c r="D3978" s="115"/>
      <c r="E3978" s="115"/>
      <c r="F3978" s="115"/>
      <c r="G3978" s="116"/>
      <c r="I3978" s="118"/>
      <c r="J3978" s="118"/>
      <c r="L3978" s="125"/>
    </row>
    <row r="3979" spans="1:12" x14ac:dyDescent="0.25">
      <c r="A3979" s="115"/>
      <c r="B3979" s="115"/>
      <c r="C3979" s="115"/>
      <c r="D3979" s="115"/>
      <c r="E3979" s="115"/>
      <c r="F3979" s="115"/>
      <c r="G3979" s="116"/>
      <c r="I3979" s="118"/>
      <c r="J3979" s="118"/>
      <c r="L3979" s="125"/>
    </row>
    <row r="3980" spans="1:12" x14ac:dyDescent="0.25">
      <c r="A3980" s="115"/>
      <c r="B3980" s="115"/>
      <c r="C3980" s="115"/>
      <c r="D3980" s="115"/>
      <c r="E3980" s="115"/>
      <c r="F3980" s="115"/>
      <c r="G3980" s="116"/>
      <c r="I3980" s="118"/>
      <c r="J3980" s="118"/>
      <c r="L3980" s="125"/>
    </row>
    <row r="3981" spans="1:12" x14ac:dyDescent="0.25">
      <c r="A3981" s="115"/>
      <c r="B3981" s="115"/>
      <c r="C3981" s="115"/>
      <c r="D3981" s="115"/>
      <c r="E3981" s="115"/>
      <c r="F3981" s="115"/>
      <c r="G3981" s="116"/>
      <c r="I3981" s="118"/>
      <c r="J3981" s="118"/>
      <c r="L3981" s="125"/>
    </row>
    <row r="3982" spans="1:12" x14ac:dyDescent="0.25">
      <c r="A3982" s="115"/>
      <c r="B3982" s="115"/>
      <c r="C3982" s="115"/>
      <c r="D3982" s="115"/>
      <c r="E3982" s="115"/>
      <c r="F3982" s="115"/>
      <c r="G3982" s="116"/>
      <c r="I3982" s="118"/>
      <c r="J3982" s="118"/>
      <c r="L3982" s="125"/>
    </row>
    <row r="3983" spans="1:12" x14ac:dyDescent="0.25">
      <c r="A3983" s="115"/>
      <c r="B3983" s="115"/>
      <c r="C3983" s="115"/>
      <c r="D3983" s="115"/>
      <c r="E3983" s="115"/>
      <c r="F3983" s="115"/>
      <c r="G3983" s="116"/>
      <c r="I3983" s="118"/>
      <c r="J3983" s="118"/>
      <c r="L3983" s="125"/>
    </row>
    <row r="3984" spans="1:12" x14ac:dyDescent="0.25">
      <c r="A3984" s="115"/>
      <c r="B3984" s="115"/>
      <c r="C3984" s="115"/>
      <c r="D3984" s="115"/>
      <c r="E3984" s="115"/>
      <c r="F3984" s="115"/>
      <c r="G3984" s="116"/>
      <c r="I3984" s="118"/>
      <c r="J3984" s="118"/>
      <c r="L3984" s="125"/>
    </row>
    <row r="3985" spans="1:12" x14ac:dyDescent="0.25">
      <c r="A3985" s="115"/>
      <c r="B3985" s="115"/>
      <c r="C3985" s="115"/>
      <c r="D3985" s="115"/>
      <c r="E3985" s="115"/>
      <c r="F3985" s="115"/>
      <c r="G3985" s="116"/>
      <c r="I3985" s="118"/>
      <c r="J3985" s="118"/>
      <c r="L3985" s="125"/>
    </row>
    <row r="3986" spans="1:12" x14ac:dyDescent="0.25">
      <c r="A3986" s="115"/>
      <c r="B3986" s="115"/>
      <c r="C3986" s="115"/>
      <c r="D3986" s="115"/>
      <c r="E3986" s="115"/>
      <c r="F3986" s="115"/>
      <c r="G3986" s="116"/>
      <c r="I3986" s="118"/>
      <c r="J3986" s="118"/>
      <c r="L3986" s="125"/>
    </row>
    <row r="3987" spans="1:12" x14ac:dyDescent="0.25">
      <c r="A3987" s="115"/>
      <c r="B3987" s="115"/>
      <c r="C3987" s="115"/>
      <c r="D3987" s="115"/>
      <c r="E3987" s="115"/>
      <c r="F3987" s="115"/>
      <c r="G3987" s="116"/>
      <c r="I3987" s="118"/>
      <c r="J3987" s="118"/>
      <c r="L3987" s="125"/>
    </row>
    <row r="3988" spans="1:12" x14ac:dyDescent="0.25">
      <c r="A3988" s="115"/>
      <c r="B3988" s="115"/>
      <c r="C3988" s="115"/>
      <c r="D3988" s="115"/>
      <c r="E3988" s="115"/>
      <c r="F3988" s="115"/>
      <c r="G3988" s="116"/>
      <c r="I3988" s="118"/>
      <c r="J3988" s="118"/>
      <c r="L3988" s="125"/>
    </row>
    <row r="3989" spans="1:12" x14ac:dyDescent="0.25">
      <c r="A3989" s="115"/>
      <c r="B3989" s="115"/>
      <c r="C3989" s="115"/>
      <c r="D3989" s="115"/>
      <c r="E3989" s="115"/>
      <c r="F3989" s="115"/>
      <c r="G3989" s="116"/>
      <c r="I3989" s="118"/>
      <c r="J3989" s="118"/>
      <c r="L3989" s="125"/>
    </row>
    <row r="3990" spans="1:12" x14ac:dyDescent="0.25">
      <c r="A3990" s="115"/>
      <c r="B3990" s="115"/>
      <c r="C3990" s="115"/>
      <c r="D3990" s="115"/>
      <c r="E3990" s="115"/>
      <c r="F3990" s="115"/>
      <c r="G3990" s="116"/>
      <c r="I3990" s="118"/>
      <c r="J3990" s="118"/>
      <c r="L3990" s="125"/>
    </row>
    <row r="3991" spans="1:12" x14ac:dyDescent="0.25">
      <c r="A3991" s="115"/>
      <c r="B3991" s="115"/>
      <c r="C3991" s="115"/>
      <c r="D3991" s="115"/>
      <c r="E3991" s="115"/>
      <c r="F3991" s="115"/>
      <c r="G3991" s="116"/>
      <c r="I3991" s="118"/>
      <c r="J3991" s="118"/>
      <c r="L3991" s="125"/>
    </row>
    <row r="3992" spans="1:12" x14ac:dyDescent="0.25">
      <c r="A3992" s="115"/>
      <c r="B3992" s="115"/>
      <c r="C3992" s="115"/>
      <c r="D3992" s="115"/>
      <c r="E3992" s="115"/>
      <c r="F3992" s="115"/>
      <c r="G3992" s="116"/>
      <c r="I3992" s="118"/>
      <c r="J3992" s="118"/>
      <c r="L3992" s="125"/>
    </row>
    <row r="3993" spans="1:12" x14ac:dyDescent="0.25">
      <c r="A3993" s="115"/>
      <c r="B3993" s="115"/>
      <c r="C3993" s="115"/>
      <c r="D3993" s="115"/>
      <c r="E3993" s="115"/>
      <c r="F3993" s="115"/>
      <c r="G3993" s="116"/>
      <c r="I3993" s="118"/>
      <c r="J3993" s="118"/>
      <c r="L3993" s="125"/>
    </row>
    <row r="3994" spans="1:12" x14ac:dyDescent="0.25">
      <c r="A3994" s="115"/>
      <c r="B3994" s="115"/>
      <c r="C3994" s="115"/>
      <c r="D3994" s="115"/>
      <c r="E3994" s="115"/>
      <c r="F3994" s="115"/>
      <c r="G3994" s="116"/>
      <c r="I3994" s="118"/>
      <c r="J3994" s="118"/>
      <c r="L3994" s="125"/>
    </row>
    <row r="3995" spans="1:12" x14ac:dyDescent="0.25">
      <c r="A3995" s="115"/>
      <c r="B3995" s="115"/>
      <c r="C3995" s="115"/>
      <c r="D3995" s="115"/>
      <c r="E3995" s="115"/>
      <c r="F3995" s="115"/>
      <c r="G3995" s="116"/>
      <c r="I3995" s="118"/>
      <c r="J3995" s="118"/>
      <c r="L3995" s="125"/>
    </row>
    <row r="3996" spans="1:12" x14ac:dyDescent="0.25">
      <c r="A3996" s="115"/>
      <c r="B3996" s="115"/>
      <c r="C3996" s="115"/>
      <c r="D3996" s="115"/>
      <c r="E3996" s="115"/>
      <c r="F3996" s="115"/>
      <c r="G3996" s="116"/>
      <c r="I3996" s="118"/>
      <c r="J3996" s="118"/>
      <c r="L3996" s="125"/>
    </row>
    <row r="3997" spans="1:12" x14ac:dyDescent="0.25">
      <c r="A3997" s="115"/>
      <c r="B3997" s="115"/>
      <c r="C3997" s="115"/>
      <c r="D3997" s="115"/>
      <c r="E3997" s="115"/>
      <c r="F3997" s="115"/>
      <c r="G3997" s="116"/>
      <c r="I3997" s="118"/>
      <c r="J3997" s="118"/>
      <c r="L3997" s="125"/>
    </row>
    <row r="3998" spans="1:12" x14ac:dyDescent="0.25">
      <c r="A3998" s="115"/>
      <c r="B3998" s="115"/>
      <c r="C3998" s="115"/>
      <c r="D3998" s="115"/>
      <c r="E3998" s="115"/>
      <c r="F3998" s="115"/>
      <c r="G3998" s="116"/>
      <c r="I3998" s="118"/>
      <c r="J3998" s="118"/>
      <c r="L3998" s="125"/>
    </row>
    <row r="3999" spans="1:12" x14ac:dyDescent="0.25">
      <c r="A3999" s="115"/>
      <c r="B3999" s="115"/>
      <c r="C3999" s="115"/>
      <c r="D3999" s="115"/>
      <c r="E3999" s="115"/>
      <c r="F3999" s="115"/>
      <c r="G3999" s="116"/>
      <c r="I3999" s="118"/>
      <c r="J3999" s="118"/>
      <c r="L3999" s="125"/>
    </row>
    <row r="4000" spans="1:12" x14ac:dyDescent="0.25">
      <c r="A4000" s="115"/>
      <c r="B4000" s="115"/>
      <c r="C4000" s="115"/>
      <c r="D4000" s="115"/>
      <c r="E4000" s="115"/>
      <c r="F4000" s="115"/>
      <c r="G4000" s="116"/>
      <c r="I4000" s="118"/>
      <c r="J4000" s="118"/>
      <c r="L4000" s="125"/>
    </row>
    <row r="4001" spans="1:12" x14ac:dyDescent="0.25">
      <c r="A4001" s="115"/>
      <c r="B4001" s="115"/>
      <c r="C4001" s="115"/>
      <c r="D4001" s="115"/>
      <c r="E4001" s="115"/>
      <c r="F4001" s="115"/>
      <c r="G4001" s="116"/>
      <c r="I4001" s="118"/>
      <c r="J4001" s="118"/>
      <c r="L4001" s="125"/>
    </row>
    <row r="4002" spans="1:12" x14ac:dyDescent="0.25">
      <c r="A4002" s="115"/>
      <c r="B4002" s="115"/>
      <c r="C4002" s="115"/>
      <c r="D4002" s="115"/>
      <c r="E4002" s="115"/>
      <c r="F4002" s="115"/>
      <c r="G4002" s="116"/>
      <c r="I4002" s="118"/>
      <c r="J4002" s="118"/>
      <c r="L4002" s="125"/>
    </row>
    <row r="4003" spans="1:12" x14ac:dyDescent="0.25">
      <c r="A4003" s="115"/>
      <c r="B4003" s="115"/>
      <c r="C4003" s="115"/>
      <c r="D4003" s="115"/>
      <c r="E4003" s="115"/>
      <c r="F4003" s="115"/>
      <c r="G4003" s="116"/>
      <c r="I4003" s="118"/>
      <c r="J4003" s="118"/>
      <c r="L4003" s="125"/>
    </row>
    <row r="4004" spans="1:12" x14ac:dyDescent="0.25">
      <c r="A4004" s="115"/>
      <c r="B4004" s="115"/>
      <c r="C4004" s="115"/>
      <c r="D4004" s="115"/>
      <c r="E4004" s="115"/>
      <c r="F4004" s="115"/>
      <c r="G4004" s="116"/>
      <c r="I4004" s="118"/>
      <c r="J4004" s="118"/>
      <c r="L4004" s="125"/>
    </row>
    <row r="4005" spans="1:12" x14ac:dyDescent="0.25">
      <c r="A4005" s="115"/>
      <c r="B4005" s="115"/>
      <c r="C4005" s="115"/>
      <c r="D4005" s="115"/>
      <c r="E4005" s="115"/>
      <c r="F4005" s="115"/>
      <c r="G4005" s="116"/>
      <c r="I4005" s="118"/>
      <c r="J4005" s="118"/>
      <c r="L4005" s="125"/>
    </row>
    <row r="4006" spans="1:12" x14ac:dyDescent="0.25">
      <c r="A4006" s="115"/>
      <c r="B4006" s="115"/>
      <c r="C4006" s="115"/>
      <c r="D4006" s="115"/>
      <c r="E4006" s="115"/>
      <c r="F4006" s="115"/>
      <c r="G4006" s="116"/>
      <c r="I4006" s="118"/>
      <c r="J4006" s="118"/>
      <c r="L4006" s="125"/>
    </row>
    <row r="4007" spans="1:12" x14ac:dyDescent="0.25">
      <c r="A4007" s="115"/>
      <c r="B4007" s="115"/>
      <c r="C4007" s="115"/>
      <c r="D4007" s="115"/>
      <c r="E4007" s="115"/>
      <c r="F4007" s="115"/>
      <c r="G4007" s="116"/>
      <c r="I4007" s="118"/>
      <c r="J4007" s="118"/>
      <c r="L4007" s="125"/>
    </row>
    <row r="4008" spans="1:12" x14ac:dyDescent="0.25">
      <c r="A4008" s="115"/>
      <c r="B4008" s="115"/>
      <c r="C4008" s="115"/>
      <c r="D4008" s="115"/>
      <c r="E4008" s="115"/>
      <c r="F4008" s="115"/>
      <c r="G4008" s="116"/>
      <c r="I4008" s="118"/>
      <c r="J4008" s="118"/>
      <c r="L4008" s="125"/>
    </row>
    <row r="4009" spans="1:12" x14ac:dyDescent="0.25">
      <c r="A4009" s="115"/>
      <c r="B4009" s="115"/>
      <c r="C4009" s="115"/>
      <c r="D4009" s="115"/>
      <c r="E4009" s="115"/>
      <c r="F4009" s="115"/>
      <c r="G4009" s="116"/>
      <c r="I4009" s="118"/>
      <c r="J4009" s="118"/>
      <c r="L4009" s="125"/>
    </row>
    <row r="4010" spans="1:12" x14ac:dyDescent="0.25">
      <c r="A4010" s="115"/>
      <c r="B4010" s="115"/>
      <c r="C4010" s="115"/>
      <c r="D4010" s="115"/>
      <c r="E4010" s="115"/>
      <c r="F4010" s="115"/>
      <c r="G4010" s="116"/>
      <c r="I4010" s="118"/>
      <c r="J4010" s="118"/>
      <c r="L4010" s="125"/>
    </row>
    <row r="4011" spans="1:12" x14ac:dyDescent="0.25">
      <c r="A4011" s="115"/>
      <c r="B4011" s="115"/>
      <c r="C4011" s="115"/>
      <c r="D4011" s="115"/>
      <c r="E4011" s="115"/>
      <c r="F4011" s="115"/>
      <c r="G4011" s="116"/>
      <c r="I4011" s="118"/>
      <c r="J4011" s="118"/>
      <c r="L4011" s="125"/>
    </row>
    <row r="4012" spans="1:12" x14ac:dyDescent="0.25">
      <c r="A4012" s="115"/>
      <c r="B4012" s="115"/>
      <c r="C4012" s="115"/>
      <c r="D4012" s="115"/>
      <c r="E4012" s="115"/>
      <c r="F4012" s="115"/>
      <c r="G4012" s="116"/>
      <c r="I4012" s="118"/>
      <c r="J4012" s="118"/>
      <c r="L4012" s="125"/>
    </row>
    <row r="4013" spans="1:12" x14ac:dyDescent="0.25">
      <c r="A4013" s="115"/>
      <c r="B4013" s="115"/>
      <c r="C4013" s="115"/>
      <c r="D4013" s="115"/>
      <c r="E4013" s="115"/>
      <c r="F4013" s="115"/>
      <c r="G4013" s="116"/>
      <c r="I4013" s="118"/>
      <c r="J4013" s="118"/>
      <c r="L4013" s="125"/>
    </row>
    <row r="4014" spans="1:12" x14ac:dyDescent="0.25">
      <c r="A4014" s="115"/>
      <c r="B4014" s="115"/>
      <c r="C4014" s="115"/>
      <c r="D4014" s="115"/>
      <c r="E4014" s="115"/>
      <c r="F4014" s="115"/>
      <c r="G4014" s="116"/>
      <c r="I4014" s="118"/>
      <c r="J4014" s="118"/>
      <c r="L4014" s="125"/>
    </row>
    <row r="4015" spans="1:12" x14ac:dyDescent="0.25">
      <c r="A4015" s="115"/>
      <c r="B4015" s="115"/>
      <c r="C4015" s="115"/>
      <c r="D4015" s="115"/>
      <c r="E4015" s="115"/>
      <c r="F4015" s="115"/>
      <c r="G4015" s="116"/>
      <c r="I4015" s="118"/>
      <c r="J4015" s="118"/>
      <c r="L4015" s="125"/>
    </row>
    <row r="4016" spans="1:12" x14ac:dyDescent="0.25">
      <c r="A4016" s="115"/>
      <c r="B4016" s="115"/>
      <c r="C4016" s="115"/>
      <c r="D4016" s="115"/>
      <c r="E4016" s="115"/>
      <c r="F4016" s="115"/>
      <c r="G4016" s="116"/>
      <c r="I4016" s="118"/>
      <c r="J4016" s="118"/>
      <c r="L4016" s="125"/>
    </row>
    <row r="4017" spans="1:12" x14ac:dyDescent="0.25">
      <c r="A4017" s="115"/>
      <c r="B4017" s="115"/>
      <c r="C4017" s="115"/>
      <c r="D4017" s="115"/>
      <c r="E4017" s="115"/>
      <c r="F4017" s="115"/>
      <c r="G4017" s="116"/>
      <c r="I4017" s="118"/>
      <c r="J4017" s="118"/>
      <c r="L4017" s="125"/>
    </row>
    <row r="4018" spans="1:12" x14ac:dyDescent="0.25">
      <c r="A4018" s="115"/>
      <c r="B4018" s="115"/>
      <c r="C4018" s="115"/>
      <c r="D4018" s="115"/>
      <c r="E4018" s="115"/>
      <c r="F4018" s="115"/>
      <c r="G4018" s="116"/>
      <c r="I4018" s="118"/>
      <c r="J4018" s="118"/>
      <c r="L4018" s="125"/>
    </row>
    <row r="4019" spans="1:12" x14ac:dyDescent="0.25">
      <c r="A4019" s="115"/>
      <c r="B4019" s="115"/>
      <c r="C4019" s="115"/>
      <c r="D4019" s="115"/>
      <c r="E4019" s="115"/>
      <c r="F4019" s="115"/>
      <c r="G4019" s="116"/>
      <c r="I4019" s="118"/>
      <c r="J4019" s="118"/>
      <c r="L4019" s="125"/>
    </row>
    <row r="4020" spans="1:12" x14ac:dyDescent="0.25">
      <c r="A4020" s="115"/>
      <c r="B4020" s="115"/>
      <c r="C4020" s="115"/>
      <c r="D4020" s="115"/>
      <c r="E4020" s="115"/>
      <c r="F4020" s="115"/>
      <c r="G4020" s="116"/>
      <c r="I4020" s="118"/>
      <c r="J4020" s="118"/>
      <c r="L4020" s="125"/>
    </row>
    <row r="4021" spans="1:12" x14ac:dyDescent="0.25">
      <c r="A4021" s="115"/>
      <c r="B4021" s="115"/>
      <c r="C4021" s="115"/>
      <c r="D4021" s="115"/>
      <c r="E4021" s="115"/>
      <c r="F4021" s="115"/>
      <c r="G4021" s="116"/>
      <c r="I4021" s="118"/>
      <c r="J4021" s="118"/>
      <c r="L4021" s="125"/>
    </row>
    <row r="4022" spans="1:12" x14ac:dyDescent="0.25">
      <c r="A4022" s="115"/>
      <c r="B4022" s="115"/>
      <c r="C4022" s="115"/>
      <c r="D4022" s="115"/>
      <c r="E4022" s="115"/>
      <c r="F4022" s="115"/>
      <c r="G4022" s="116"/>
      <c r="I4022" s="118"/>
      <c r="J4022" s="118"/>
      <c r="L4022" s="125"/>
    </row>
    <row r="4023" spans="1:12" x14ac:dyDescent="0.25">
      <c r="A4023" s="115"/>
      <c r="B4023" s="115"/>
      <c r="C4023" s="115"/>
      <c r="D4023" s="115"/>
      <c r="E4023" s="115"/>
      <c r="F4023" s="115"/>
      <c r="G4023" s="116"/>
      <c r="I4023" s="118"/>
      <c r="J4023" s="118"/>
      <c r="L4023" s="125"/>
    </row>
    <row r="4024" spans="1:12" x14ac:dyDescent="0.25">
      <c r="A4024" s="115"/>
      <c r="B4024" s="115"/>
      <c r="C4024" s="115"/>
      <c r="D4024" s="115"/>
      <c r="E4024" s="115"/>
      <c r="F4024" s="115"/>
      <c r="G4024" s="116"/>
      <c r="I4024" s="118"/>
      <c r="J4024" s="118"/>
      <c r="L4024" s="125"/>
    </row>
    <row r="4025" spans="1:12" x14ac:dyDescent="0.25">
      <c r="A4025" s="115"/>
      <c r="B4025" s="115"/>
      <c r="C4025" s="115"/>
      <c r="D4025" s="115"/>
      <c r="E4025" s="115"/>
      <c r="F4025" s="115"/>
      <c r="G4025" s="116"/>
      <c r="I4025" s="118"/>
      <c r="J4025" s="118"/>
      <c r="L4025" s="125"/>
    </row>
    <row r="4026" spans="1:12" x14ac:dyDescent="0.25">
      <c r="A4026" s="115"/>
      <c r="B4026" s="115"/>
      <c r="C4026" s="115"/>
      <c r="D4026" s="115"/>
      <c r="E4026" s="115"/>
      <c r="F4026" s="115"/>
      <c r="G4026" s="116"/>
      <c r="I4026" s="118"/>
      <c r="J4026" s="118"/>
      <c r="L4026" s="125"/>
    </row>
    <row r="4027" spans="1:12" x14ac:dyDescent="0.25">
      <c r="A4027" s="115"/>
      <c r="B4027" s="115"/>
      <c r="C4027" s="115"/>
      <c r="D4027" s="115"/>
      <c r="E4027" s="115"/>
      <c r="F4027" s="115"/>
      <c r="G4027" s="116"/>
      <c r="I4027" s="118"/>
      <c r="J4027" s="118"/>
      <c r="L4027" s="125"/>
    </row>
    <row r="4028" spans="1:12" x14ac:dyDescent="0.25">
      <c r="A4028" s="115"/>
      <c r="B4028" s="115"/>
      <c r="C4028" s="115"/>
      <c r="D4028" s="115"/>
      <c r="E4028" s="115"/>
      <c r="F4028" s="115"/>
      <c r="G4028" s="116"/>
      <c r="I4028" s="118"/>
      <c r="J4028" s="118"/>
      <c r="L4028" s="125"/>
    </row>
    <row r="4029" spans="1:12" x14ac:dyDescent="0.25">
      <c r="A4029" s="115"/>
      <c r="B4029" s="115"/>
      <c r="C4029" s="115"/>
      <c r="D4029" s="115"/>
      <c r="E4029" s="115"/>
      <c r="F4029" s="115"/>
      <c r="G4029" s="116"/>
      <c r="I4029" s="118"/>
      <c r="J4029" s="118"/>
      <c r="L4029" s="125"/>
    </row>
    <row r="4030" spans="1:12" x14ac:dyDescent="0.25">
      <c r="A4030" s="115"/>
      <c r="B4030" s="115"/>
      <c r="C4030" s="115"/>
      <c r="D4030" s="115"/>
      <c r="E4030" s="115"/>
      <c r="F4030" s="115"/>
      <c r="G4030" s="116"/>
      <c r="I4030" s="118"/>
      <c r="J4030" s="118"/>
      <c r="L4030" s="125"/>
    </row>
    <row r="4031" spans="1:12" x14ac:dyDescent="0.25">
      <c r="A4031" s="115"/>
      <c r="B4031" s="115"/>
      <c r="C4031" s="115"/>
      <c r="D4031" s="115"/>
      <c r="E4031" s="115"/>
      <c r="F4031" s="115"/>
      <c r="G4031" s="116"/>
      <c r="I4031" s="118"/>
      <c r="J4031" s="118"/>
      <c r="L4031" s="125"/>
    </row>
    <row r="4032" spans="1:12" x14ac:dyDescent="0.25">
      <c r="A4032" s="115"/>
      <c r="B4032" s="115"/>
      <c r="C4032" s="115"/>
      <c r="D4032" s="115"/>
      <c r="E4032" s="115"/>
      <c r="F4032" s="115"/>
      <c r="G4032" s="116"/>
      <c r="I4032" s="118"/>
      <c r="J4032" s="118"/>
      <c r="L4032" s="125"/>
    </row>
    <row r="4033" spans="1:12" x14ac:dyDescent="0.25">
      <c r="A4033" s="115"/>
      <c r="B4033" s="115"/>
      <c r="C4033" s="115"/>
      <c r="D4033" s="115"/>
      <c r="E4033" s="115"/>
      <c r="F4033" s="115"/>
      <c r="G4033" s="116"/>
      <c r="I4033" s="118"/>
      <c r="J4033" s="118"/>
      <c r="L4033" s="125"/>
    </row>
    <row r="4034" spans="1:12" x14ac:dyDescent="0.25">
      <c r="A4034" s="115"/>
      <c r="B4034" s="115"/>
      <c r="C4034" s="115"/>
      <c r="D4034" s="115"/>
      <c r="E4034" s="115"/>
      <c r="F4034" s="115"/>
      <c r="G4034" s="116"/>
      <c r="I4034" s="118"/>
      <c r="J4034" s="118"/>
      <c r="L4034" s="125"/>
    </row>
    <row r="4035" spans="1:12" x14ac:dyDescent="0.25">
      <c r="A4035" s="115"/>
      <c r="B4035" s="115"/>
      <c r="C4035" s="115"/>
      <c r="D4035" s="115"/>
      <c r="E4035" s="115"/>
      <c r="F4035" s="115"/>
      <c r="G4035" s="116"/>
      <c r="I4035" s="118"/>
      <c r="J4035" s="118"/>
      <c r="L4035" s="125"/>
    </row>
    <row r="4036" spans="1:12" x14ac:dyDescent="0.25">
      <c r="A4036" s="115"/>
      <c r="B4036" s="115"/>
      <c r="C4036" s="115"/>
      <c r="D4036" s="115"/>
      <c r="E4036" s="115"/>
      <c r="F4036" s="115"/>
      <c r="G4036" s="116"/>
      <c r="I4036" s="118"/>
      <c r="J4036" s="118"/>
      <c r="L4036" s="125"/>
    </row>
    <row r="4037" spans="1:12" x14ac:dyDescent="0.25">
      <c r="A4037" s="115"/>
      <c r="B4037" s="115"/>
      <c r="C4037" s="115"/>
      <c r="D4037" s="115"/>
      <c r="E4037" s="115"/>
      <c r="F4037" s="115"/>
      <c r="G4037" s="116"/>
      <c r="I4037" s="118"/>
      <c r="J4037" s="118"/>
      <c r="L4037" s="125"/>
    </row>
    <row r="4038" spans="1:12" x14ac:dyDescent="0.25">
      <c r="A4038" s="115"/>
      <c r="B4038" s="115"/>
      <c r="C4038" s="115"/>
      <c r="D4038" s="115"/>
      <c r="E4038" s="115"/>
      <c r="F4038" s="115"/>
      <c r="G4038" s="116"/>
      <c r="I4038" s="118"/>
      <c r="J4038" s="118"/>
      <c r="L4038" s="125"/>
    </row>
    <row r="4039" spans="1:12" x14ac:dyDescent="0.25">
      <c r="A4039" s="115"/>
      <c r="B4039" s="115"/>
      <c r="C4039" s="115"/>
      <c r="D4039" s="115"/>
      <c r="E4039" s="115"/>
      <c r="F4039" s="115"/>
      <c r="G4039" s="116"/>
      <c r="I4039" s="118"/>
      <c r="J4039" s="118"/>
      <c r="L4039" s="125"/>
    </row>
    <row r="4040" spans="1:12" x14ac:dyDescent="0.25">
      <c r="A4040" s="115"/>
      <c r="B4040" s="115"/>
      <c r="C4040" s="115"/>
      <c r="D4040" s="115"/>
      <c r="E4040" s="115"/>
      <c r="F4040" s="115"/>
      <c r="G4040" s="116"/>
      <c r="I4040" s="118"/>
      <c r="J4040" s="118"/>
      <c r="L4040" s="125"/>
    </row>
    <row r="4041" spans="1:12" x14ac:dyDescent="0.25">
      <c r="A4041" s="115"/>
      <c r="B4041" s="115"/>
      <c r="C4041" s="115"/>
      <c r="D4041" s="115"/>
      <c r="E4041" s="115"/>
      <c r="F4041" s="115"/>
      <c r="G4041" s="116"/>
      <c r="I4041" s="118"/>
      <c r="J4041" s="118"/>
      <c r="L4041" s="125"/>
    </row>
    <row r="4042" spans="1:12" x14ac:dyDescent="0.25">
      <c r="A4042" s="115"/>
      <c r="B4042" s="115"/>
      <c r="C4042" s="115"/>
      <c r="D4042" s="115"/>
      <c r="E4042" s="115"/>
      <c r="F4042" s="115"/>
      <c r="G4042" s="116"/>
      <c r="I4042" s="118"/>
      <c r="J4042" s="118"/>
      <c r="L4042" s="125"/>
    </row>
    <row r="4043" spans="1:12" x14ac:dyDescent="0.25">
      <c r="A4043" s="115"/>
      <c r="B4043" s="115"/>
      <c r="C4043" s="115"/>
      <c r="D4043" s="115"/>
      <c r="E4043" s="115"/>
      <c r="F4043" s="115"/>
      <c r="G4043" s="116"/>
      <c r="I4043" s="118"/>
      <c r="J4043" s="118"/>
      <c r="L4043" s="125"/>
    </row>
    <row r="4044" spans="1:12" x14ac:dyDescent="0.25">
      <c r="A4044" s="115"/>
      <c r="B4044" s="115"/>
      <c r="C4044" s="115"/>
      <c r="D4044" s="115"/>
      <c r="E4044" s="115"/>
      <c r="F4044" s="115"/>
      <c r="G4044" s="116"/>
      <c r="I4044" s="118"/>
      <c r="J4044" s="118"/>
      <c r="L4044" s="125"/>
    </row>
    <row r="4045" spans="1:12" x14ac:dyDescent="0.25">
      <c r="A4045" s="115"/>
      <c r="B4045" s="115"/>
      <c r="C4045" s="115"/>
      <c r="D4045" s="115"/>
      <c r="E4045" s="115"/>
      <c r="F4045" s="115"/>
      <c r="G4045" s="116"/>
      <c r="I4045" s="118"/>
      <c r="J4045" s="118"/>
      <c r="L4045" s="125"/>
    </row>
    <row r="4046" spans="1:12" x14ac:dyDescent="0.25">
      <c r="A4046" s="115"/>
      <c r="B4046" s="115"/>
      <c r="C4046" s="115"/>
      <c r="D4046" s="115"/>
      <c r="E4046" s="115"/>
      <c r="F4046" s="115"/>
      <c r="G4046" s="116"/>
      <c r="I4046" s="118"/>
      <c r="J4046" s="118"/>
      <c r="L4046" s="125"/>
    </row>
    <row r="4047" spans="1:12" x14ac:dyDescent="0.25">
      <c r="A4047" s="115"/>
      <c r="B4047" s="115"/>
      <c r="C4047" s="115"/>
      <c r="D4047" s="115"/>
      <c r="E4047" s="115"/>
      <c r="F4047" s="115"/>
      <c r="G4047" s="116"/>
      <c r="I4047" s="118"/>
      <c r="J4047" s="118"/>
      <c r="L4047" s="125"/>
    </row>
    <row r="4048" spans="1:12" x14ac:dyDescent="0.25">
      <c r="A4048" s="115"/>
      <c r="B4048" s="115"/>
      <c r="C4048" s="115"/>
      <c r="D4048" s="115"/>
      <c r="E4048" s="115"/>
      <c r="F4048" s="115"/>
      <c r="G4048" s="116"/>
      <c r="I4048" s="118"/>
      <c r="J4048" s="118"/>
      <c r="L4048" s="125"/>
    </row>
    <row r="4049" spans="1:12" x14ac:dyDescent="0.25">
      <c r="A4049" s="115"/>
      <c r="B4049" s="115"/>
      <c r="C4049" s="115"/>
      <c r="D4049" s="115"/>
      <c r="E4049" s="115"/>
      <c r="F4049" s="115"/>
      <c r="G4049" s="116"/>
      <c r="I4049" s="118"/>
      <c r="J4049" s="118"/>
      <c r="L4049" s="125"/>
    </row>
    <row r="4050" spans="1:12" x14ac:dyDescent="0.25">
      <c r="A4050" s="115"/>
      <c r="B4050" s="115"/>
      <c r="C4050" s="115"/>
      <c r="D4050" s="115"/>
      <c r="E4050" s="115"/>
      <c r="F4050" s="115"/>
      <c r="G4050" s="116"/>
      <c r="I4050" s="118"/>
      <c r="J4050" s="118"/>
      <c r="L4050" s="125"/>
    </row>
    <row r="4051" spans="1:12" x14ac:dyDescent="0.25">
      <c r="A4051" s="115"/>
      <c r="B4051" s="115"/>
      <c r="C4051" s="115"/>
      <c r="D4051" s="115"/>
      <c r="E4051" s="115"/>
      <c r="F4051" s="115"/>
      <c r="G4051" s="116"/>
      <c r="I4051" s="118"/>
      <c r="J4051" s="118"/>
      <c r="L4051" s="125"/>
    </row>
    <row r="4052" spans="1:12" x14ac:dyDescent="0.25">
      <c r="A4052" s="115"/>
      <c r="B4052" s="115"/>
      <c r="C4052" s="115"/>
      <c r="D4052" s="115"/>
      <c r="E4052" s="115"/>
      <c r="F4052" s="115"/>
      <c r="G4052" s="116"/>
      <c r="I4052" s="118"/>
      <c r="J4052" s="118"/>
      <c r="L4052" s="125"/>
    </row>
    <row r="4053" spans="1:12" x14ac:dyDescent="0.25">
      <c r="A4053" s="115"/>
      <c r="B4053" s="115"/>
      <c r="C4053" s="115"/>
      <c r="D4053" s="115"/>
      <c r="E4053" s="115"/>
      <c r="F4053" s="115"/>
      <c r="G4053" s="116"/>
      <c r="I4053" s="118"/>
      <c r="J4053" s="118"/>
      <c r="L4053" s="125"/>
    </row>
    <row r="4054" spans="1:12" x14ac:dyDescent="0.25">
      <c r="A4054" s="115"/>
      <c r="B4054" s="115"/>
      <c r="C4054" s="115"/>
      <c r="D4054" s="115"/>
      <c r="E4054" s="115"/>
      <c r="F4054" s="115"/>
      <c r="G4054" s="116"/>
      <c r="I4054" s="118"/>
      <c r="J4054" s="118"/>
      <c r="L4054" s="125"/>
    </row>
    <row r="4055" spans="1:12" x14ac:dyDescent="0.25">
      <c r="A4055" s="115"/>
      <c r="B4055" s="115"/>
      <c r="C4055" s="115"/>
      <c r="D4055" s="115"/>
      <c r="E4055" s="115"/>
      <c r="F4055" s="115"/>
      <c r="G4055" s="116"/>
      <c r="I4055" s="118"/>
      <c r="J4055" s="118"/>
      <c r="L4055" s="125"/>
    </row>
    <row r="4056" spans="1:12" x14ac:dyDescent="0.25">
      <c r="A4056" s="115"/>
      <c r="B4056" s="115"/>
      <c r="C4056" s="115"/>
      <c r="D4056" s="115"/>
      <c r="E4056" s="115"/>
      <c r="F4056" s="115"/>
      <c r="G4056" s="116"/>
      <c r="I4056" s="118"/>
      <c r="J4056" s="118"/>
      <c r="L4056" s="125"/>
    </row>
    <row r="4057" spans="1:12" x14ac:dyDescent="0.25">
      <c r="A4057" s="115"/>
      <c r="B4057" s="115"/>
      <c r="C4057" s="115"/>
      <c r="D4057" s="115"/>
      <c r="E4057" s="115"/>
      <c r="F4057" s="115"/>
      <c r="G4057" s="116"/>
      <c r="I4057" s="118"/>
      <c r="J4057" s="118"/>
      <c r="L4057" s="125"/>
    </row>
    <row r="4058" spans="1:12" x14ac:dyDescent="0.25">
      <c r="A4058" s="115"/>
      <c r="B4058" s="115"/>
      <c r="C4058" s="115"/>
      <c r="D4058" s="115"/>
      <c r="E4058" s="115"/>
      <c r="F4058" s="115"/>
      <c r="G4058" s="116"/>
      <c r="I4058" s="118"/>
      <c r="J4058" s="118"/>
      <c r="L4058" s="125"/>
    </row>
    <row r="4059" spans="1:12" x14ac:dyDescent="0.25">
      <c r="A4059" s="115"/>
      <c r="B4059" s="115"/>
      <c r="C4059" s="115"/>
      <c r="D4059" s="115"/>
      <c r="E4059" s="115"/>
      <c r="F4059" s="115"/>
      <c r="G4059" s="116"/>
      <c r="I4059" s="118"/>
      <c r="J4059" s="118"/>
      <c r="L4059" s="125"/>
    </row>
    <row r="4060" spans="1:12" x14ac:dyDescent="0.25">
      <c r="A4060" s="115"/>
      <c r="B4060" s="115"/>
      <c r="C4060" s="115"/>
      <c r="D4060" s="115"/>
      <c r="E4060" s="115"/>
      <c r="F4060" s="115"/>
      <c r="G4060" s="116"/>
      <c r="I4060" s="118"/>
      <c r="J4060" s="118"/>
      <c r="L4060" s="125"/>
    </row>
    <row r="4061" spans="1:12" x14ac:dyDescent="0.25">
      <c r="A4061" s="115"/>
      <c r="B4061" s="115"/>
      <c r="C4061" s="115"/>
      <c r="D4061" s="115"/>
      <c r="E4061" s="115"/>
      <c r="F4061" s="115"/>
      <c r="G4061" s="116"/>
      <c r="I4061" s="118"/>
      <c r="J4061" s="118"/>
      <c r="L4061" s="125"/>
    </row>
    <row r="4062" spans="1:12" x14ac:dyDescent="0.25">
      <c r="A4062" s="115"/>
      <c r="B4062" s="115"/>
      <c r="C4062" s="115"/>
      <c r="D4062" s="115"/>
      <c r="E4062" s="115"/>
      <c r="F4062" s="115"/>
      <c r="G4062" s="116"/>
      <c r="I4062" s="118"/>
      <c r="J4062" s="118"/>
      <c r="L4062" s="125"/>
    </row>
    <row r="4063" spans="1:12" x14ac:dyDescent="0.25">
      <c r="A4063" s="115"/>
      <c r="B4063" s="115"/>
      <c r="C4063" s="115"/>
      <c r="D4063" s="115"/>
      <c r="E4063" s="115"/>
      <c r="F4063" s="115"/>
      <c r="G4063" s="116"/>
      <c r="I4063" s="118"/>
      <c r="J4063" s="118"/>
      <c r="L4063" s="125"/>
    </row>
    <row r="4064" spans="1:12" x14ac:dyDescent="0.25">
      <c r="A4064" s="115"/>
      <c r="B4064" s="115"/>
      <c r="C4064" s="115"/>
      <c r="D4064" s="115"/>
      <c r="E4064" s="115"/>
      <c r="F4064" s="115"/>
      <c r="G4064" s="116"/>
      <c r="I4064" s="118"/>
      <c r="J4064" s="118"/>
      <c r="L4064" s="125"/>
    </row>
    <row r="4065" spans="1:12" x14ac:dyDescent="0.25">
      <c r="A4065" s="115"/>
      <c r="B4065" s="115"/>
      <c r="C4065" s="115"/>
      <c r="D4065" s="115"/>
      <c r="E4065" s="115"/>
      <c r="F4065" s="115"/>
      <c r="G4065" s="116"/>
      <c r="I4065" s="118"/>
      <c r="J4065" s="118"/>
      <c r="L4065" s="125"/>
    </row>
    <row r="4066" spans="1:12" x14ac:dyDescent="0.25">
      <c r="A4066" s="115"/>
      <c r="B4066" s="115"/>
      <c r="C4066" s="115"/>
      <c r="D4066" s="115"/>
      <c r="E4066" s="115"/>
      <c r="F4066" s="115"/>
      <c r="G4066" s="116"/>
      <c r="I4066" s="118"/>
      <c r="J4066" s="118"/>
      <c r="L4066" s="125"/>
    </row>
    <row r="4067" spans="1:12" x14ac:dyDescent="0.25">
      <c r="A4067" s="115"/>
      <c r="B4067" s="115"/>
      <c r="C4067" s="115"/>
      <c r="D4067" s="115"/>
      <c r="E4067" s="115"/>
      <c r="F4067" s="115"/>
      <c r="G4067" s="116"/>
      <c r="I4067" s="118"/>
      <c r="J4067" s="118"/>
      <c r="L4067" s="125"/>
    </row>
    <row r="4068" spans="1:12" x14ac:dyDescent="0.25">
      <c r="A4068" s="115"/>
      <c r="B4068" s="115"/>
      <c r="C4068" s="115"/>
      <c r="D4068" s="115"/>
      <c r="E4068" s="115"/>
      <c r="F4068" s="115"/>
      <c r="G4068" s="116"/>
      <c r="I4068" s="118"/>
      <c r="J4068" s="118"/>
      <c r="L4068" s="125"/>
    </row>
    <row r="4069" spans="1:12" x14ac:dyDescent="0.25">
      <c r="A4069" s="115"/>
      <c r="B4069" s="115"/>
      <c r="C4069" s="115"/>
      <c r="D4069" s="115"/>
      <c r="E4069" s="115"/>
      <c r="F4069" s="115"/>
      <c r="G4069" s="116"/>
      <c r="I4069" s="118"/>
      <c r="J4069" s="118"/>
      <c r="L4069" s="125"/>
    </row>
    <row r="4070" spans="1:12" x14ac:dyDescent="0.25">
      <c r="A4070" s="115"/>
      <c r="B4070" s="115"/>
      <c r="C4070" s="115"/>
      <c r="D4070" s="115"/>
      <c r="E4070" s="115"/>
      <c r="F4070" s="115"/>
      <c r="G4070" s="116"/>
      <c r="I4070" s="118"/>
      <c r="J4070" s="118"/>
      <c r="L4070" s="125"/>
    </row>
    <row r="4071" spans="1:12" x14ac:dyDescent="0.25">
      <c r="A4071" s="115"/>
      <c r="B4071" s="115"/>
      <c r="C4071" s="115"/>
      <c r="D4071" s="115"/>
      <c r="E4071" s="115"/>
      <c r="F4071" s="115"/>
      <c r="G4071" s="116"/>
      <c r="I4071" s="118"/>
      <c r="J4071" s="118"/>
      <c r="L4071" s="125"/>
    </row>
    <row r="4072" spans="1:12" x14ac:dyDescent="0.25">
      <c r="A4072" s="115"/>
      <c r="B4072" s="115"/>
      <c r="C4072" s="115"/>
      <c r="D4072" s="115"/>
      <c r="E4072" s="115"/>
      <c r="F4072" s="115"/>
      <c r="G4072" s="116"/>
      <c r="I4072" s="118"/>
      <c r="J4072" s="118"/>
      <c r="L4072" s="125"/>
    </row>
    <row r="4073" spans="1:12" x14ac:dyDescent="0.25">
      <c r="A4073" s="115"/>
      <c r="B4073" s="115"/>
      <c r="C4073" s="115"/>
      <c r="D4073" s="115"/>
      <c r="E4073" s="115"/>
      <c r="F4073" s="115"/>
      <c r="G4073" s="116"/>
      <c r="I4073" s="118"/>
      <c r="J4073" s="118"/>
      <c r="L4073" s="125"/>
    </row>
    <row r="4074" spans="1:12" x14ac:dyDescent="0.25">
      <c r="A4074" s="115"/>
      <c r="B4074" s="115"/>
      <c r="C4074" s="115"/>
      <c r="D4074" s="115"/>
      <c r="E4074" s="115"/>
      <c r="F4074" s="115"/>
      <c r="G4074" s="116"/>
      <c r="I4074" s="118"/>
      <c r="J4074" s="118"/>
      <c r="L4074" s="125"/>
    </row>
    <row r="4075" spans="1:12" x14ac:dyDescent="0.25">
      <c r="A4075" s="115"/>
      <c r="B4075" s="115"/>
      <c r="C4075" s="115"/>
      <c r="D4075" s="115"/>
      <c r="E4075" s="115"/>
      <c r="F4075" s="115"/>
      <c r="G4075" s="116"/>
      <c r="I4075" s="118"/>
      <c r="J4075" s="118"/>
      <c r="L4075" s="125"/>
    </row>
    <row r="4076" spans="1:12" x14ac:dyDescent="0.25">
      <c r="A4076" s="115"/>
      <c r="B4076" s="115"/>
      <c r="C4076" s="115"/>
      <c r="D4076" s="115"/>
      <c r="E4076" s="115"/>
      <c r="F4076" s="115"/>
      <c r="G4076" s="116"/>
      <c r="I4076" s="118"/>
      <c r="J4076" s="118"/>
      <c r="L4076" s="125"/>
    </row>
    <row r="4077" spans="1:12" x14ac:dyDescent="0.25">
      <c r="A4077" s="115"/>
      <c r="B4077" s="115"/>
      <c r="C4077" s="115"/>
      <c r="D4077" s="115"/>
      <c r="E4077" s="115"/>
      <c r="F4077" s="115"/>
      <c r="G4077" s="116"/>
      <c r="I4077" s="118"/>
      <c r="J4077" s="118"/>
      <c r="L4077" s="125"/>
    </row>
    <row r="4078" spans="1:12" x14ac:dyDescent="0.25">
      <c r="A4078" s="115"/>
      <c r="B4078" s="115"/>
      <c r="C4078" s="115"/>
      <c r="D4078" s="115"/>
      <c r="E4078" s="115"/>
      <c r="F4078" s="115"/>
      <c r="G4078" s="116"/>
      <c r="I4078" s="118"/>
      <c r="J4078" s="118"/>
      <c r="L4078" s="125"/>
    </row>
    <row r="4079" spans="1:12" x14ac:dyDescent="0.25">
      <c r="A4079" s="115"/>
      <c r="B4079" s="115"/>
      <c r="C4079" s="115"/>
      <c r="D4079" s="115"/>
      <c r="E4079" s="115"/>
      <c r="F4079" s="115"/>
      <c r="G4079" s="116"/>
      <c r="I4079" s="118"/>
      <c r="J4079" s="118"/>
      <c r="L4079" s="125"/>
    </row>
    <row r="4080" spans="1:12" x14ac:dyDescent="0.25">
      <c r="A4080" s="115"/>
      <c r="B4080" s="115"/>
      <c r="C4080" s="115"/>
      <c r="D4080" s="115"/>
      <c r="E4080" s="115"/>
      <c r="F4080" s="115"/>
      <c r="G4080" s="116"/>
      <c r="I4080" s="118"/>
      <c r="J4080" s="118"/>
      <c r="L4080" s="125"/>
    </row>
    <row r="4081" spans="1:12" x14ac:dyDescent="0.25">
      <c r="A4081" s="115"/>
      <c r="B4081" s="115"/>
      <c r="C4081" s="115"/>
      <c r="D4081" s="115"/>
      <c r="E4081" s="115"/>
      <c r="F4081" s="115"/>
      <c r="G4081" s="116"/>
      <c r="I4081" s="118"/>
      <c r="J4081" s="118"/>
      <c r="L4081" s="125"/>
    </row>
    <row r="4082" spans="1:12" x14ac:dyDescent="0.25">
      <c r="A4082" s="115"/>
      <c r="B4082" s="115"/>
      <c r="C4082" s="115"/>
      <c r="D4082" s="115"/>
      <c r="E4082" s="115"/>
      <c r="F4082" s="115"/>
      <c r="G4082" s="116"/>
      <c r="I4082" s="118"/>
      <c r="J4082" s="118"/>
      <c r="L4082" s="125"/>
    </row>
    <row r="4083" spans="1:12" x14ac:dyDescent="0.25">
      <c r="A4083" s="115"/>
      <c r="B4083" s="115"/>
      <c r="C4083" s="115"/>
      <c r="D4083" s="115"/>
      <c r="E4083" s="115"/>
      <c r="F4083" s="115"/>
      <c r="G4083" s="116"/>
      <c r="I4083" s="118"/>
      <c r="J4083" s="118"/>
      <c r="L4083" s="125"/>
    </row>
    <row r="4084" spans="1:12" x14ac:dyDescent="0.25">
      <c r="A4084" s="115"/>
      <c r="B4084" s="115"/>
      <c r="C4084" s="115"/>
      <c r="D4084" s="115"/>
      <c r="E4084" s="115"/>
      <c r="F4084" s="115"/>
      <c r="G4084" s="116"/>
      <c r="I4084" s="118"/>
      <c r="J4084" s="118"/>
      <c r="L4084" s="125"/>
    </row>
    <row r="4085" spans="1:12" x14ac:dyDescent="0.25">
      <c r="A4085" s="115"/>
      <c r="B4085" s="115"/>
      <c r="C4085" s="115"/>
      <c r="D4085" s="115"/>
      <c r="E4085" s="115"/>
      <c r="F4085" s="115"/>
      <c r="G4085" s="116"/>
      <c r="I4085" s="118"/>
      <c r="J4085" s="118"/>
      <c r="L4085" s="125"/>
    </row>
    <row r="4086" spans="1:12" x14ac:dyDescent="0.25">
      <c r="A4086" s="115"/>
      <c r="B4086" s="115"/>
      <c r="C4086" s="115"/>
      <c r="D4086" s="115"/>
      <c r="E4086" s="115"/>
      <c r="F4086" s="115"/>
      <c r="G4086" s="116"/>
      <c r="I4086" s="118"/>
      <c r="J4086" s="118"/>
      <c r="L4086" s="125"/>
    </row>
    <row r="4087" spans="1:12" x14ac:dyDescent="0.25">
      <c r="A4087" s="115"/>
      <c r="B4087" s="115"/>
      <c r="C4087" s="115"/>
      <c r="D4087" s="115"/>
      <c r="E4087" s="115"/>
      <c r="F4087" s="115"/>
      <c r="G4087" s="116"/>
      <c r="I4087" s="118"/>
      <c r="J4087" s="118"/>
      <c r="L4087" s="125"/>
    </row>
    <row r="4088" spans="1:12" x14ac:dyDescent="0.25">
      <c r="A4088" s="115"/>
      <c r="B4088" s="115"/>
      <c r="C4088" s="115"/>
      <c r="D4088" s="115"/>
      <c r="E4088" s="115"/>
      <c r="F4088" s="115"/>
      <c r="G4088" s="116"/>
      <c r="I4088" s="118"/>
      <c r="J4088" s="118"/>
      <c r="L4088" s="125"/>
    </row>
    <row r="4089" spans="1:12" x14ac:dyDescent="0.25">
      <c r="A4089" s="115"/>
      <c r="B4089" s="115"/>
      <c r="C4089" s="115"/>
      <c r="D4089" s="115"/>
      <c r="E4089" s="115"/>
      <c r="F4089" s="115"/>
      <c r="G4089" s="116"/>
      <c r="I4089" s="118"/>
      <c r="J4089" s="118"/>
      <c r="L4089" s="125"/>
    </row>
    <row r="4090" spans="1:12" x14ac:dyDescent="0.25">
      <c r="A4090" s="115"/>
      <c r="B4090" s="115"/>
      <c r="C4090" s="115"/>
      <c r="D4090" s="115"/>
      <c r="E4090" s="115"/>
      <c r="F4090" s="115"/>
      <c r="G4090" s="116"/>
      <c r="I4090" s="118"/>
      <c r="J4090" s="118"/>
      <c r="L4090" s="125"/>
    </row>
    <row r="4091" spans="1:12" x14ac:dyDescent="0.25">
      <c r="A4091" s="115"/>
      <c r="B4091" s="115"/>
      <c r="C4091" s="115"/>
      <c r="D4091" s="115"/>
      <c r="E4091" s="115"/>
      <c r="F4091" s="115"/>
      <c r="G4091" s="116"/>
      <c r="I4091" s="118"/>
      <c r="J4091" s="118"/>
      <c r="L4091" s="125"/>
    </row>
    <row r="4092" spans="1:12" x14ac:dyDescent="0.25">
      <c r="A4092" s="115"/>
      <c r="B4092" s="115"/>
      <c r="C4092" s="115"/>
      <c r="D4092" s="115"/>
      <c r="E4092" s="115"/>
      <c r="F4092" s="115"/>
      <c r="G4092" s="116"/>
      <c r="I4092" s="118"/>
      <c r="J4092" s="118"/>
      <c r="L4092" s="125"/>
    </row>
    <row r="4093" spans="1:12" x14ac:dyDescent="0.25">
      <c r="A4093" s="115"/>
      <c r="B4093" s="115"/>
      <c r="C4093" s="115"/>
      <c r="D4093" s="115"/>
      <c r="E4093" s="115"/>
      <c r="F4093" s="115"/>
      <c r="G4093" s="116"/>
      <c r="I4093" s="118"/>
      <c r="J4093" s="118"/>
      <c r="L4093" s="125"/>
    </row>
    <row r="4094" spans="1:12" x14ac:dyDescent="0.25">
      <c r="A4094" s="115"/>
      <c r="B4094" s="115"/>
      <c r="C4094" s="115"/>
      <c r="D4094" s="115"/>
      <c r="E4094" s="115"/>
      <c r="F4094" s="115"/>
      <c r="G4094" s="116"/>
      <c r="I4094" s="118"/>
      <c r="J4094" s="118"/>
      <c r="L4094" s="125"/>
    </row>
    <row r="4095" spans="1:12" x14ac:dyDescent="0.25">
      <c r="A4095" s="115"/>
      <c r="B4095" s="115"/>
      <c r="C4095" s="115"/>
      <c r="D4095" s="115"/>
      <c r="E4095" s="115"/>
      <c r="F4095" s="115"/>
      <c r="G4095" s="116"/>
      <c r="I4095" s="118"/>
      <c r="J4095" s="118"/>
      <c r="L4095" s="125"/>
    </row>
    <row r="4096" spans="1:12" x14ac:dyDescent="0.25">
      <c r="A4096" s="115"/>
      <c r="B4096" s="115"/>
      <c r="C4096" s="115"/>
      <c r="D4096" s="115"/>
      <c r="E4096" s="115"/>
      <c r="F4096" s="115"/>
      <c r="G4096" s="116"/>
      <c r="I4096" s="118"/>
      <c r="J4096" s="118"/>
      <c r="L4096" s="125"/>
    </row>
    <row r="4097" spans="1:12" x14ac:dyDescent="0.25">
      <c r="A4097" s="115"/>
      <c r="B4097" s="115"/>
      <c r="C4097" s="115"/>
      <c r="D4097" s="115"/>
      <c r="E4097" s="115"/>
      <c r="F4097" s="115"/>
      <c r="G4097" s="116"/>
      <c r="I4097" s="118"/>
      <c r="J4097" s="118"/>
      <c r="L4097" s="125"/>
    </row>
    <row r="4098" spans="1:12" x14ac:dyDescent="0.25">
      <c r="A4098" s="115"/>
      <c r="B4098" s="115"/>
      <c r="C4098" s="115"/>
      <c r="D4098" s="115"/>
      <c r="E4098" s="115"/>
      <c r="F4098" s="115"/>
      <c r="G4098" s="116"/>
      <c r="I4098" s="118"/>
      <c r="J4098" s="118"/>
      <c r="L4098" s="125"/>
    </row>
    <row r="4099" spans="1:12" x14ac:dyDescent="0.25">
      <c r="A4099" s="115"/>
      <c r="B4099" s="115"/>
      <c r="C4099" s="115"/>
      <c r="D4099" s="115"/>
      <c r="E4099" s="115"/>
      <c r="F4099" s="115"/>
      <c r="G4099" s="116"/>
      <c r="I4099" s="118"/>
      <c r="J4099" s="118"/>
      <c r="L4099" s="125"/>
    </row>
    <row r="4100" spans="1:12" x14ac:dyDescent="0.25">
      <c r="A4100" s="115"/>
      <c r="B4100" s="115"/>
      <c r="C4100" s="115"/>
      <c r="D4100" s="115"/>
      <c r="E4100" s="115"/>
      <c r="F4100" s="115"/>
      <c r="G4100" s="116"/>
      <c r="I4100" s="118"/>
      <c r="J4100" s="118"/>
      <c r="L4100" s="125"/>
    </row>
    <row r="4101" spans="1:12" x14ac:dyDescent="0.25">
      <c r="A4101" s="115"/>
      <c r="B4101" s="115"/>
      <c r="C4101" s="115"/>
      <c r="D4101" s="115"/>
      <c r="E4101" s="115"/>
      <c r="F4101" s="115"/>
      <c r="G4101" s="116"/>
      <c r="I4101" s="118"/>
      <c r="J4101" s="118"/>
      <c r="L4101" s="125"/>
    </row>
    <row r="4102" spans="1:12" x14ac:dyDescent="0.25">
      <c r="A4102" s="115"/>
      <c r="B4102" s="115"/>
      <c r="C4102" s="115"/>
      <c r="D4102" s="115"/>
      <c r="E4102" s="115"/>
      <c r="F4102" s="115"/>
      <c r="G4102" s="116"/>
      <c r="I4102" s="118"/>
      <c r="J4102" s="118"/>
      <c r="L4102" s="125"/>
    </row>
    <row r="4103" spans="1:12" x14ac:dyDescent="0.25">
      <c r="A4103" s="115"/>
      <c r="B4103" s="115"/>
      <c r="C4103" s="115"/>
      <c r="D4103" s="115"/>
      <c r="E4103" s="115"/>
      <c r="F4103" s="115"/>
      <c r="G4103" s="116"/>
      <c r="I4103" s="118"/>
      <c r="J4103" s="118"/>
      <c r="L4103" s="125"/>
    </row>
    <row r="4104" spans="1:12" x14ac:dyDescent="0.25">
      <c r="A4104" s="115"/>
      <c r="B4104" s="115"/>
      <c r="C4104" s="115"/>
      <c r="D4104" s="115"/>
      <c r="E4104" s="115"/>
      <c r="F4104" s="115"/>
      <c r="G4104" s="116"/>
      <c r="I4104" s="118"/>
      <c r="J4104" s="118"/>
      <c r="L4104" s="125"/>
    </row>
    <row r="4105" spans="1:12" x14ac:dyDescent="0.25">
      <c r="A4105" s="115"/>
      <c r="B4105" s="115"/>
      <c r="C4105" s="115"/>
      <c r="D4105" s="115"/>
      <c r="E4105" s="115"/>
      <c r="F4105" s="115"/>
      <c r="G4105" s="116"/>
      <c r="I4105" s="118"/>
      <c r="J4105" s="118"/>
      <c r="L4105" s="125"/>
    </row>
    <row r="4106" spans="1:12" x14ac:dyDescent="0.25">
      <c r="A4106" s="115"/>
      <c r="B4106" s="115"/>
      <c r="C4106" s="115"/>
      <c r="D4106" s="115"/>
      <c r="E4106" s="115"/>
      <c r="F4106" s="115"/>
      <c r="G4106" s="116"/>
      <c r="I4106" s="118"/>
      <c r="J4106" s="118"/>
      <c r="L4106" s="125"/>
    </row>
    <row r="4107" spans="1:12" x14ac:dyDescent="0.25">
      <c r="A4107" s="115"/>
      <c r="B4107" s="115"/>
      <c r="C4107" s="115"/>
      <c r="D4107" s="115"/>
      <c r="E4107" s="115"/>
      <c r="F4107" s="115"/>
      <c r="G4107" s="116"/>
      <c r="I4107" s="118"/>
      <c r="J4107" s="118"/>
      <c r="L4107" s="125"/>
    </row>
    <row r="4108" spans="1:12" x14ac:dyDescent="0.25">
      <c r="A4108" s="115"/>
      <c r="B4108" s="115"/>
      <c r="C4108" s="115"/>
      <c r="D4108" s="115"/>
      <c r="E4108" s="115"/>
      <c r="F4108" s="115"/>
      <c r="G4108" s="116"/>
      <c r="I4108" s="118"/>
      <c r="J4108" s="118"/>
      <c r="L4108" s="125"/>
    </row>
    <row r="4109" spans="1:12" x14ac:dyDescent="0.25">
      <c r="A4109" s="115"/>
      <c r="B4109" s="115"/>
      <c r="C4109" s="115"/>
      <c r="D4109" s="115"/>
      <c r="E4109" s="115"/>
      <c r="F4109" s="115"/>
      <c r="G4109" s="116"/>
      <c r="I4109" s="118"/>
      <c r="J4109" s="118"/>
      <c r="L4109" s="125"/>
    </row>
    <row r="4110" spans="1:12" x14ac:dyDescent="0.25">
      <c r="A4110" s="115"/>
      <c r="B4110" s="115"/>
      <c r="C4110" s="115"/>
      <c r="D4110" s="115"/>
      <c r="E4110" s="115"/>
      <c r="F4110" s="115"/>
      <c r="G4110" s="116"/>
      <c r="I4110" s="118"/>
      <c r="J4110" s="118"/>
      <c r="L4110" s="125"/>
    </row>
    <row r="4111" spans="1:12" x14ac:dyDescent="0.25">
      <c r="A4111" s="115"/>
      <c r="B4111" s="115"/>
      <c r="C4111" s="115"/>
      <c r="D4111" s="115"/>
      <c r="E4111" s="115"/>
      <c r="F4111" s="115"/>
      <c r="G4111" s="116"/>
      <c r="I4111" s="118"/>
      <c r="J4111" s="118"/>
      <c r="L4111" s="125"/>
    </row>
    <row r="4112" spans="1:12" x14ac:dyDescent="0.25">
      <c r="A4112" s="115"/>
      <c r="B4112" s="115"/>
      <c r="C4112" s="115"/>
      <c r="D4112" s="115"/>
      <c r="E4112" s="115"/>
      <c r="F4112" s="115"/>
      <c r="G4112" s="116"/>
      <c r="I4112" s="118"/>
      <c r="J4112" s="118"/>
      <c r="L4112" s="125"/>
    </row>
    <row r="4113" spans="1:12" x14ac:dyDescent="0.25">
      <c r="A4113" s="115"/>
      <c r="B4113" s="115"/>
      <c r="C4113" s="115"/>
      <c r="D4113" s="115"/>
      <c r="E4113" s="115"/>
      <c r="F4113" s="115"/>
      <c r="G4113" s="116"/>
      <c r="I4113" s="118"/>
      <c r="J4113" s="118"/>
      <c r="L4113" s="125"/>
    </row>
    <row r="4114" spans="1:12" x14ac:dyDescent="0.25">
      <c r="A4114" s="115"/>
      <c r="B4114" s="115"/>
      <c r="C4114" s="115"/>
      <c r="D4114" s="115"/>
      <c r="E4114" s="115"/>
      <c r="F4114" s="115"/>
      <c r="G4114" s="116"/>
      <c r="I4114" s="118"/>
      <c r="J4114" s="118"/>
      <c r="L4114" s="125"/>
    </row>
    <row r="4115" spans="1:12" x14ac:dyDescent="0.25">
      <c r="A4115" s="115"/>
      <c r="B4115" s="115"/>
      <c r="C4115" s="115"/>
      <c r="D4115" s="115"/>
      <c r="E4115" s="115"/>
      <c r="F4115" s="115"/>
      <c r="G4115" s="116"/>
      <c r="I4115" s="118"/>
      <c r="J4115" s="118"/>
      <c r="L4115" s="125"/>
    </row>
    <row r="4116" spans="1:12" x14ac:dyDescent="0.25">
      <c r="A4116" s="115"/>
      <c r="B4116" s="115"/>
      <c r="C4116" s="115"/>
      <c r="D4116" s="115"/>
      <c r="E4116" s="115"/>
      <c r="F4116" s="115"/>
      <c r="G4116" s="116"/>
      <c r="I4116" s="118"/>
      <c r="J4116" s="118"/>
      <c r="L4116" s="125"/>
    </row>
    <row r="4117" spans="1:12" x14ac:dyDescent="0.25">
      <c r="A4117" s="115"/>
      <c r="B4117" s="115"/>
      <c r="C4117" s="115"/>
      <c r="D4117" s="115"/>
      <c r="E4117" s="115"/>
      <c r="F4117" s="115"/>
      <c r="G4117" s="116"/>
      <c r="I4117" s="118"/>
      <c r="J4117" s="118"/>
      <c r="L4117" s="125"/>
    </row>
    <row r="4118" spans="1:12" x14ac:dyDescent="0.25">
      <c r="A4118" s="115"/>
      <c r="B4118" s="115"/>
      <c r="C4118" s="115"/>
      <c r="D4118" s="115"/>
      <c r="E4118" s="115"/>
      <c r="F4118" s="115"/>
      <c r="G4118" s="116"/>
      <c r="I4118" s="118"/>
      <c r="J4118" s="118"/>
      <c r="L4118" s="125"/>
    </row>
    <row r="4119" spans="1:12" x14ac:dyDescent="0.25">
      <c r="A4119" s="115"/>
      <c r="B4119" s="115"/>
      <c r="C4119" s="115"/>
      <c r="D4119" s="115"/>
      <c r="E4119" s="115"/>
      <c r="F4119" s="115"/>
      <c r="G4119" s="116"/>
      <c r="I4119" s="118"/>
      <c r="J4119" s="118"/>
      <c r="L4119" s="125"/>
    </row>
    <row r="4120" spans="1:12" x14ac:dyDescent="0.25">
      <c r="A4120" s="115"/>
      <c r="B4120" s="115"/>
      <c r="C4120" s="115"/>
      <c r="D4120" s="115"/>
      <c r="E4120" s="115"/>
      <c r="F4120" s="115"/>
      <c r="G4120" s="116"/>
      <c r="I4120" s="118"/>
      <c r="J4120" s="118"/>
      <c r="L4120" s="125"/>
    </row>
    <row r="4121" spans="1:12" x14ac:dyDescent="0.25">
      <c r="A4121" s="115"/>
      <c r="B4121" s="115"/>
      <c r="C4121" s="115"/>
      <c r="D4121" s="115"/>
      <c r="E4121" s="115"/>
      <c r="F4121" s="115"/>
      <c r="G4121" s="116"/>
      <c r="I4121" s="118"/>
      <c r="J4121" s="118"/>
      <c r="L4121" s="125"/>
    </row>
    <row r="4122" spans="1:12" x14ac:dyDescent="0.25">
      <c r="A4122" s="115"/>
      <c r="B4122" s="115"/>
      <c r="C4122" s="115"/>
      <c r="D4122" s="115"/>
      <c r="E4122" s="115"/>
      <c r="F4122" s="115"/>
      <c r="G4122" s="116"/>
      <c r="I4122" s="118"/>
      <c r="J4122" s="118"/>
      <c r="L4122" s="125"/>
    </row>
    <row r="4123" spans="1:12" x14ac:dyDescent="0.25">
      <c r="A4123" s="115"/>
      <c r="B4123" s="115"/>
      <c r="C4123" s="115"/>
      <c r="D4123" s="115"/>
      <c r="E4123" s="115"/>
      <c r="F4123" s="115"/>
      <c r="G4123" s="116"/>
      <c r="I4123" s="118"/>
      <c r="J4123" s="118"/>
      <c r="L4123" s="125"/>
    </row>
    <row r="4124" spans="1:12" x14ac:dyDescent="0.25">
      <c r="A4124" s="115"/>
      <c r="B4124" s="115"/>
      <c r="C4124" s="115"/>
      <c r="D4124" s="115"/>
      <c r="E4124" s="115"/>
      <c r="F4124" s="115"/>
      <c r="G4124" s="116"/>
      <c r="I4124" s="118"/>
      <c r="J4124" s="118"/>
      <c r="L4124" s="125"/>
    </row>
    <row r="4125" spans="1:12" x14ac:dyDescent="0.25">
      <c r="A4125" s="115"/>
      <c r="B4125" s="115"/>
      <c r="C4125" s="115"/>
      <c r="D4125" s="115"/>
      <c r="E4125" s="115"/>
      <c r="F4125" s="115"/>
      <c r="G4125" s="116"/>
      <c r="I4125" s="118"/>
      <c r="J4125" s="118"/>
      <c r="L4125" s="125"/>
    </row>
    <row r="4126" spans="1:12" x14ac:dyDescent="0.25">
      <c r="A4126" s="115"/>
      <c r="B4126" s="115"/>
      <c r="C4126" s="115"/>
      <c r="D4126" s="115"/>
      <c r="E4126" s="115"/>
      <c r="F4126" s="115"/>
      <c r="G4126" s="116"/>
      <c r="I4126" s="118"/>
      <c r="J4126" s="118"/>
      <c r="L4126" s="125"/>
    </row>
    <row r="4127" spans="1:12" x14ac:dyDescent="0.25">
      <c r="A4127" s="115"/>
      <c r="B4127" s="115"/>
      <c r="C4127" s="115"/>
      <c r="D4127" s="115"/>
      <c r="E4127" s="115"/>
      <c r="F4127" s="115"/>
      <c r="G4127" s="116"/>
      <c r="I4127" s="118"/>
      <c r="J4127" s="118"/>
      <c r="L4127" s="125"/>
    </row>
    <row r="4128" spans="1:12" x14ac:dyDescent="0.25">
      <c r="A4128" s="115"/>
      <c r="B4128" s="115"/>
      <c r="C4128" s="115"/>
      <c r="D4128" s="115"/>
      <c r="E4128" s="115"/>
      <c r="F4128" s="115"/>
      <c r="G4128" s="116"/>
      <c r="I4128" s="118"/>
      <c r="J4128" s="118"/>
      <c r="L4128" s="125"/>
    </row>
    <row r="4129" spans="1:12" x14ac:dyDescent="0.25">
      <c r="A4129" s="115"/>
      <c r="B4129" s="115"/>
      <c r="C4129" s="115"/>
      <c r="D4129" s="115"/>
      <c r="E4129" s="115"/>
      <c r="F4129" s="115"/>
      <c r="G4129" s="116"/>
      <c r="I4129" s="118"/>
      <c r="J4129" s="118"/>
      <c r="L4129" s="125"/>
    </row>
    <row r="4130" spans="1:12" x14ac:dyDescent="0.25">
      <c r="A4130" s="115"/>
      <c r="B4130" s="115"/>
      <c r="C4130" s="115"/>
      <c r="D4130" s="115"/>
      <c r="E4130" s="115"/>
      <c r="F4130" s="115"/>
      <c r="G4130" s="116"/>
      <c r="I4130" s="118"/>
      <c r="J4130" s="118"/>
      <c r="L4130" s="125"/>
    </row>
    <row r="4131" spans="1:12" x14ac:dyDescent="0.25">
      <c r="A4131" s="115"/>
      <c r="B4131" s="115"/>
      <c r="C4131" s="115"/>
      <c r="D4131" s="115"/>
      <c r="E4131" s="115"/>
      <c r="F4131" s="115"/>
      <c r="G4131" s="116"/>
      <c r="I4131" s="118"/>
      <c r="J4131" s="118"/>
      <c r="L4131" s="125"/>
    </row>
    <row r="4132" spans="1:12" x14ac:dyDescent="0.25">
      <c r="A4132" s="115"/>
      <c r="B4132" s="115"/>
      <c r="C4132" s="115"/>
      <c r="D4132" s="115"/>
      <c r="E4132" s="115"/>
      <c r="F4132" s="115"/>
      <c r="G4132" s="116"/>
      <c r="I4132" s="118"/>
      <c r="J4132" s="118"/>
      <c r="L4132" s="125"/>
    </row>
    <row r="4133" spans="1:12" x14ac:dyDescent="0.25">
      <c r="A4133" s="115"/>
      <c r="B4133" s="115"/>
      <c r="C4133" s="115"/>
      <c r="D4133" s="115"/>
      <c r="E4133" s="115"/>
      <c r="F4133" s="115"/>
      <c r="G4133" s="116"/>
      <c r="I4133" s="118"/>
      <c r="J4133" s="118"/>
      <c r="L4133" s="125"/>
    </row>
    <row r="4134" spans="1:12" x14ac:dyDescent="0.25">
      <c r="A4134" s="115"/>
      <c r="B4134" s="115"/>
      <c r="C4134" s="115"/>
      <c r="D4134" s="115"/>
      <c r="E4134" s="115"/>
      <c r="F4134" s="115"/>
      <c r="G4134" s="116"/>
      <c r="I4134" s="118"/>
      <c r="J4134" s="118"/>
      <c r="L4134" s="125"/>
    </row>
    <row r="4135" spans="1:12" x14ac:dyDescent="0.25">
      <c r="A4135" s="115"/>
      <c r="B4135" s="115"/>
      <c r="C4135" s="115"/>
      <c r="D4135" s="115"/>
      <c r="E4135" s="115"/>
      <c r="F4135" s="115"/>
      <c r="G4135" s="116"/>
      <c r="I4135" s="118"/>
      <c r="J4135" s="118"/>
      <c r="L4135" s="125"/>
    </row>
    <row r="4136" spans="1:12" x14ac:dyDescent="0.25">
      <c r="A4136" s="115"/>
      <c r="B4136" s="115"/>
      <c r="C4136" s="115"/>
      <c r="D4136" s="115"/>
      <c r="E4136" s="115"/>
      <c r="F4136" s="115"/>
      <c r="G4136" s="116"/>
      <c r="I4136" s="118"/>
      <c r="J4136" s="118"/>
      <c r="L4136" s="125"/>
    </row>
    <row r="4137" spans="1:12" x14ac:dyDescent="0.25">
      <c r="A4137" s="115"/>
      <c r="B4137" s="115"/>
      <c r="C4137" s="115"/>
      <c r="D4137" s="115"/>
      <c r="E4137" s="115"/>
      <c r="F4137" s="115"/>
      <c r="G4137" s="116"/>
      <c r="I4137" s="118"/>
      <c r="J4137" s="118"/>
      <c r="L4137" s="125"/>
    </row>
    <row r="4138" spans="1:12" x14ac:dyDescent="0.25">
      <c r="A4138" s="115"/>
      <c r="B4138" s="115"/>
      <c r="C4138" s="115"/>
      <c r="D4138" s="115"/>
      <c r="E4138" s="115"/>
      <c r="F4138" s="115"/>
      <c r="G4138" s="116"/>
      <c r="I4138" s="118"/>
      <c r="J4138" s="118"/>
      <c r="L4138" s="125"/>
    </row>
    <row r="4139" spans="1:12" x14ac:dyDescent="0.25">
      <c r="A4139" s="115"/>
      <c r="B4139" s="115"/>
      <c r="C4139" s="115"/>
      <c r="D4139" s="115"/>
      <c r="E4139" s="115"/>
      <c r="F4139" s="115"/>
      <c r="G4139" s="116"/>
      <c r="I4139" s="118"/>
      <c r="J4139" s="118"/>
      <c r="L4139" s="125"/>
    </row>
    <row r="4140" spans="1:12" x14ac:dyDescent="0.25">
      <c r="A4140" s="115"/>
      <c r="B4140" s="115"/>
      <c r="C4140" s="115"/>
      <c r="D4140" s="115"/>
      <c r="E4140" s="115"/>
      <c r="F4140" s="115"/>
      <c r="G4140" s="116"/>
      <c r="I4140" s="118"/>
      <c r="J4140" s="118"/>
      <c r="L4140" s="125"/>
    </row>
    <row r="4141" spans="1:12" x14ac:dyDescent="0.25">
      <c r="A4141" s="115"/>
      <c r="B4141" s="115"/>
      <c r="C4141" s="115"/>
      <c r="D4141" s="115"/>
      <c r="E4141" s="115"/>
      <c r="F4141" s="115"/>
      <c r="G4141" s="116"/>
      <c r="I4141" s="118"/>
      <c r="J4141" s="118"/>
      <c r="L4141" s="125"/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Y52"/>
  <sheetViews>
    <sheetView zoomScale="60" zoomScaleNormal="60" workbookViewId="0">
      <selection activeCell="D18" sqref="D18"/>
    </sheetView>
  </sheetViews>
  <sheetFormatPr defaultRowHeight="15.75" x14ac:dyDescent="0.25"/>
  <cols>
    <col min="1" max="1" width="3.28515625" style="39" customWidth="1"/>
    <col min="2" max="2" width="38.140625" style="39" customWidth="1"/>
    <col min="3" max="3" width="33.85546875" style="40" customWidth="1"/>
    <col min="4" max="4" width="33.85546875" style="41" customWidth="1"/>
    <col min="5" max="5" width="33.85546875" style="40" customWidth="1"/>
    <col min="6" max="19" width="33.7109375" style="40" customWidth="1"/>
    <col min="20" max="21" width="33.85546875" style="40" customWidth="1"/>
    <col min="22" max="86" width="33.85546875" style="39" customWidth="1"/>
    <col min="87" max="16384" width="9.140625" style="39"/>
  </cols>
  <sheetData>
    <row r="1" spans="2:25" ht="23.25" customHeight="1" thickBot="1" x14ac:dyDescent="0.3">
      <c r="D1" s="41" t="s">
        <v>2</v>
      </c>
    </row>
    <row r="2" spans="2:25" s="42" customFormat="1" ht="19.5" customHeight="1" thickBot="1" x14ac:dyDescent="0.3">
      <c r="B2" s="59" t="str">
        <f>IF(Lists!E4="","Empty",Lists!E4)</f>
        <v>Empty</v>
      </c>
      <c r="C2" s="78">
        <f>IF(B2="","",COUNTIF('Formatted Data'!E:E,'Headline Data'!B2))</f>
        <v>0</v>
      </c>
      <c r="D2" s="78">
        <f>IFERROR(COUNTIFS('Formatted Data'!$B:$B,#REF!,'Formatted Data'!$E:$E,$B2),"No Data")</f>
        <v>0</v>
      </c>
      <c r="E2" s="78">
        <f>IFERROR(COUNTIFS('Formatted Data'!$B:$B,#REF!,'Formatted Data'!$E:$E,$B2),"")</f>
        <v>0</v>
      </c>
      <c r="F2" s="78">
        <f>IFERROR(COUNTIFS('Formatted Data'!$B:$B,#REF!,'Formatted Data'!$E:$E,$B2),"")</f>
        <v>0</v>
      </c>
      <c r="G2" s="78">
        <f>IFERROR(COUNTIFS('Formatted Data'!$B:$B,#REF!,'Formatted Data'!$E:$E,$B2),"")</f>
        <v>0</v>
      </c>
      <c r="H2" s="78">
        <f>IFERROR(COUNTIFS('Formatted Data'!$B:$B,#REF!,'Formatted Data'!$E:$E,$B2),"")</f>
        <v>0</v>
      </c>
      <c r="I2" s="78">
        <f>IFERROR(COUNTIFS('Formatted Data'!$B:$B,#REF!,'Formatted Data'!$E:$E,$B2),"")</f>
        <v>0</v>
      </c>
      <c r="J2" s="78">
        <f>IFERROR(COUNTIFS('Formatted Data'!$B:$B,#REF!,'Formatted Data'!$E:$E,$B2),"")</f>
        <v>0</v>
      </c>
      <c r="K2" s="78">
        <f>IFERROR(COUNTIFS('Formatted Data'!$B:$B,#REF!,'Formatted Data'!$E:$E,$B2),"")</f>
        <v>0</v>
      </c>
      <c r="L2" s="78">
        <f>IFERROR(COUNTIFS('Formatted Data'!$B:$B,#REF!,'Formatted Data'!$E:$E,$B2),"")</f>
        <v>0</v>
      </c>
      <c r="M2" s="78">
        <f>IFERROR(COUNTIFS('Formatted Data'!$B:$B,#REF!,'Formatted Data'!$E:$E,$B2),"")</f>
        <v>0</v>
      </c>
      <c r="N2" s="78">
        <f>IFERROR(COUNTIFS('Formatted Data'!$B:$B,#REF!,'Formatted Data'!$E:$E,$B2),"")</f>
        <v>0</v>
      </c>
      <c r="O2" s="76">
        <f>IFERROR(COUNTIFS('Formatted Data'!$B:$B,#REF!,'Formatted Data'!$E:$E,$B2),"")</f>
        <v>0</v>
      </c>
      <c r="P2" s="76">
        <f>IFERROR(COUNTIFS('Formatted Data'!$B:$B,#REF!,'Formatted Data'!$E:$E,$B2),"")</f>
        <v>0</v>
      </c>
      <c r="Q2" s="76">
        <f>IFERROR(COUNTIFS('Formatted Data'!$B:$B,#REF!,'Formatted Data'!$E:$E,$B2),"")</f>
        <v>0</v>
      </c>
      <c r="R2" s="76">
        <f>IFERROR(COUNTIFS('Formatted Data'!$B:$B,#REF!,'Formatted Data'!$E:$E,$B2),"")</f>
        <v>0</v>
      </c>
      <c r="S2" s="76">
        <f>IFERROR(COUNTIFS('Formatted Data'!$B:$B,#REF!,'Formatted Data'!$E:$E,$B2),"")</f>
        <v>0</v>
      </c>
      <c r="T2" s="76">
        <f>IFERROR(COUNTIFS('Formatted Data'!$B:$B,#REF!,'Formatted Data'!$E:$E,$B2),"")</f>
        <v>0</v>
      </c>
      <c r="Y2" s="42" t="str">
        <f>IF(B2="","No","Yes")</f>
        <v>Yes</v>
      </c>
    </row>
    <row r="3" spans="2:25" s="42" customFormat="1" ht="19.5" customHeight="1" thickBot="1" x14ac:dyDescent="0.3">
      <c r="B3" s="59" t="str">
        <f>IF(Lists!E5="","Empty",Lists!E5)</f>
        <v>Empty</v>
      </c>
      <c r="C3" s="79">
        <f>IF(B3="","",COUNTIF('Formatted Data'!E:E,'Headline Data'!B3))</f>
        <v>0</v>
      </c>
      <c r="D3" s="79">
        <f>IFERROR(COUNTIFS('Formatted Data'!$B:$B,#REF!,'Formatted Data'!$E:$E,$B3),"")</f>
        <v>0</v>
      </c>
      <c r="E3" s="79">
        <f>IFERROR(COUNTIFS('Formatted Data'!$B:$B,#REF!,'Formatted Data'!$E:$E,$B3),"")</f>
        <v>0</v>
      </c>
      <c r="F3" s="79">
        <f>IFERROR(COUNTIFS('Formatted Data'!$B:$B,#REF!,'Formatted Data'!$E:$E,$B3),"")</f>
        <v>0</v>
      </c>
      <c r="G3" s="79">
        <f>IFERROR(COUNTIFS('Formatted Data'!$B:$B,#REF!,'Formatted Data'!$E:$E,$B3),"")</f>
        <v>0</v>
      </c>
      <c r="H3" s="79">
        <f>IFERROR(COUNTIFS('Formatted Data'!$B:$B,#REF!,'Formatted Data'!$E:$E,$B3),"")</f>
        <v>0</v>
      </c>
      <c r="I3" s="79">
        <f>IFERROR(COUNTIFS('Formatted Data'!$B:$B,#REF!,'Formatted Data'!$E:$E,$B3),"")</f>
        <v>0</v>
      </c>
      <c r="J3" s="79">
        <f>IFERROR(COUNTIFS('Formatted Data'!$B:$B,#REF!,'Formatted Data'!$E:$E,$B3),"")</f>
        <v>0</v>
      </c>
      <c r="K3" s="79">
        <f>IFERROR(COUNTIFS('Formatted Data'!$B:$B,#REF!,'Formatted Data'!$E:$E,$B3),"")</f>
        <v>0</v>
      </c>
      <c r="L3" s="79">
        <f>IFERROR(COUNTIFS('Formatted Data'!$B:$B,#REF!,'Formatted Data'!$E:$E,$B3),"")</f>
        <v>0</v>
      </c>
      <c r="M3" s="79">
        <f>IFERROR(COUNTIFS('Formatted Data'!$B:$B,#REF!,'Formatted Data'!$E:$E,$B3),"")</f>
        <v>0</v>
      </c>
      <c r="N3" s="79">
        <f>IFERROR(COUNTIFS('Formatted Data'!$B:$B,#REF!,'Formatted Data'!$E:$E,$B3),"")</f>
        <v>0</v>
      </c>
      <c r="O3" s="76">
        <f>IFERROR(COUNTIFS('Formatted Data'!$B:$B,#REF!,'Formatted Data'!$E:$E,$B3),"")</f>
        <v>0</v>
      </c>
      <c r="P3" s="76">
        <f>IFERROR(COUNTIFS('Formatted Data'!$B:$B,#REF!,'Formatted Data'!$E:$E,$B3),"")</f>
        <v>0</v>
      </c>
      <c r="Q3" s="76">
        <f>IFERROR(COUNTIFS('Formatted Data'!$B:$B,#REF!,'Formatted Data'!$E:$E,$B3),"")</f>
        <v>0</v>
      </c>
      <c r="R3" s="76">
        <f>IFERROR(COUNTIFS('Formatted Data'!$B:$B,#REF!,'Formatted Data'!$E:$E,$B3),"")</f>
        <v>0</v>
      </c>
      <c r="S3" s="76">
        <f>IFERROR(COUNTIFS('Formatted Data'!$B:$B,#REF!,'Formatted Data'!$E:$E,$B3),"")</f>
        <v>0</v>
      </c>
      <c r="T3" s="76">
        <f>IFERROR(COUNTIFS('Formatted Data'!$B:$B,#REF!,'Formatted Data'!$E:$E,$B3),"")</f>
        <v>0</v>
      </c>
      <c r="Y3" s="42" t="str">
        <f t="shared" ref="Y3:Y16" si="0">IF(B3="","No","Yes")</f>
        <v>Yes</v>
      </c>
    </row>
    <row r="4" spans="2:25" s="42" customFormat="1" ht="19.5" customHeight="1" thickBot="1" x14ac:dyDescent="0.3">
      <c r="B4" s="59" t="str">
        <f>IF(Lists!E6="","Empty",Lists!E6)</f>
        <v>Empty</v>
      </c>
      <c r="C4" s="79">
        <f>IF(B4="","",COUNTIF('Formatted Data'!E:E,'Headline Data'!B4))</f>
        <v>0</v>
      </c>
      <c r="D4" s="79">
        <f>IFERROR(COUNTIFS('Formatted Data'!$B:$B,#REF!,'Formatted Data'!$E:$E,$B4),"")</f>
        <v>0</v>
      </c>
      <c r="E4" s="79">
        <f>IFERROR(COUNTIFS('Formatted Data'!$B:$B,#REF!,'Formatted Data'!$E:$E,$B4),"")</f>
        <v>0</v>
      </c>
      <c r="F4" s="79">
        <f>IFERROR(COUNTIFS('Formatted Data'!$B:$B,#REF!,'Formatted Data'!$E:$E,$B4),"")</f>
        <v>0</v>
      </c>
      <c r="G4" s="79">
        <f>IFERROR(COUNTIFS('Formatted Data'!$B:$B,#REF!,'Formatted Data'!$E:$E,$B4),"")</f>
        <v>0</v>
      </c>
      <c r="H4" s="79">
        <f>IFERROR(COUNTIFS('Formatted Data'!$B:$B,#REF!,'Formatted Data'!$E:$E,$B4),"")</f>
        <v>0</v>
      </c>
      <c r="I4" s="79">
        <f>IFERROR(COUNTIFS('Formatted Data'!$B:$B,#REF!,'Formatted Data'!$E:$E,$B4),"")</f>
        <v>0</v>
      </c>
      <c r="J4" s="79">
        <f>IFERROR(COUNTIFS('Formatted Data'!$B:$B,#REF!,'Formatted Data'!$E:$E,$B4),"")</f>
        <v>0</v>
      </c>
      <c r="K4" s="79">
        <f>IFERROR(COUNTIFS('Formatted Data'!$B:$B,#REF!,'Formatted Data'!$E:$E,$B4),"")</f>
        <v>0</v>
      </c>
      <c r="L4" s="79">
        <f>IFERROR(COUNTIFS('Formatted Data'!$B:$B,#REF!,'Formatted Data'!$E:$E,$B4),"")</f>
        <v>0</v>
      </c>
      <c r="M4" s="79">
        <f>IFERROR(COUNTIFS('Formatted Data'!$B:$B,#REF!,'Formatted Data'!$E:$E,$B4),"")</f>
        <v>0</v>
      </c>
      <c r="N4" s="79">
        <f>IFERROR(COUNTIFS('Formatted Data'!$B:$B,#REF!,'Formatted Data'!$E:$E,$B4),"")</f>
        <v>0</v>
      </c>
      <c r="O4" s="76">
        <f>IFERROR(COUNTIFS('Formatted Data'!$B:$B,#REF!,'Formatted Data'!$E:$E,$B4),"")</f>
        <v>0</v>
      </c>
      <c r="P4" s="76">
        <f>IFERROR(COUNTIFS('Formatted Data'!$B:$B,#REF!,'Formatted Data'!$E:$E,$B4),"")</f>
        <v>0</v>
      </c>
      <c r="Q4" s="76">
        <f>IFERROR(COUNTIFS('Formatted Data'!$B:$B,#REF!,'Formatted Data'!$E:$E,$B4),"")</f>
        <v>0</v>
      </c>
      <c r="R4" s="76">
        <f>IFERROR(COUNTIFS('Formatted Data'!$B:$B,#REF!,'Formatted Data'!$E:$E,$B4),"")</f>
        <v>0</v>
      </c>
      <c r="S4" s="76">
        <f>IFERROR(COUNTIFS('Formatted Data'!$B:$B,#REF!,'Formatted Data'!$E:$E,$B4),"")</f>
        <v>0</v>
      </c>
      <c r="T4" s="76">
        <f>IFERROR(COUNTIFS('Formatted Data'!$B:$B,#REF!,'Formatted Data'!$E:$E,$B4),"")</f>
        <v>0</v>
      </c>
      <c r="Y4" s="42" t="str">
        <f t="shared" si="0"/>
        <v>Yes</v>
      </c>
    </row>
    <row r="5" spans="2:25" s="42" customFormat="1" ht="19.5" customHeight="1" thickBot="1" x14ac:dyDescent="0.3">
      <c r="B5" s="59" t="str">
        <f>IF(Lists!E7="","Empty",Lists!E7)</f>
        <v>Empty</v>
      </c>
      <c r="C5" s="79">
        <f>IF(B5="","",COUNTIF('Formatted Data'!E:E,'Headline Data'!B5))</f>
        <v>0</v>
      </c>
      <c r="D5" s="79">
        <f>IFERROR(COUNTIFS('Formatted Data'!$B:$B,#REF!,'Formatted Data'!$E:$E,$B5),"")</f>
        <v>0</v>
      </c>
      <c r="E5" s="79">
        <f>IFERROR(COUNTIFS('Formatted Data'!$B:$B,#REF!,'Formatted Data'!$E:$E,$B5),"")</f>
        <v>0</v>
      </c>
      <c r="F5" s="79">
        <f>IFERROR(COUNTIFS('Formatted Data'!$B:$B,#REF!,'Formatted Data'!$E:$E,$B5),"")</f>
        <v>0</v>
      </c>
      <c r="G5" s="79">
        <f>IFERROR(COUNTIFS('Formatted Data'!$B:$B,#REF!,'Formatted Data'!$E:$E,$B5),"")</f>
        <v>0</v>
      </c>
      <c r="H5" s="79">
        <f>IFERROR(COUNTIFS('Formatted Data'!$B:$B,#REF!,'Formatted Data'!$E:$E,$B5),"")</f>
        <v>0</v>
      </c>
      <c r="I5" s="79">
        <f>IFERROR(COUNTIFS('Formatted Data'!$B:$B,#REF!,'Formatted Data'!$E:$E,$B5),"")</f>
        <v>0</v>
      </c>
      <c r="J5" s="79">
        <f>IFERROR(COUNTIFS('Formatted Data'!$B:$B,#REF!,'Formatted Data'!$E:$E,$B5),"")</f>
        <v>0</v>
      </c>
      <c r="K5" s="79">
        <f>IFERROR(COUNTIFS('Formatted Data'!$B:$B,#REF!,'Formatted Data'!$E:$E,$B5),"")</f>
        <v>0</v>
      </c>
      <c r="L5" s="79">
        <f>IFERROR(COUNTIFS('Formatted Data'!$B:$B,#REF!,'Formatted Data'!$E:$E,$B5),"")</f>
        <v>0</v>
      </c>
      <c r="M5" s="79">
        <f>IFERROR(COUNTIFS('Formatted Data'!$B:$B,#REF!,'Formatted Data'!$E:$E,$B5),"")</f>
        <v>0</v>
      </c>
      <c r="N5" s="79">
        <f>IFERROR(COUNTIFS('Formatted Data'!$B:$B,#REF!,'Formatted Data'!$E:$E,$B5),"")</f>
        <v>0</v>
      </c>
      <c r="O5" s="76">
        <f>IFERROR(COUNTIFS('Formatted Data'!$B:$B,#REF!,'Formatted Data'!$E:$E,$B5),"")</f>
        <v>0</v>
      </c>
      <c r="P5" s="76">
        <f>IFERROR(COUNTIFS('Formatted Data'!$B:$B,#REF!,'Formatted Data'!$E:$E,$B5),"")</f>
        <v>0</v>
      </c>
      <c r="Q5" s="76">
        <f>IFERROR(COUNTIFS('Formatted Data'!$B:$B,#REF!,'Formatted Data'!$E:$E,$B5),"")</f>
        <v>0</v>
      </c>
      <c r="R5" s="76">
        <f>IFERROR(COUNTIFS('Formatted Data'!$B:$B,#REF!,'Formatted Data'!$E:$E,$B5),"")</f>
        <v>0</v>
      </c>
      <c r="S5" s="76">
        <f>IFERROR(COUNTIFS('Formatted Data'!$B:$B,#REF!,'Formatted Data'!$E:$E,$B5),"")</f>
        <v>0</v>
      </c>
      <c r="T5" s="76">
        <f>IFERROR(COUNTIFS('Formatted Data'!$B:$B,#REF!,'Formatted Data'!$E:$E,$B5),"")</f>
        <v>0</v>
      </c>
      <c r="Y5" s="42" t="str">
        <f t="shared" si="0"/>
        <v>Yes</v>
      </c>
    </row>
    <row r="6" spans="2:25" s="42" customFormat="1" ht="19.5" customHeight="1" thickBot="1" x14ac:dyDescent="0.3">
      <c r="B6" s="59" t="str">
        <f>IF(Lists!E8="","Empty",Lists!E8)</f>
        <v>Empty</v>
      </c>
      <c r="C6" s="79">
        <f>IF(B6="","",COUNTIF('Formatted Data'!E:E,'Headline Data'!B6))</f>
        <v>0</v>
      </c>
      <c r="D6" s="79">
        <f>IFERROR(COUNTIFS('Formatted Data'!$B:$B,D1,'Formatted Data'!$E:$E,$B6),"")</f>
        <v>0</v>
      </c>
      <c r="E6" s="79">
        <f>IFERROR(COUNTIFS('Formatted Data'!$B:$B,#REF!,'Formatted Data'!$E:$E,$B6),"")</f>
        <v>0</v>
      </c>
      <c r="F6" s="79">
        <f>IFERROR(COUNTIFS('Formatted Data'!$B:$B,#REF!,'Formatted Data'!$E:$E,$B6),"")</f>
        <v>0</v>
      </c>
      <c r="G6" s="79">
        <f>IFERROR(COUNTIFS('Formatted Data'!$B:$B,#REF!,'Formatted Data'!$E:$E,$B6),"")</f>
        <v>0</v>
      </c>
      <c r="H6" s="79">
        <f>IFERROR(COUNTIFS('Formatted Data'!$B:$B,#REF!,'Formatted Data'!$E:$E,$B6),"")</f>
        <v>0</v>
      </c>
      <c r="I6" s="79">
        <f>IFERROR(COUNTIFS('Formatted Data'!$B:$B,#REF!,'Formatted Data'!$E:$E,$B6),"")</f>
        <v>0</v>
      </c>
      <c r="J6" s="79">
        <f>IFERROR(COUNTIFS('Formatted Data'!$B:$B,#REF!,'Formatted Data'!$E:$E,$B6),"")</f>
        <v>0</v>
      </c>
      <c r="K6" s="79">
        <f>IFERROR(COUNTIFS('Formatted Data'!$B:$B,#REF!,'Formatted Data'!$E:$E,$B6),"")</f>
        <v>0</v>
      </c>
      <c r="L6" s="79">
        <f>IFERROR(COUNTIFS('Formatted Data'!$B:$B,#REF!,'Formatted Data'!$E:$E,$B6),"")</f>
        <v>0</v>
      </c>
      <c r="M6" s="79">
        <f>IFERROR(COUNTIFS('Formatted Data'!$B:$B,#REF!,'Formatted Data'!$E:$E,$B6),"")</f>
        <v>0</v>
      </c>
      <c r="N6" s="79">
        <f>IFERROR(COUNTIFS('Formatted Data'!$B:$B,#REF!,'Formatted Data'!$E:$E,$B6),"")</f>
        <v>0</v>
      </c>
      <c r="O6" s="76">
        <f>IFERROR(COUNTIFS('Formatted Data'!$B:$B,#REF!,'Formatted Data'!$E:$E,$B6),"")</f>
        <v>0</v>
      </c>
      <c r="P6" s="76">
        <f>IFERROR(COUNTIFS('Formatted Data'!$B:$B,#REF!,'Formatted Data'!$E:$E,$B6),"")</f>
        <v>0</v>
      </c>
      <c r="Q6" s="76">
        <f>IFERROR(COUNTIFS('Formatted Data'!$B:$B,#REF!,'Formatted Data'!$E:$E,$B6),"")</f>
        <v>0</v>
      </c>
      <c r="R6" s="76">
        <f>IFERROR(COUNTIFS('Formatted Data'!$B:$B,#REF!,'Formatted Data'!$E:$E,$B6),"")</f>
        <v>0</v>
      </c>
      <c r="S6" s="76">
        <f>IFERROR(COUNTIFS('Formatted Data'!$B:$B,#REF!,'Formatted Data'!$E:$E,$B6),"")</f>
        <v>0</v>
      </c>
      <c r="T6" s="76">
        <f>IFERROR(COUNTIFS('Formatted Data'!$B:$B,#REF!,'Formatted Data'!$E:$E,$B6),"")</f>
        <v>0</v>
      </c>
      <c r="Y6" s="42" t="str">
        <f t="shared" si="0"/>
        <v>Yes</v>
      </c>
    </row>
    <row r="7" spans="2:25" s="42" customFormat="1" ht="19.5" customHeight="1" thickBot="1" x14ac:dyDescent="0.3">
      <c r="B7" s="59" t="str">
        <f>IF(Lists!E9="","Empty",Lists!E9)</f>
        <v>Empty</v>
      </c>
      <c r="C7" s="79">
        <f>IF(B7="","",COUNTIF('Formatted Data'!E:E,'Headline Data'!B7))</f>
        <v>0</v>
      </c>
      <c r="D7" s="79">
        <f>IFERROR(COUNTIFS('Formatted Data'!$B:$B,#REF!,'Formatted Data'!$E:$E,$B7),"")</f>
        <v>0</v>
      </c>
      <c r="E7" s="79">
        <f>IFERROR(COUNTIFS('Formatted Data'!$B:$B,#REF!,'Formatted Data'!$E:$E,$B7),"")</f>
        <v>0</v>
      </c>
      <c r="F7" s="79">
        <f>IFERROR(COUNTIFS('Formatted Data'!$B:$B,#REF!,'Formatted Data'!$E:$E,$B7),"")</f>
        <v>0</v>
      </c>
      <c r="G7" s="79">
        <f>IFERROR(COUNTIFS('Formatted Data'!$B:$B,#REF!,'Formatted Data'!$E:$E,$B7),"")</f>
        <v>0</v>
      </c>
      <c r="H7" s="79">
        <f>IFERROR(COUNTIFS('Formatted Data'!$B:$B,#REF!,'Formatted Data'!$E:$E,$B7),"")</f>
        <v>0</v>
      </c>
      <c r="I7" s="79">
        <f>IFERROR(COUNTIFS('Formatted Data'!$B:$B,#REF!,'Formatted Data'!$E:$E,$B7),"")</f>
        <v>0</v>
      </c>
      <c r="J7" s="79">
        <f>IFERROR(COUNTIFS('Formatted Data'!$B:$B,#REF!,'Formatted Data'!$E:$E,$B7),"")</f>
        <v>0</v>
      </c>
      <c r="K7" s="79">
        <f>IFERROR(COUNTIFS('Formatted Data'!$B:$B,#REF!,'Formatted Data'!$E:$E,$B7),"")</f>
        <v>0</v>
      </c>
      <c r="L7" s="79">
        <f>IFERROR(COUNTIFS('Formatted Data'!$B:$B,#REF!,'Formatted Data'!$E:$E,$B7),"")</f>
        <v>0</v>
      </c>
      <c r="M7" s="79">
        <f>IFERROR(COUNTIFS('Formatted Data'!$B:$B,#REF!,'Formatted Data'!$E:$E,$B7),"")</f>
        <v>0</v>
      </c>
      <c r="N7" s="79">
        <f>IFERROR(COUNTIFS('Formatted Data'!$B:$B,#REF!,'Formatted Data'!$E:$E,$B7),"")</f>
        <v>0</v>
      </c>
      <c r="O7" s="76">
        <f>IFERROR(COUNTIFS('Formatted Data'!$B:$B,#REF!,'Formatted Data'!$E:$E,$B7),"")</f>
        <v>0</v>
      </c>
      <c r="P7" s="76">
        <f>IFERROR(COUNTIFS('Formatted Data'!$B:$B,#REF!,'Formatted Data'!$E:$E,$B7),"")</f>
        <v>0</v>
      </c>
      <c r="Q7" s="76">
        <f>IFERROR(COUNTIFS('Formatted Data'!$B:$B,#REF!,'Formatted Data'!$E:$E,$B7),"")</f>
        <v>0</v>
      </c>
      <c r="R7" s="76">
        <f>IFERROR(COUNTIFS('Formatted Data'!$B:$B,#REF!,'Formatted Data'!$E:$E,$B7),"")</f>
        <v>0</v>
      </c>
      <c r="S7" s="76">
        <f>IFERROR(COUNTIFS('Formatted Data'!$B:$B,#REF!,'Formatted Data'!$E:$E,$B7),"")</f>
        <v>0</v>
      </c>
      <c r="T7" s="76">
        <f>IFERROR(COUNTIFS('Formatted Data'!$B:$B,#REF!,'Formatted Data'!$E:$E,$B7),"")</f>
        <v>0</v>
      </c>
      <c r="Y7" s="42" t="str">
        <f t="shared" si="0"/>
        <v>Yes</v>
      </c>
    </row>
    <row r="8" spans="2:25" s="42" customFormat="1" ht="19.5" customHeight="1" thickBot="1" x14ac:dyDescent="0.3">
      <c r="B8" s="59" t="str">
        <f>IF(Lists!E10="","Empty",Lists!E10)</f>
        <v>Empty</v>
      </c>
      <c r="C8" s="79">
        <f>IF(B8="","",COUNTIF('Formatted Data'!E:E,'Headline Data'!B8))</f>
        <v>0</v>
      </c>
      <c r="D8" s="79">
        <f>IFERROR(COUNTIFS('Formatted Data'!$B:$B,#REF!,'Formatted Data'!$E:$E,$B8),"")</f>
        <v>0</v>
      </c>
      <c r="E8" s="79">
        <f>IFERROR(COUNTIFS('Formatted Data'!$B:$B,#REF!,'Formatted Data'!$E:$E,$B8),"")</f>
        <v>0</v>
      </c>
      <c r="F8" s="79">
        <f>IFERROR(COUNTIFS('Formatted Data'!$B:$B,#REF!,'Formatted Data'!$E:$E,$B8),"")</f>
        <v>0</v>
      </c>
      <c r="G8" s="79">
        <f>IFERROR(COUNTIFS('Formatted Data'!$B:$B,#REF!,'Formatted Data'!$E:$E,$B8),"")</f>
        <v>0</v>
      </c>
      <c r="H8" s="79">
        <f>IFERROR(COUNTIFS('Formatted Data'!$B:$B,#REF!,'Formatted Data'!$E:$E,$B8),"")</f>
        <v>0</v>
      </c>
      <c r="I8" s="79">
        <f>IFERROR(COUNTIFS('Formatted Data'!$B:$B,#REF!,'Formatted Data'!$E:$E,$B8),"")</f>
        <v>0</v>
      </c>
      <c r="J8" s="79">
        <f>IFERROR(COUNTIFS('Formatted Data'!$B:$B,#REF!,'Formatted Data'!$E:$E,$B8),"")</f>
        <v>0</v>
      </c>
      <c r="K8" s="79">
        <f>IFERROR(COUNTIFS('Formatted Data'!$B:$B,#REF!,'Formatted Data'!$E:$E,$B8),"")</f>
        <v>0</v>
      </c>
      <c r="L8" s="79">
        <f>IFERROR(COUNTIFS('Formatted Data'!$B:$B,#REF!,'Formatted Data'!$E:$E,$B8),"")</f>
        <v>0</v>
      </c>
      <c r="M8" s="79">
        <f>IFERROR(COUNTIFS('Formatted Data'!$B:$B,#REF!,'Formatted Data'!$E:$E,$B8),"")</f>
        <v>0</v>
      </c>
      <c r="N8" s="79">
        <f>IFERROR(COUNTIFS('Formatted Data'!$B:$B,#REF!,'Formatted Data'!$E:$E,$B8),"")</f>
        <v>0</v>
      </c>
      <c r="O8" s="76">
        <f>IFERROR(COUNTIFS('Formatted Data'!$B:$B,#REF!,'Formatted Data'!$E:$E,$B8),"")</f>
        <v>0</v>
      </c>
      <c r="P8" s="76">
        <f>IFERROR(COUNTIFS('Formatted Data'!$B:$B,#REF!,'Formatted Data'!$E:$E,$B8),"")</f>
        <v>0</v>
      </c>
      <c r="Q8" s="76">
        <f>IFERROR(COUNTIFS('Formatted Data'!$B:$B,#REF!,'Formatted Data'!$E:$E,$B8),"")</f>
        <v>0</v>
      </c>
      <c r="R8" s="76">
        <f>IFERROR(COUNTIFS('Formatted Data'!$B:$B,#REF!,'Formatted Data'!$E:$E,$B8),"")</f>
        <v>0</v>
      </c>
      <c r="S8" s="76">
        <f>IFERROR(COUNTIFS('Formatted Data'!$B:$B,#REF!,'Formatted Data'!$E:$E,$B8),"")</f>
        <v>0</v>
      </c>
      <c r="T8" s="76">
        <f>IFERROR(COUNTIFS('Formatted Data'!$B:$B,#REF!,'Formatted Data'!$E:$E,$B8),"")</f>
        <v>0</v>
      </c>
      <c r="Y8" s="42" t="str">
        <f t="shared" si="0"/>
        <v>Yes</v>
      </c>
    </row>
    <row r="9" spans="2:25" s="42" customFormat="1" ht="19.5" customHeight="1" thickBot="1" x14ac:dyDescent="0.3">
      <c r="B9" s="59" t="str">
        <f>IF(Lists!E11="","Empty",Lists!E11)</f>
        <v>Empty</v>
      </c>
      <c r="C9" s="79">
        <f>IF(B9="","",COUNTIF('Formatted Data'!E:E,'Headline Data'!B9))</f>
        <v>0</v>
      </c>
      <c r="D9" s="79">
        <f>IFERROR(COUNTIFS('Formatted Data'!$B:$B,#REF!,'Formatted Data'!$E:$E,$B9),"")</f>
        <v>0</v>
      </c>
      <c r="E9" s="79">
        <f>IFERROR(COUNTIFS('Formatted Data'!$B:$B,#REF!,'Formatted Data'!$E:$E,$B9),"")</f>
        <v>0</v>
      </c>
      <c r="F9" s="79">
        <f>IFERROR(COUNTIFS('Formatted Data'!$B:$B,#REF!,'Formatted Data'!$E:$E,$B9),"")</f>
        <v>0</v>
      </c>
      <c r="G9" s="79">
        <f>IFERROR(COUNTIFS('Formatted Data'!$B:$B,#REF!,'Formatted Data'!$E:$E,$B9),"")</f>
        <v>0</v>
      </c>
      <c r="H9" s="79">
        <f>IFERROR(COUNTIFS('Formatted Data'!$B:$B,#REF!,'Formatted Data'!$E:$E,$B9),"")</f>
        <v>0</v>
      </c>
      <c r="I9" s="79">
        <f>IFERROR(COUNTIFS('Formatted Data'!$B:$B,#REF!,'Formatted Data'!$E:$E,$B9),"")</f>
        <v>0</v>
      </c>
      <c r="J9" s="79">
        <f>IFERROR(COUNTIFS('Formatted Data'!$B:$B,#REF!,'Formatted Data'!$E:$E,$B9),"")</f>
        <v>0</v>
      </c>
      <c r="K9" s="79">
        <f>IFERROR(COUNTIFS('Formatted Data'!$B:$B,#REF!,'Formatted Data'!$E:$E,$B9),"")</f>
        <v>0</v>
      </c>
      <c r="L9" s="79">
        <f>IFERROR(COUNTIFS('Formatted Data'!$B:$B,#REF!,'Formatted Data'!$E:$E,$B9),"")</f>
        <v>0</v>
      </c>
      <c r="M9" s="79">
        <f>IFERROR(COUNTIFS('Formatted Data'!$B:$B,#REF!,'Formatted Data'!$E:$E,$B9),"")</f>
        <v>0</v>
      </c>
      <c r="N9" s="79">
        <f>IFERROR(COUNTIFS('Formatted Data'!$B:$B,#REF!,'Formatted Data'!$E:$E,$B9),"")</f>
        <v>0</v>
      </c>
      <c r="O9" s="76">
        <f>IFERROR(COUNTIFS('Formatted Data'!$B:$B,#REF!,'Formatted Data'!$E:$E,$B9),"")</f>
        <v>0</v>
      </c>
      <c r="P9" s="76">
        <f>IFERROR(COUNTIFS('Formatted Data'!$B:$B,#REF!,'Formatted Data'!$E:$E,$B9),"")</f>
        <v>0</v>
      </c>
      <c r="Q9" s="76">
        <f>IFERROR(COUNTIFS('Formatted Data'!$B:$B,#REF!,'Formatted Data'!$E:$E,$B9),"")</f>
        <v>0</v>
      </c>
      <c r="R9" s="76">
        <f>IFERROR(COUNTIFS('Formatted Data'!$B:$B,#REF!,'Formatted Data'!$E:$E,$B9),"")</f>
        <v>0</v>
      </c>
      <c r="S9" s="76">
        <f>IFERROR(COUNTIFS('Formatted Data'!$B:$B,#REF!,'Formatted Data'!$E:$E,$B9),"")</f>
        <v>0</v>
      </c>
      <c r="T9" s="76">
        <f>IFERROR(COUNTIFS('Formatted Data'!$B:$B,#REF!,'Formatted Data'!$E:$E,$B9),"")</f>
        <v>0</v>
      </c>
      <c r="Y9" s="42" t="str">
        <f t="shared" si="0"/>
        <v>Yes</v>
      </c>
    </row>
    <row r="10" spans="2:25" s="42" customFormat="1" ht="19.5" customHeight="1" thickBot="1" x14ac:dyDescent="0.3">
      <c r="B10" s="59" t="str">
        <f>IF(Lists!E12="","Empty",Lists!E12)</f>
        <v>Empty</v>
      </c>
      <c r="C10" s="79">
        <f>IF(B10="","",COUNTIF('Formatted Data'!E:E,'Headline Data'!B10))</f>
        <v>0</v>
      </c>
      <c r="D10" s="79">
        <f>IFERROR(COUNTIFS('Formatted Data'!$B:$B,#REF!,'Formatted Data'!$E:$E,$B10),"")</f>
        <v>0</v>
      </c>
      <c r="E10" s="79">
        <f>IFERROR(COUNTIFS('Formatted Data'!$B:$B,#REF!,'Formatted Data'!$E:$E,$B10),"")</f>
        <v>0</v>
      </c>
      <c r="F10" s="79">
        <f>IFERROR(COUNTIFS('Formatted Data'!$B:$B,#REF!,'Formatted Data'!$E:$E,$B10),"")</f>
        <v>0</v>
      </c>
      <c r="G10" s="79">
        <f>IFERROR(COUNTIFS('Formatted Data'!$B:$B,#REF!,'Formatted Data'!$E:$E,$B10),"")</f>
        <v>0</v>
      </c>
      <c r="H10" s="79">
        <f>IFERROR(COUNTIFS('Formatted Data'!$B:$B,#REF!,'Formatted Data'!$E:$E,$B10),"")</f>
        <v>0</v>
      </c>
      <c r="I10" s="79">
        <f>IFERROR(COUNTIFS('Formatted Data'!$B:$B,#REF!,'Formatted Data'!$E:$E,$B10),"")</f>
        <v>0</v>
      </c>
      <c r="J10" s="79">
        <f>IFERROR(COUNTIFS('Formatted Data'!$B:$B,#REF!,'Formatted Data'!$E:$E,$B10),"")</f>
        <v>0</v>
      </c>
      <c r="K10" s="79">
        <f>IFERROR(COUNTIFS('Formatted Data'!$B:$B,#REF!,'Formatted Data'!$E:$E,$B10),"")</f>
        <v>0</v>
      </c>
      <c r="L10" s="79">
        <f>IFERROR(COUNTIFS('Formatted Data'!$B:$B,#REF!,'Formatted Data'!$E:$E,$B10),"")</f>
        <v>0</v>
      </c>
      <c r="M10" s="79">
        <f>IFERROR(COUNTIFS('Formatted Data'!$B:$B,#REF!,'Formatted Data'!$E:$E,$B10),"")</f>
        <v>0</v>
      </c>
      <c r="N10" s="79">
        <f>IFERROR(COUNTIFS('Formatted Data'!$B:$B,#REF!,'Formatted Data'!$E:$E,$B10),"")</f>
        <v>0</v>
      </c>
      <c r="O10" s="76">
        <f>IFERROR(COUNTIFS('Formatted Data'!$B:$B,#REF!,'Formatted Data'!$E:$E,$B10),"")</f>
        <v>0</v>
      </c>
      <c r="P10" s="76">
        <f>IFERROR(COUNTIFS('Formatted Data'!$B:$B,#REF!,'Formatted Data'!$E:$E,$B10),"")</f>
        <v>0</v>
      </c>
      <c r="Q10" s="76">
        <f>IFERROR(COUNTIFS('Formatted Data'!$B:$B,#REF!,'Formatted Data'!$E:$E,$B10),"")</f>
        <v>0</v>
      </c>
      <c r="R10" s="76">
        <f>IFERROR(COUNTIFS('Formatted Data'!$B:$B,#REF!,'Formatted Data'!$E:$E,$B10),"")</f>
        <v>0</v>
      </c>
      <c r="S10" s="76">
        <f>IFERROR(COUNTIFS('Formatted Data'!$B:$B,#REF!,'Formatted Data'!$E:$E,$B10),"")</f>
        <v>0</v>
      </c>
      <c r="T10" s="76">
        <f>IFERROR(COUNTIFS('Formatted Data'!$B:$B,#REF!,'Formatted Data'!$E:$E,$B10),"")</f>
        <v>0</v>
      </c>
      <c r="Y10" s="42" t="str">
        <f t="shared" si="0"/>
        <v>Yes</v>
      </c>
    </row>
    <row r="11" spans="2:25" s="42" customFormat="1" ht="19.5" customHeight="1" thickBot="1" x14ac:dyDescent="0.3">
      <c r="B11" s="59" t="str">
        <f>IF(Lists!E13="","Empty",Lists!E13)</f>
        <v>Empty</v>
      </c>
      <c r="C11" s="79">
        <f>IF(B11="","",COUNTIF('Formatted Data'!E:E,'Headline Data'!B11))</f>
        <v>0</v>
      </c>
      <c r="D11" s="79">
        <f>IFERROR(COUNTIFS('Formatted Data'!$B:$B,#REF!,'Formatted Data'!$E:$E,$B11),"")</f>
        <v>0</v>
      </c>
      <c r="E11" s="79">
        <f>IFERROR(COUNTIFS('Formatted Data'!$B:$B,#REF!,'Formatted Data'!$E:$E,$B11),"")</f>
        <v>0</v>
      </c>
      <c r="F11" s="79">
        <f>IFERROR(COUNTIFS('Formatted Data'!$B:$B,#REF!,'Formatted Data'!$E:$E,$B11),"")</f>
        <v>0</v>
      </c>
      <c r="G11" s="79">
        <f>IFERROR(COUNTIFS('Formatted Data'!$B:$B,#REF!,'Formatted Data'!$E:$E,$B11),"")</f>
        <v>0</v>
      </c>
      <c r="H11" s="79">
        <f>IFERROR(COUNTIFS('Formatted Data'!$B:$B,#REF!,'Formatted Data'!$E:$E,$B11),"")</f>
        <v>0</v>
      </c>
      <c r="I11" s="79">
        <f>IFERROR(COUNTIFS('Formatted Data'!$B:$B,#REF!,'Formatted Data'!$E:$E,$B11),"")</f>
        <v>0</v>
      </c>
      <c r="J11" s="79">
        <f>IFERROR(COUNTIFS('Formatted Data'!$B:$B,#REF!,'Formatted Data'!$E:$E,$B11),"")</f>
        <v>0</v>
      </c>
      <c r="K11" s="79">
        <f>IFERROR(COUNTIFS('Formatted Data'!$B:$B,#REF!,'Formatted Data'!$E:$E,$B11),"")</f>
        <v>0</v>
      </c>
      <c r="L11" s="79">
        <f>IFERROR(COUNTIFS('Formatted Data'!$B:$B,#REF!,'Formatted Data'!$E:$E,$B11),"")</f>
        <v>0</v>
      </c>
      <c r="M11" s="79">
        <f>IFERROR(COUNTIFS('Formatted Data'!$B:$B,#REF!,'Formatted Data'!$E:$E,$B11),"")</f>
        <v>0</v>
      </c>
      <c r="N11" s="79">
        <f>IFERROR(COUNTIFS('Formatted Data'!$B:$B,#REF!,'Formatted Data'!$E:$E,$B11),"")</f>
        <v>0</v>
      </c>
      <c r="O11" s="76">
        <f>IFERROR(COUNTIFS('Formatted Data'!$B:$B,#REF!,'Formatted Data'!$E:$E,$B11),"")</f>
        <v>0</v>
      </c>
      <c r="P11" s="76">
        <f>IFERROR(COUNTIFS('Formatted Data'!$B:$B,#REF!,'Formatted Data'!$E:$E,$B11),"")</f>
        <v>0</v>
      </c>
      <c r="Q11" s="76">
        <f>IFERROR(COUNTIFS('Formatted Data'!$B:$B,#REF!,'Formatted Data'!$E:$E,$B11),"")</f>
        <v>0</v>
      </c>
      <c r="R11" s="76">
        <f>IFERROR(COUNTIFS('Formatted Data'!$B:$B,#REF!,'Formatted Data'!$E:$E,$B11),"")</f>
        <v>0</v>
      </c>
      <c r="S11" s="76">
        <f>IFERROR(COUNTIFS('Formatted Data'!$B:$B,#REF!,'Formatted Data'!$E:$E,$B11),"")</f>
        <v>0</v>
      </c>
      <c r="T11" s="76">
        <f>IFERROR(COUNTIFS('Formatted Data'!$B:$B,#REF!,'Formatted Data'!$E:$E,$B11),"")</f>
        <v>0</v>
      </c>
      <c r="Y11" s="42" t="str">
        <f t="shared" si="0"/>
        <v>Yes</v>
      </c>
    </row>
    <row r="12" spans="2:25" s="42" customFormat="1" ht="19.5" customHeight="1" thickBot="1" x14ac:dyDescent="0.3">
      <c r="B12" s="59" t="str">
        <f>IF(Lists!E14="","Empty",Lists!E14)</f>
        <v>Empty</v>
      </c>
      <c r="C12" s="79">
        <f>IF(B12="","",COUNTIF('Formatted Data'!E:E,'Headline Data'!B12))</f>
        <v>0</v>
      </c>
      <c r="D12" s="79">
        <f>IFERROR(COUNTIFS('Formatted Data'!$B:$B,#REF!,'Formatted Data'!$E:$E,$B12),"")</f>
        <v>0</v>
      </c>
      <c r="E12" s="79">
        <f>IFERROR(COUNTIFS('Formatted Data'!$B:$B,#REF!,'Formatted Data'!$E:$E,$B12),"")</f>
        <v>0</v>
      </c>
      <c r="F12" s="79">
        <f>IFERROR(COUNTIFS('Formatted Data'!$B:$B,#REF!,'Formatted Data'!$E:$E,$B12),"")</f>
        <v>0</v>
      </c>
      <c r="G12" s="79">
        <f>IFERROR(COUNTIFS('Formatted Data'!$B:$B,#REF!,'Formatted Data'!$E:$E,$B12),"")</f>
        <v>0</v>
      </c>
      <c r="H12" s="79">
        <f>IFERROR(COUNTIFS('Formatted Data'!$B:$B,#REF!,'Formatted Data'!$E:$E,$B12),"")</f>
        <v>0</v>
      </c>
      <c r="I12" s="79">
        <f>IFERROR(COUNTIFS('Formatted Data'!$B:$B,#REF!,'Formatted Data'!$E:$E,$B12),"")</f>
        <v>0</v>
      </c>
      <c r="J12" s="79">
        <f>IFERROR(COUNTIFS('Formatted Data'!$B:$B,#REF!,'Formatted Data'!$E:$E,$B12),"")</f>
        <v>0</v>
      </c>
      <c r="K12" s="79">
        <f>IFERROR(COUNTIFS('Formatted Data'!$B:$B,#REF!,'Formatted Data'!$E:$E,$B12),"")</f>
        <v>0</v>
      </c>
      <c r="L12" s="79">
        <f>IFERROR(COUNTIFS('Formatted Data'!$B:$B,#REF!,'Formatted Data'!$E:$E,$B12),"")</f>
        <v>0</v>
      </c>
      <c r="M12" s="79">
        <f>IFERROR(COUNTIFS('Formatted Data'!$B:$B,#REF!,'Formatted Data'!$E:$E,$B12),"")</f>
        <v>0</v>
      </c>
      <c r="N12" s="79">
        <f>IFERROR(COUNTIFS('Formatted Data'!$B:$B,#REF!,'Formatted Data'!$E:$E,$B12),"")</f>
        <v>0</v>
      </c>
      <c r="O12" s="76">
        <f>IFERROR(COUNTIFS('Formatted Data'!$B:$B,#REF!,'Formatted Data'!$E:$E,$B12),"")</f>
        <v>0</v>
      </c>
      <c r="P12" s="76">
        <f>IFERROR(COUNTIFS('Formatted Data'!$B:$B,#REF!,'Formatted Data'!$E:$E,$B12),"")</f>
        <v>0</v>
      </c>
      <c r="Q12" s="76">
        <f>IFERROR(COUNTIFS('Formatted Data'!$B:$B,#REF!,'Formatted Data'!$E:$E,$B12),"")</f>
        <v>0</v>
      </c>
      <c r="R12" s="76">
        <f>IFERROR(COUNTIFS('Formatted Data'!$B:$B,#REF!,'Formatted Data'!$E:$E,$B12),"")</f>
        <v>0</v>
      </c>
      <c r="S12" s="76">
        <f>IFERROR(COUNTIFS('Formatted Data'!$B:$B,#REF!,'Formatted Data'!$E:$E,$B12),"")</f>
        <v>0</v>
      </c>
      <c r="T12" s="76">
        <f>IFERROR(COUNTIFS('Formatted Data'!$B:$B,#REF!,'Formatted Data'!$E:$E,$B12),"")</f>
        <v>0</v>
      </c>
      <c r="Y12" s="42" t="str">
        <f t="shared" si="0"/>
        <v>Yes</v>
      </c>
    </row>
    <row r="13" spans="2:25" s="42" customFormat="1" ht="19.5" customHeight="1" thickBot="1" x14ac:dyDescent="0.3">
      <c r="B13" s="59" t="str">
        <f>IF(Lists!E15="","Empty",Lists!E15)</f>
        <v>Empty</v>
      </c>
      <c r="C13" s="79">
        <f>IF(B13="","",COUNTIF('Formatted Data'!E:E,'Headline Data'!B13))</f>
        <v>0</v>
      </c>
      <c r="D13" s="79">
        <f>IFERROR(COUNTIFS('Formatted Data'!$B:$B,#REF!,'Formatted Data'!$E:$E,$B13),"")</f>
        <v>0</v>
      </c>
      <c r="E13" s="79">
        <f>IFERROR(COUNTIFS('Formatted Data'!$B:$B,#REF!,'Formatted Data'!$E:$E,$B13),"")</f>
        <v>0</v>
      </c>
      <c r="F13" s="79">
        <f>IFERROR(COUNTIFS('Formatted Data'!$B:$B,#REF!,'Formatted Data'!$E:$E,$B13),"")</f>
        <v>0</v>
      </c>
      <c r="G13" s="79">
        <f>IFERROR(COUNTIFS('Formatted Data'!$B:$B,#REF!,'Formatted Data'!$E:$E,$B13),"")</f>
        <v>0</v>
      </c>
      <c r="H13" s="79">
        <f>IFERROR(COUNTIFS('Formatted Data'!$B:$B,#REF!,'Formatted Data'!$E:$E,$B13),"")</f>
        <v>0</v>
      </c>
      <c r="I13" s="79">
        <f>IFERROR(COUNTIFS('Formatted Data'!$B:$B,#REF!,'Formatted Data'!$E:$E,$B13),"")</f>
        <v>0</v>
      </c>
      <c r="J13" s="79">
        <f>IFERROR(COUNTIFS('Formatted Data'!$B:$B,#REF!,'Formatted Data'!$E:$E,$B13),"")</f>
        <v>0</v>
      </c>
      <c r="K13" s="79">
        <f>IFERROR(COUNTIFS('Formatted Data'!$B:$B,#REF!,'Formatted Data'!$E:$E,$B13),"")</f>
        <v>0</v>
      </c>
      <c r="L13" s="79">
        <f>IFERROR(COUNTIFS('Formatted Data'!$B:$B,#REF!,'Formatted Data'!$E:$E,$B13),"")</f>
        <v>0</v>
      </c>
      <c r="M13" s="79">
        <f>IFERROR(COUNTIFS('Formatted Data'!$B:$B,#REF!,'Formatted Data'!$E:$E,$B13),"")</f>
        <v>0</v>
      </c>
      <c r="N13" s="79">
        <f>IFERROR(COUNTIFS('Formatted Data'!$B:$B,#REF!,'Formatted Data'!$E:$E,$B13),"")</f>
        <v>0</v>
      </c>
      <c r="O13" s="76">
        <f>IFERROR(COUNTIFS('Formatted Data'!$B:$B,#REF!,'Formatted Data'!$E:$E,$B13),"")</f>
        <v>0</v>
      </c>
      <c r="P13" s="76">
        <f>IFERROR(COUNTIFS('Formatted Data'!$B:$B,#REF!,'Formatted Data'!$E:$E,$B13),"")</f>
        <v>0</v>
      </c>
      <c r="Q13" s="76">
        <f>IFERROR(COUNTIFS('Formatted Data'!$B:$B,#REF!,'Formatted Data'!$E:$E,$B13),"")</f>
        <v>0</v>
      </c>
      <c r="R13" s="76">
        <f>IFERROR(COUNTIFS('Formatted Data'!$B:$B,#REF!,'Formatted Data'!$E:$E,$B13),"")</f>
        <v>0</v>
      </c>
      <c r="S13" s="76">
        <f>IFERROR(COUNTIFS('Formatted Data'!$B:$B,#REF!,'Formatted Data'!$E:$E,$B13),"")</f>
        <v>0</v>
      </c>
      <c r="T13" s="76">
        <f>IFERROR(COUNTIFS('Formatted Data'!$B:$B,#REF!,'Formatted Data'!$E:$E,$B13),"")</f>
        <v>0</v>
      </c>
      <c r="Y13" s="42" t="str">
        <f t="shared" si="0"/>
        <v>Yes</v>
      </c>
    </row>
    <row r="14" spans="2:25" s="42" customFormat="1" ht="19.5" customHeight="1" thickBot="1" x14ac:dyDescent="0.3">
      <c r="B14" s="59" t="str">
        <f>IF(Lists!E16="","Empty",Lists!E16)</f>
        <v>Empty</v>
      </c>
      <c r="C14" s="79"/>
      <c r="D14" s="77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Y14" s="42" t="str">
        <f t="shared" si="0"/>
        <v>Yes</v>
      </c>
    </row>
    <row r="15" spans="2:25" s="42" customFormat="1" ht="19.5" customHeight="1" thickBot="1" x14ac:dyDescent="0.3">
      <c r="B15" s="59" t="str">
        <f>IF(Lists!E17="","Empty",Lists!E17)</f>
        <v>Empty</v>
      </c>
      <c r="C15" s="79"/>
      <c r="D15" s="77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Y15" s="42" t="str">
        <f t="shared" si="0"/>
        <v>Yes</v>
      </c>
    </row>
    <row r="16" spans="2:25" s="42" customFormat="1" ht="19.5" customHeight="1" thickBot="1" x14ac:dyDescent="0.3">
      <c r="B16" s="59" t="str">
        <f>IF(Lists!E18="","Empty",Lists!E18)</f>
        <v>Empty</v>
      </c>
      <c r="C16" s="80"/>
      <c r="D16" s="77"/>
      <c r="E16" s="56"/>
      <c r="F16" s="56"/>
      <c r="G16" s="56"/>
      <c r="H16" s="56"/>
      <c r="I16" s="56"/>
      <c r="J16" s="56"/>
      <c r="K16" s="56"/>
      <c r="L16" s="56"/>
      <c r="M16" s="56" t="s">
        <v>59</v>
      </c>
      <c r="N16" s="56"/>
      <c r="O16" s="56"/>
      <c r="P16" s="56"/>
      <c r="Q16" s="56"/>
      <c r="R16" s="56"/>
      <c r="S16" s="56"/>
      <c r="T16" s="56"/>
      <c r="Y16" s="42" t="str">
        <f t="shared" si="0"/>
        <v>Yes</v>
      </c>
    </row>
    <row r="17" spans="2:22" s="42" customFormat="1" ht="30.75" customHeight="1" thickBot="1" x14ac:dyDescent="0.3">
      <c r="B17" s="75" t="s">
        <v>32</v>
      </c>
      <c r="C17" s="55">
        <f t="shared" ref="C17:O17" si="1">SUM(C2:C13)</f>
        <v>0</v>
      </c>
      <c r="D17" s="55">
        <f t="shared" si="1"/>
        <v>0</v>
      </c>
      <c r="E17" s="55">
        <f t="shared" si="1"/>
        <v>0</v>
      </c>
      <c r="F17" s="55">
        <f t="shared" si="1"/>
        <v>0</v>
      </c>
      <c r="G17" s="55">
        <f t="shared" si="1"/>
        <v>0</v>
      </c>
      <c r="H17" s="55">
        <f t="shared" si="1"/>
        <v>0</v>
      </c>
      <c r="I17" s="55">
        <f t="shared" si="1"/>
        <v>0</v>
      </c>
      <c r="J17" s="55">
        <f t="shared" si="1"/>
        <v>0</v>
      </c>
      <c r="K17" s="55">
        <f t="shared" si="1"/>
        <v>0</v>
      </c>
      <c r="L17" s="55">
        <f t="shared" si="1"/>
        <v>0</v>
      </c>
      <c r="M17" s="55">
        <f t="shared" si="1"/>
        <v>0</v>
      </c>
      <c r="N17" s="55">
        <f t="shared" si="1"/>
        <v>0</v>
      </c>
      <c r="O17" s="55">
        <f t="shared" si="1"/>
        <v>0</v>
      </c>
      <c r="P17" s="55"/>
      <c r="Q17" s="55"/>
      <c r="R17" s="55"/>
      <c r="S17" s="55"/>
      <c r="T17" s="55"/>
    </row>
    <row r="18" spans="2:22" s="42" customFormat="1" ht="30.75" customHeight="1" thickBot="1" x14ac:dyDescent="0.3">
      <c r="B18" s="75" t="s">
        <v>56</v>
      </c>
      <c r="C18" s="55">
        <f>AVERAGE(C2:C16)</f>
        <v>0</v>
      </c>
      <c r="D18" s="55">
        <f t="shared" ref="D18:S18" si="2">AVERAGE(D2:D16)</f>
        <v>0</v>
      </c>
      <c r="E18" s="55">
        <f t="shared" si="2"/>
        <v>0</v>
      </c>
      <c r="F18" s="55">
        <f t="shared" si="2"/>
        <v>0</v>
      </c>
      <c r="G18" s="55">
        <f t="shared" si="2"/>
        <v>0</v>
      </c>
      <c r="H18" s="55">
        <f t="shared" si="2"/>
        <v>0</v>
      </c>
      <c r="I18" s="55">
        <f t="shared" si="2"/>
        <v>0</v>
      </c>
      <c r="J18" s="55">
        <f t="shared" si="2"/>
        <v>0</v>
      </c>
      <c r="K18" s="55">
        <f t="shared" si="2"/>
        <v>0</v>
      </c>
      <c r="L18" s="55">
        <f t="shared" si="2"/>
        <v>0</v>
      </c>
      <c r="M18" s="55">
        <f t="shared" si="2"/>
        <v>0</v>
      </c>
      <c r="N18" s="55">
        <f t="shared" si="2"/>
        <v>0</v>
      </c>
      <c r="O18" s="55">
        <f t="shared" si="2"/>
        <v>0</v>
      </c>
      <c r="P18" s="55">
        <f t="shared" si="2"/>
        <v>0</v>
      </c>
      <c r="Q18" s="55">
        <f t="shared" si="2"/>
        <v>0</v>
      </c>
      <c r="R18" s="55">
        <f t="shared" si="2"/>
        <v>0</v>
      </c>
      <c r="S18" s="55">
        <f t="shared" si="2"/>
        <v>0</v>
      </c>
      <c r="T18" s="55">
        <f>AVERAGE(T2:T16)</f>
        <v>0</v>
      </c>
    </row>
    <row r="19" spans="2:22" ht="25.5" customHeight="1" thickBot="1" x14ac:dyDescent="0.3">
      <c r="B19" s="43"/>
      <c r="C19" s="44"/>
      <c r="D19" s="45"/>
      <c r="E19" s="45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</row>
    <row r="20" spans="2:22" ht="30.75" customHeight="1" thickBot="1" x14ac:dyDescent="0.3">
      <c r="B20" s="70" t="s">
        <v>14</v>
      </c>
      <c r="C20" s="71" t="s">
        <v>57</v>
      </c>
      <c r="D20" s="72" t="s">
        <v>58</v>
      </c>
      <c r="E20" s="73" t="s">
        <v>55</v>
      </c>
      <c r="F20" s="74" t="s">
        <v>2</v>
      </c>
      <c r="G20" s="74" t="s">
        <v>17</v>
      </c>
      <c r="H20" s="74" t="s">
        <v>0</v>
      </c>
      <c r="I20" s="74" t="s">
        <v>8</v>
      </c>
      <c r="J20" s="74" t="s">
        <v>10</v>
      </c>
      <c r="K20" s="74" t="s">
        <v>9</v>
      </c>
      <c r="L20" s="74" t="s">
        <v>1</v>
      </c>
      <c r="M20" s="74" t="s">
        <v>3</v>
      </c>
      <c r="N20" s="74" t="s">
        <v>53</v>
      </c>
      <c r="O20" s="74" t="s">
        <v>5</v>
      </c>
      <c r="P20" s="74" t="s">
        <v>13</v>
      </c>
      <c r="Q20" s="74" t="s">
        <v>12</v>
      </c>
      <c r="R20" s="74" t="s">
        <v>6</v>
      </c>
      <c r="S20" s="74" t="s">
        <v>7</v>
      </c>
      <c r="T20" s="74" t="s">
        <v>11</v>
      </c>
      <c r="U20" s="74" t="s">
        <v>4</v>
      </c>
      <c r="V20" s="74" t="s">
        <v>52</v>
      </c>
    </row>
    <row r="21" spans="2:22" ht="20.100000000000001" customHeight="1" x14ac:dyDescent="0.25">
      <c r="B21" s="59" t="s">
        <v>27</v>
      </c>
      <c r="C21" s="64">
        <f>SUMIFS('Formatted Data'!G:G,'Formatted Data'!K:K,"Y",'Formatted Data'!E:E,B21)/60</f>
        <v>0</v>
      </c>
      <c r="D21" s="50">
        <f>(C21*60)</f>
        <v>0</v>
      </c>
      <c r="E21" s="51" t="e">
        <f t="shared" ref="E21:E32" si="3">(C21*60)/C2</f>
        <v>#DIV/0!</v>
      </c>
      <c r="F21" s="67" t="str">
        <f>IFERROR(AVERAGEIFS('Formatted Data'!$G:$G,'Formatted Data'!$K:$K,"Y",'Formatted Data'!$E:$E,'Headline Data'!$B21,'Formatted Data'!$D:$D,'Headline Data'!F$20),"")</f>
        <v/>
      </c>
      <c r="G21" s="67" t="str">
        <f>IFERROR(AVERAGEIFS('Formatted Data'!$G:$G,'Formatted Data'!$K:$K,"Y",'Formatted Data'!$E:$E,'Headline Data'!$B21,'Formatted Data'!$D:$D,'Headline Data'!G$20),"")</f>
        <v/>
      </c>
      <c r="H21" s="67" t="str">
        <f>IFERROR(AVERAGEIFS('Formatted Data'!$G:$G,'Formatted Data'!$K:$K,"Y",'Formatted Data'!$E:$E,'Headline Data'!$B21,'Formatted Data'!$D:$D,'Headline Data'!H$20),"")</f>
        <v/>
      </c>
      <c r="I21" s="67" t="str">
        <f>IFERROR(AVERAGEIFS('Formatted Data'!$G:$G,'Formatted Data'!$K:$K,"Y",'Formatted Data'!$E:$E,'Headline Data'!$B21,'Formatted Data'!$D:$D,'Headline Data'!I$20),"")</f>
        <v/>
      </c>
      <c r="J21" s="67" t="str">
        <f>IFERROR(AVERAGEIFS('Formatted Data'!$G:$G,'Formatted Data'!$K:$K,"Y",'Formatted Data'!$E:$E,'Headline Data'!$B21,'Formatted Data'!$D:$D,'Headline Data'!J$20),"")</f>
        <v/>
      </c>
      <c r="K21" s="67" t="str">
        <f>IFERROR(AVERAGEIFS('Formatted Data'!$G:$G,'Formatted Data'!$K:$K,"Y",'Formatted Data'!$E:$E,'Headline Data'!$B21,'Formatted Data'!$D:$D,'Headline Data'!K$20),"")</f>
        <v/>
      </c>
      <c r="L21" s="67" t="str">
        <f>IFERROR(AVERAGEIFS('Formatted Data'!$G:$G,'Formatted Data'!$K:$K,"Y",'Formatted Data'!$E:$E,'Headline Data'!$B21,'Formatted Data'!$D:$D,'Headline Data'!L$20),"")</f>
        <v/>
      </c>
      <c r="M21" s="67" t="str">
        <f>IFERROR(AVERAGEIFS('Formatted Data'!$G:$G,'Formatted Data'!$K:$K,"Y",'Formatted Data'!$E:$E,'Headline Data'!$B21,'Formatted Data'!$D:$D,'Headline Data'!M$20),"")</f>
        <v/>
      </c>
      <c r="N21" s="67" t="str">
        <f>IFERROR(AVERAGEIFS('Formatted Data'!$G:$G,'Formatted Data'!$K:$K,"Y",'Formatted Data'!$E:$E,'Headline Data'!$B21,'Formatted Data'!$D:$D,'Headline Data'!N$20),"")</f>
        <v/>
      </c>
      <c r="O21" s="67" t="str">
        <f>IFERROR(AVERAGEIFS('Formatted Data'!$G:$G,'Formatted Data'!$K:$K,"Y",'Formatted Data'!$E:$E,'Headline Data'!$B21,'Formatted Data'!$D:$D,'Headline Data'!O$20),"")</f>
        <v/>
      </c>
      <c r="P21" s="67" t="str">
        <f>IFERROR(AVERAGEIFS('Formatted Data'!$G:$G,'Formatted Data'!$K:$K,"Y",'Formatted Data'!$E:$E,'Headline Data'!$B21,'Formatted Data'!$D:$D,'Headline Data'!P$20),"")</f>
        <v/>
      </c>
      <c r="Q21" s="67" t="str">
        <f>IFERROR(AVERAGEIFS('Formatted Data'!$G:$G,'Formatted Data'!$K:$K,"Y",'Formatted Data'!$E:$E,'Headline Data'!$B21,'Formatted Data'!$D:$D,'Headline Data'!Q$20),"")</f>
        <v/>
      </c>
      <c r="R21" s="67" t="str">
        <f>IFERROR(AVERAGEIFS('Formatted Data'!$G:$G,'Formatted Data'!$K:$K,"Y",'Formatted Data'!$E:$E,'Headline Data'!$B21,'Formatted Data'!$D:$D,'Headline Data'!R$20),"")</f>
        <v/>
      </c>
      <c r="S21" s="67" t="str">
        <f>IFERROR(AVERAGEIFS('Formatted Data'!$G:$G,'Formatted Data'!$K:$K,"Y",'Formatted Data'!$E:$E,'Headline Data'!$B21,'Formatted Data'!$D:$D,'Headline Data'!S$20),"")</f>
        <v/>
      </c>
      <c r="T21" s="67" t="str">
        <f>IFERROR(AVERAGEIFS('Formatted Data'!$G:$G,'Formatted Data'!$K:$K,"Y",'Formatted Data'!$E:$E,'Headline Data'!$B21,'Formatted Data'!$D:$D,'Headline Data'!T$20),"")</f>
        <v/>
      </c>
      <c r="U21" s="67" t="str">
        <f>IFERROR(AVERAGEIFS('Formatted Data'!$G:$G,'Formatted Data'!$K:$K,"Y",'Formatted Data'!$E:$E,'Headline Data'!$B21,'Formatted Data'!$D:$D,'Headline Data'!U$20),"")</f>
        <v/>
      </c>
      <c r="V21" s="67" t="str">
        <f>IFERROR(AVERAGEIFS('Formatted Data'!$G:$G,'Formatted Data'!$K:$K,"Y",'Formatted Data'!$E:$E,'Headline Data'!$B21,'Formatted Data'!$D:$D,'Headline Data'!V$20),"")</f>
        <v/>
      </c>
    </row>
    <row r="22" spans="2:22" ht="20.100000000000001" customHeight="1" x14ac:dyDescent="0.25">
      <c r="B22" s="60" t="s">
        <v>17</v>
      </c>
      <c r="C22" s="65">
        <f>SUMIFS('Formatted Data'!G:G,'Formatted Data'!K:K,"Y",'Formatted Data'!E:E,B22)/60</f>
        <v>0</v>
      </c>
      <c r="D22" s="48">
        <f t="shared" ref="D22:D32" si="4">(C22*60)</f>
        <v>0</v>
      </c>
      <c r="E22" s="52" t="e">
        <f t="shared" si="3"/>
        <v>#DIV/0!</v>
      </c>
      <c r="F22" s="67" t="str">
        <f>IFERROR(AVERAGEIFS('Formatted Data'!$G:$G,'Formatted Data'!$K:$K,"Y",'Formatted Data'!$E:$E,'Headline Data'!$B22,'Formatted Data'!$D:$D,'Headline Data'!F$20),"")</f>
        <v/>
      </c>
      <c r="G22" s="67" t="str">
        <f>IFERROR(AVERAGEIFS('Formatted Data'!$G:$G,'Formatted Data'!$K:$K,"Y",'Formatted Data'!$E:$E,'Headline Data'!$B22,'Formatted Data'!$D:$D,'Headline Data'!G$20),"")</f>
        <v/>
      </c>
      <c r="H22" s="67" t="str">
        <f>IFERROR(AVERAGEIFS('Formatted Data'!$G:$G,'Formatted Data'!$K:$K,"Y",'Formatted Data'!$E:$E,'Headline Data'!$B22,'Formatted Data'!$D:$D,'Headline Data'!H$20),"")</f>
        <v/>
      </c>
      <c r="I22" s="67" t="str">
        <f>IFERROR(AVERAGEIFS('Formatted Data'!$G:$G,'Formatted Data'!$K:$K,"Y",'Formatted Data'!$E:$E,'Headline Data'!$B22,'Formatted Data'!$D:$D,'Headline Data'!I$20),"")</f>
        <v/>
      </c>
      <c r="J22" s="67" t="str">
        <f>IFERROR(AVERAGEIFS('Formatted Data'!$G:$G,'Formatted Data'!$K:$K,"Y",'Formatted Data'!$E:$E,'Headline Data'!$B22,'Formatted Data'!$D:$D,'Headline Data'!J$20),"")</f>
        <v/>
      </c>
      <c r="K22" s="67" t="str">
        <f>IFERROR(AVERAGEIFS('Formatted Data'!$G:$G,'Formatted Data'!$K:$K,"Y",'Formatted Data'!$E:$E,'Headline Data'!$B22,'Formatted Data'!$D:$D,'Headline Data'!K$20),"")</f>
        <v/>
      </c>
      <c r="L22" s="67" t="str">
        <f>IFERROR(AVERAGEIFS('Formatted Data'!$G:$G,'Formatted Data'!$K:$K,"Y",'Formatted Data'!$E:$E,'Headline Data'!$B22,'Formatted Data'!$D:$D,'Headline Data'!L$20),"")</f>
        <v/>
      </c>
      <c r="M22" s="67" t="str">
        <f>IFERROR(AVERAGEIFS('Formatted Data'!$G:$G,'Formatted Data'!$K:$K,"Y",'Formatted Data'!$E:$E,'Headline Data'!$B22,'Formatted Data'!$D:$D,'Headline Data'!M$20),"")</f>
        <v/>
      </c>
      <c r="N22" s="67" t="str">
        <f>IFERROR(AVERAGEIFS('Formatted Data'!$G:$G,'Formatted Data'!$K:$K,"Y",'Formatted Data'!$E:$E,'Headline Data'!$B22,'Formatted Data'!$D:$D,'Headline Data'!N$20),"")</f>
        <v/>
      </c>
      <c r="O22" s="67" t="str">
        <f>IFERROR(AVERAGEIFS('Formatted Data'!$G:$G,'Formatted Data'!$K:$K,"Y",'Formatted Data'!$E:$E,'Headline Data'!$B22,'Formatted Data'!$D:$D,'Headline Data'!O$20),"")</f>
        <v/>
      </c>
      <c r="P22" s="67" t="str">
        <f>IFERROR(AVERAGEIFS('Formatted Data'!$G:$G,'Formatted Data'!$K:$K,"Y",'Formatted Data'!$E:$E,'Headline Data'!$B22,'Formatted Data'!$D:$D,'Headline Data'!P$20),"")</f>
        <v/>
      </c>
      <c r="Q22" s="67" t="str">
        <f>IFERROR(AVERAGEIFS('Formatted Data'!$G:$G,'Formatted Data'!$K:$K,"Y",'Formatted Data'!$E:$E,'Headline Data'!$B22,'Formatted Data'!$D:$D,'Headline Data'!Q$20),"")</f>
        <v/>
      </c>
      <c r="R22" s="67" t="str">
        <f>IFERROR(AVERAGEIFS('Formatted Data'!$G:$G,'Formatted Data'!$K:$K,"Y",'Formatted Data'!$E:$E,'Headline Data'!$B22,'Formatted Data'!$D:$D,'Headline Data'!R$20),"")</f>
        <v/>
      </c>
      <c r="S22" s="67" t="str">
        <f>IFERROR(AVERAGEIFS('Formatted Data'!$G:$G,'Formatted Data'!$K:$K,"Y",'Formatted Data'!$E:$E,'Headline Data'!$B22,'Formatted Data'!$D:$D,'Headline Data'!S$20),"")</f>
        <v/>
      </c>
      <c r="T22" s="67" t="str">
        <f>IFERROR(AVERAGEIFS('Formatted Data'!$G:$G,'Formatted Data'!$K:$K,"Y",'Formatted Data'!$E:$E,'Headline Data'!$B22,'Formatted Data'!$D:$D,'Headline Data'!T$20),"")</f>
        <v/>
      </c>
      <c r="U22" s="67" t="str">
        <f>IFERROR(AVERAGEIFS('Formatted Data'!$G:$G,'Formatted Data'!$K:$K,"Y",'Formatted Data'!$E:$E,'Headline Data'!$B22,'Formatted Data'!$D:$D,'Headline Data'!U$20),"")</f>
        <v/>
      </c>
      <c r="V22" s="67" t="str">
        <f>IFERROR(AVERAGEIFS('Formatted Data'!$G:$G,'Formatted Data'!$K:$K,"Y",'Formatted Data'!$E:$E,'Headline Data'!$B22,'Formatted Data'!$D:$D,'Headline Data'!V$20),"")</f>
        <v/>
      </c>
    </row>
    <row r="23" spans="2:22" ht="20.100000000000001" customHeight="1" x14ac:dyDescent="0.25">
      <c r="B23" s="60" t="s">
        <v>25</v>
      </c>
      <c r="C23" s="65">
        <f>SUMIFS('Formatted Data'!G:G,'Formatted Data'!K:K,"Y",'Formatted Data'!E:E,B23)/60</f>
        <v>0</v>
      </c>
      <c r="D23" s="48">
        <f t="shared" si="4"/>
        <v>0</v>
      </c>
      <c r="E23" s="52" t="e">
        <f t="shared" si="3"/>
        <v>#DIV/0!</v>
      </c>
      <c r="F23" s="67" t="str">
        <f>IFERROR(AVERAGEIFS('Formatted Data'!$G:$G,'Formatted Data'!$K:$K,"Y",'Formatted Data'!$E:$E,'Headline Data'!$B23,'Formatted Data'!$D:$D,'Headline Data'!F$20),"")</f>
        <v/>
      </c>
      <c r="G23" s="67" t="str">
        <f>IFERROR(AVERAGEIFS('Formatted Data'!$G:$G,'Formatted Data'!$K:$K,"Y",'Formatted Data'!$E:$E,'Headline Data'!$B23,'Formatted Data'!$D:$D,'Headline Data'!G$20),"")</f>
        <v/>
      </c>
      <c r="H23" s="67" t="str">
        <f>IFERROR(AVERAGEIFS('Formatted Data'!$G:$G,'Formatted Data'!$K:$K,"Y",'Formatted Data'!$E:$E,'Headline Data'!$B23,'Formatted Data'!$D:$D,'Headline Data'!H$20),"")</f>
        <v/>
      </c>
      <c r="I23" s="67" t="str">
        <f>IFERROR(AVERAGEIFS('Formatted Data'!$G:$G,'Formatted Data'!$K:$K,"Y",'Formatted Data'!$E:$E,'Headline Data'!$B23,'Formatted Data'!$D:$D,'Headline Data'!I$20),"")</f>
        <v/>
      </c>
      <c r="J23" s="67" t="str">
        <f>IFERROR(AVERAGEIFS('Formatted Data'!$G:$G,'Formatted Data'!$K:$K,"Y",'Formatted Data'!$E:$E,'Headline Data'!$B23,'Formatted Data'!$D:$D,'Headline Data'!J$20),"")</f>
        <v/>
      </c>
      <c r="K23" s="67" t="str">
        <f>IFERROR(AVERAGEIFS('Formatted Data'!$G:$G,'Formatted Data'!$K:$K,"Y",'Formatted Data'!$E:$E,'Headline Data'!$B23,'Formatted Data'!$D:$D,'Headline Data'!K$20),"")</f>
        <v/>
      </c>
      <c r="L23" s="67" t="str">
        <f>IFERROR(AVERAGEIFS('Formatted Data'!$G:$G,'Formatted Data'!$K:$K,"Y",'Formatted Data'!$E:$E,'Headline Data'!$B23,'Formatted Data'!$D:$D,'Headline Data'!L$20),"")</f>
        <v/>
      </c>
      <c r="M23" s="67" t="str">
        <f>IFERROR(AVERAGEIFS('Formatted Data'!$G:$G,'Formatted Data'!$K:$K,"Y",'Formatted Data'!$E:$E,'Headline Data'!$B23,'Formatted Data'!$D:$D,'Headline Data'!M$20),"")</f>
        <v/>
      </c>
      <c r="N23" s="67" t="str">
        <f>IFERROR(AVERAGEIFS('Formatted Data'!$G:$G,'Formatted Data'!$K:$K,"Y",'Formatted Data'!$E:$E,'Headline Data'!$B23,'Formatted Data'!$D:$D,'Headline Data'!N$20),"")</f>
        <v/>
      </c>
      <c r="O23" s="67" t="str">
        <f>IFERROR(AVERAGEIFS('Formatted Data'!$G:$G,'Formatted Data'!$K:$K,"Y",'Formatted Data'!$E:$E,'Headline Data'!$B23,'Formatted Data'!$D:$D,'Headline Data'!O$20),"")</f>
        <v/>
      </c>
      <c r="P23" s="67" t="str">
        <f>IFERROR(AVERAGEIFS('Formatted Data'!$G:$G,'Formatted Data'!$K:$K,"Y",'Formatted Data'!$E:$E,'Headline Data'!$B23,'Formatted Data'!$D:$D,'Headline Data'!P$20),"")</f>
        <v/>
      </c>
      <c r="Q23" s="67" t="str">
        <f>IFERROR(AVERAGEIFS('Formatted Data'!$G:$G,'Formatted Data'!$K:$K,"Y",'Formatted Data'!$E:$E,'Headline Data'!$B23,'Formatted Data'!$D:$D,'Headline Data'!Q$20),"")</f>
        <v/>
      </c>
      <c r="R23" s="67" t="str">
        <f>IFERROR(AVERAGEIFS('Formatted Data'!$G:$G,'Formatted Data'!$K:$K,"Y",'Formatted Data'!$E:$E,'Headline Data'!$B23,'Formatted Data'!$D:$D,'Headline Data'!R$20),"")</f>
        <v/>
      </c>
      <c r="S23" s="67" t="str">
        <f>IFERROR(AVERAGEIFS('Formatted Data'!$G:$G,'Formatted Data'!$K:$K,"Y",'Formatted Data'!$E:$E,'Headline Data'!$B23,'Formatted Data'!$D:$D,'Headline Data'!S$20),"")</f>
        <v/>
      </c>
      <c r="T23" s="67" t="str">
        <f>IFERROR(AVERAGEIFS('Formatted Data'!$G:$G,'Formatted Data'!$K:$K,"Y",'Formatted Data'!$E:$E,'Headline Data'!$B23,'Formatted Data'!$D:$D,'Headline Data'!T$20),"")</f>
        <v/>
      </c>
      <c r="U23" s="67" t="str">
        <f>IFERROR(AVERAGEIFS('Formatted Data'!$G:$G,'Formatted Data'!$K:$K,"Y",'Formatted Data'!$E:$E,'Headline Data'!$B23,'Formatted Data'!$D:$D,'Headline Data'!U$20),"")</f>
        <v/>
      </c>
      <c r="V23" s="67" t="str">
        <f>IFERROR(AVERAGEIFS('Formatted Data'!$G:$G,'Formatted Data'!$K:$K,"Y",'Formatted Data'!$E:$E,'Headline Data'!$B23,'Formatted Data'!$D:$D,'Headline Data'!V$20),"")</f>
        <v/>
      </c>
    </row>
    <row r="24" spans="2:22" ht="20.100000000000001" customHeight="1" x14ac:dyDescent="0.25">
      <c r="B24" s="60" t="s">
        <v>29</v>
      </c>
      <c r="C24" s="65">
        <f>SUMIFS('Formatted Data'!G:G,'Formatted Data'!K:K,"Y",'Formatted Data'!E:E,B24)/60</f>
        <v>0</v>
      </c>
      <c r="D24" s="48">
        <f t="shared" si="4"/>
        <v>0</v>
      </c>
      <c r="E24" s="52" t="e">
        <f t="shared" si="3"/>
        <v>#DIV/0!</v>
      </c>
      <c r="F24" s="67" t="str">
        <f>IFERROR(AVERAGEIFS('Formatted Data'!$G:$G,'Formatted Data'!$K:$K,"Y",'Formatted Data'!$E:$E,'Headline Data'!$B24,'Formatted Data'!$D:$D,'Headline Data'!F$20),"")</f>
        <v/>
      </c>
      <c r="G24" s="67" t="str">
        <f>IFERROR(AVERAGEIFS('Formatted Data'!$G:$G,'Formatted Data'!$K:$K,"Y",'Formatted Data'!$E:$E,'Headline Data'!$B24,'Formatted Data'!$D:$D,'Headline Data'!G$20),"")</f>
        <v/>
      </c>
      <c r="H24" s="67" t="str">
        <f>IFERROR(AVERAGEIFS('Formatted Data'!$G:$G,'Formatted Data'!$K:$K,"Y",'Formatted Data'!$E:$E,'Headline Data'!$B24,'Formatted Data'!$D:$D,'Headline Data'!H$20),"")</f>
        <v/>
      </c>
      <c r="I24" s="67" t="str">
        <f>IFERROR(AVERAGEIFS('Formatted Data'!$G:$G,'Formatted Data'!$K:$K,"Y",'Formatted Data'!$E:$E,'Headline Data'!$B24,'Formatted Data'!$D:$D,'Headline Data'!I$20),"")</f>
        <v/>
      </c>
      <c r="J24" s="67" t="str">
        <f>IFERROR(AVERAGEIFS('Formatted Data'!$G:$G,'Formatted Data'!$K:$K,"Y",'Formatted Data'!$E:$E,'Headline Data'!$B24,'Formatted Data'!$D:$D,'Headline Data'!J$20),"")</f>
        <v/>
      </c>
      <c r="K24" s="67" t="str">
        <f>IFERROR(AVERAGEIFS('Formatted Data'!$G:$G,'Formatted Data'!$K:$K,"Y",'Formatted Data'!$E:$E,'Headline Data'!$B24,'Formatted Data'!$D:$D,'Headline Data'!K$20),"")</f>
        <v/>
      </c>
      <c r="L24" s="67" t="str">
        <f>IFERROR(AVERAGEIFS('Formatted Data'!$G:$G,'Formatted Data'!$K:$K,"Y",'Formatted Data'!$E:$E,'Headline Data'!$B24,'Formatted Data'!$D:$D,'Headline Data'!L$20),"")</f>
        <v/>
      </c>
      <c r="M24" s="67" t="str">
        <f>IFERROR(AVERAGEIFS('Formatted Data'!$G:$G,'Formatted Data'!$K:$K,"Y",'Formatted Data'!$E:$E,'Headline Data'!$B24,'Formatted Data'!$D:$D,'Headline Data'!M$20),"")</f>
        <v/>
      </c>
      <c r="N24" s="67" t="str">
        <f>IFERROR(AVERAGEIFS('Formatted Data'!$G:$G,'Formatted Data'!$K:$K,"Y",'Formatted Data'!$E:$E,'Headline Data'!$B24,'Formatted Data'!$D:$D,'Headline Data'!N$20),"")</f>
        <v/>
      </c>
      <c r="O24" s="67" t="str">
        <f>IFERROR(AVERAGEIFS('Formatted Data'!$G:$G,'Formatted Data'!$K:$K,"Y",'Formatted Data'!$E:$E,'Headline Data'!$B24,'Formatted Data'!$D:$D,'Headline Data'!O$20),"")</f>
        <v/>
      </c>
      <c r="P24" s="67" t="str">
        <f>IFERROR(AVERAGEIFS('Formatted Data'!$G:$G,'Formatted Data'!$K:$K,"Y",'Formatted Data'!$E:$E,'Headline Data'!$B24,'Formatted Data'!$D:$D,'Headline Data'!P$20),"")</f>
        <v/>
      </c>
      <c r="Q24" s="67" t="str">
        <f>IFERROR(AVERAGEIFS('Formatted Data'!$G:$G,'Formatted Data'!$K:$K,"Y",'Formatted Data'!$E:$E,'Headline Data'!$B24,'Formatted Data'!$D:$D,'Headline Data'!Q$20),"")</f>
        <v/>
      </c>
      <c r="R24" s="67" t="str">
        <f>IFERROR(AVERAGEIFS('Formatted Data'!$G:$G,'Formatted Data'!$K:$K,"Y",'Formatted Data'!$E:$E,'Headline Data'!$B24,'Formatted Data'!$D:$D,'Headline Data'!R$20),"")</f>
        <v/>
      </c>
      <c r="S24" s="67" t="str">
        <f>IFERROR(AVERAGEIFS('Formatted Data'!$G:$G,'Formatted Data'!$K:$K,"Y",'Formatted Data'!$E:$E,'Headline Data'!$B24,'Formatted Data'!$D:$D,'Headline Data'!S$20),"")</f>
        <v/>
      </c>
      <c r="T24" s="67" t="str">
        <f>IFERROR(AVERAGEIFS('Formatted Data'!$G:$G,'Formatted Data'!$K:$K,"Y",'Formatted Data'!$E:$E,'Headline Data'!$B24,'Formatted Data'!$D:$D,'Headline Data'!T$20),"")</f>
        <v/>
      </c>
      <c r="U24" s="67" t="str">
        <f>IFERROR(AVERAGEIFS('Formatted Data'!$G:$G,'Formatted Data'!$K:$K,"Y",'Formatted Data'!$E:$E,'Headline Data'!$B24,'Formatted Data'!$D:$D,'Headline Data'!U$20),"")</f>
        <v/>
      </c>
      <c r="V24" s="67" t="str">
        <f>IFERROR(AVERAGEIFS('Formatted Data'!$G:$G,'Formatted Data'!$K:$K,"Y",'Formatted Data'!$E:$E,'Headline Data'!$B24,'Formatted Data'!$D:$D,'Headline Data'!V$20),"")</f>
        <v/>
      </c>
    </row>
    <row r="25" spans="2:22" ht="20.100000000000001" customHeight="1" x14ac:dyDescent="0.25">
      <c r="B25" s="60" t="s">
        <v>30</v>
      </c>
      <c r="C25" s="65">
        <f>SUMIFS('Formatted Data'!G:G,'Formatted Data'!K:K,"Y",'Formatted Data'!E:E,B25)/60</f>
        <v>0</v>
      </c>
      <c r="D25" s="48">
        <f t="shared" si="4"/>
        <v>0</v>
      </c>
      <c r="E25" s="52" t="e">
        <f t="shared" si="3"/>
        <v>#DIV/0!</v>
      </c>
      <c r="F25" s="67" t="str">
        <f>IFERROR(AVERAGEIFS('Formatted Data'!$G:$G,'Formatted Data'!$K:$K,"Y",'Formatted Data'!$E:$E,'Headline Data'!$B25,'Formatted Data'!$D:$D,'Headline Data'!F$20),"")</f>
        <v/>
      </c>
      <c r="G25" s="67" t="str">
        <f>IFERROR(AVERAGEIFS('Formatted Data'!$G:$G,'Formatted Data'!$K:$K,"Y",'Formatted Data'!$E:$E,'Headline Data'!$B25,'Formatted Data'!$D:$D,'Headline Data'!G$20),"")</f>
        <v/>
      </c>
      <c r="H25" s="67" t="str">
        <f>IFERROR(AVERAGEIFS('Formatted Data'!$G:$G,'Formatted Data'!$K:$K,"Y",'Formatted Data'!$E:$E,'Headline Data'!$B25,'Formatted Data'!$D:$D,'Headline Data'!H$20),"")</f>
        <v/>
      </c>
      <c r="I25" s="67" t="str">
        <f>IFERROR(AVERAGEIFS('Formatted Data'!$G:$G,'Formatted Data'!$K:$K,"Y",'Formatted Data'!$E:$E,'Headline Data'!$B25,'Formatted Data'!$D:$D,'Headline Data'!I$20),"")</f>
        <v/>
      </c>
      <c r="J25" s="67" t="str">
        <f>IFERROR(AVERAGEIFS('Formatted Data'!$G:$G,'Formatted Data'!$K:$K,"Y",'Formatted Data'!$E:$E,'Headline Data'!$B25,'Formatted Data'!$D:$D,'Headline Data'!J$20),"")</f>
        <v/>
      </c>
      <c r="K25" s="67" t="str">
        <f>IFERROR(AVERAGEIFS('Formatted Data'!$G:$G,'Formatted Data'!$K:$K,"Y",'Formatted Data'!$E:$E,'Headline Data'!$B25,'Formatted Data'!$D:$D,'Headline Data'!K$20),"")</f>
        <v/>
      </c>
      <c r="L25" s="67" t="str">
        <f>IFERROR(AVERAGEIFS('Formatted Data'!$G:$G,'Formatted Data'!$K:$K,"Y",'Formatted Data'!$E:$E,'Headline Data'!$B25,'Formatted Data'!$D:$D,'Headline Data'!L$20),"")</f>
        <v/>
      </c>
      <c r="M25" s="67" t="str">
        <f>IFERROR(AVERAGEIFS('Formatted Data'!$G:$G,'Formatted Data'!$K:$K,"Y",'Formatted Data'!$E:$E,'Headline Data'!$B25,'Formatted Data'!$D:$D,'Headline Data'!M$20),"")</f>
        <v/>
      </c>
      <c r="N25" s="67" t="s">
        <v>59</v>
      </c>
      <c r="O25" s="67" t="str">
        <f>IFERROR(AVERAGEIFS('Formatted Data'!$G:$G,'Formatted Data'!$K:$K,"Y",'Formatted Data'!$E:$E,'Headline Data'!$B25,'Formatted Data'!$D:$D,'Headline Data'!O$20),"")</f>
        <v/>
      </c>
      <c r="P25" s="67" t="str">
        <f>IFERROR(AVERAGEIFS('Formatted Data'!$G:$G,'Formatted Data'!$K:$K,"Y",'Formatted Data'!$E:$E,'Headline Data'!$B25,'Formatted Data'!$D:$D,'Headline Data'!P$20),"")</f>
        <v/>
      </c>
      <c r="Q25" s="67" t="str">
        <f>IFERROR(AVERAGEIFS('Formatted Data'!$G:$G,'Formatted Data'!$K:$K,"Y",'Formatted Data'!$E:$E,'Headline Data'!$B25,'Formatted Data'!$D:$D,'Headline Data'!Q$20),"")</f>
        <v/>
      </c>
      <c r="R25" s="67" t="str">
        <f>IFERROR(AVERAGEIFS('Formatted Data'!$G:$G,'Formatted Data'!$K:$K,"Y",'Formatted Data'!$E:$E,'Headline Data'!$B25,'Formatted Data'!$D:$D,'Headline Data'!R$20),"")</f>
        <v/>
      </c>
      <c r="S25" s="67" t="str">
        <f>IFERROR(AVERAGEIFS('Formatted Data'!$G:$G,'Formatted Data'!$K:$K,"Y",'Formatted Data'!$E:$E,'Headline Data'!$B25,'Formatted Data'!$D:$D,'Headline Data'!S$20),"")</f>
        <v/>
      </c>
      <c r="T25" s="67" t="str">
        <f>IFERROR(AVERAGEIFS('Formatted Data'!$G:$G,'Formatted Data'!$K:$K,"Y",'Formatted Data'!$E:$E,'Headline Data'!$B25,'Formatted Data'!$D:$D,'Headline Data'!T$20),"")</f>
        <v/>
      </c>
      <c r="U25" s="67" t="str">
        <f>IFERROR(AVERAGEIFS('Formatted Data'!$G:$G,'Formatted Data'!$K:$K,"Y",'Formatted Data'!$E:$E,'Headline Data'!$B25,'Formatted Data'!$D:$D,'Headline Data'!U$20),"")</f>
        <v/>
      </c>
      <c r="V25" s="67" t="str">
        <f>IFERROR(AVERAGEIFS('Formatted Data'!$G:$G,'Formatted Data'!$K:$K,"Y",'Formatted Data'!$E:$E,'Headline Data'!$B25,'Formatted Data'!$D:$D,'Headline Data'!V$20),"")</f>
        <v/>
      </c>
    </row>
    <row r="26" spans="2:22" ht="20.100000000000001" customHeight="1" x14ac:dyDescent="0.25">
      <c r="B26" s="60" t="s">
        <v>26</v>
      </c>
      <c r="C26" s="65">
        <f>SUMIFS('Formatted Data'!G:G,'Formatted Data'!K:K,"Y",'Formatted Data'!E:E,B26)/60</f>
        <v>0</v>
      </c>
      <c r="D26" s="48">
        <f t="shared" si="4"/>
        <v>0</v>
      </c>
      <c r="E26" s="52" t="e">
        <f t="shared" si="3"/>
        <v>#DIV/0!</v>
      </c>
      <c r="F26" s="67" t="str">
        <f>IFERROR(AVERAGEIFS('Formatted Data'!$G:$G,'Formatted Data'!$K:$K,"Y",'Formatted Data'!$E:$E,'Headline Data'!$B26,'Formatted Data'!$D:$D,'Headline Data'!F$20),"")</f>
        <v/>
      </c>
      <c r="G26" s="67" t="str">
        <f>IFERROR(AVERAGEIFS('Formatted Data'!$G:$G,'Formatted Data'!$K:$K,"Y",'Formatted Data'!$E:$E,'Headline Data'!$B26,'Formatted Data'!$D:$D,'Headline Data'!G$20),"")</f>
        <v/>
      </c>
      <c r="H26" s="67" t="str">
        <f>IFERROR(AVERAGEIFS('Formatted Data'!$G:$G,'Formatted Data'!$K:$K,"Y",'Formatted Data'!$E:$E,'Headline Data'!$B26,'Formatted Data'!$D:$D,'Headline Data'!H$20),"")</f>
        <v/>
      </c>
      <c r="I26" s="67" t="str">
        <f>IFERROR(AVERAGEIFS('Formatted Data'!$G:$G,'Formatted Data'!$K:$K,"Y",'Formatted Data'!$E:$E,'Headline Data'!$B26,'Formatted Data'!$D:$D,'Headline Data'!I$20),"")</f>
        <v/>
      </c>
      <c r="J26" s="67" t="str">
        <f>IFERROR(AVERAGEIFS('Formatted Data'!$G:$G,'Formatted Data'!$K:$K,"Y",'Formatted Data'!$E:$E,'Headline Data'!$B26,'Formatted Data'!$D:$D,'Headline Data'!J$20),"")</f>
        <v/>
      </c>
      <c r="K26" s="67" t="str">
        <f>IFERROR(AVERAGEIFS('Formatted Data'!$G:$G,'Formatted Data'!$K:$K,"Y",'Formatted Data'!$E:$E,'Headline Data'!$B26,'Formatted Data'!$D:$D,'Headline Data'!K$20),"")</f>
        <v/>
      </c>
      <c r="L26" s="67" t="str">
        <f>IFERROR(AVERAGEIFS('Formatted Data'!$G:$G,'Formatted Data'!$K:$K,"Y",'Formatted Data'!$E:$E,'Headline Data'!$B26,'Formatted Data'!$D:$D,'Headline Data'!L$20),"")</f>
        <v/>
      </c>
      <c r="M26" s="67" t="str">
        <f>IFERROR(AVERAGEIFS('Formatted Data'!$G:$G,'Formatted Data'!$K:$K,"Y",'Formatted Data'!$E:$E,'Headline Data'!$B26,'Formatted Data'!$D:$D,'Headline Data'!M$20),"")</f>
        <v/>
      </c>
      <c r="N26" s="67" t="str">
        <f>IFERROR(AVERAGEIFS('Formatted Data'!$G:$G,'Formatted Data'!$K:$K,"Y",'Formatted Data'!$E:$E,'Headline Data'!$B26,'Formatted Data'!$D:$D,'Headline Data'!N$20),"")</f>
        <v/>
      </c>
      <c r="O26" s="67" t="str">
        <f>IFERROR(AVERAGEIFS('Formatted Data'!$G:$G,'Formatted Data'!$K:$K,"Y",'Formatted Data'!$E:$E,'Headline Data'!$B26,'Formatted Data'!$D:$D,'Headline Data'!O$20),"")</f>
        <v/>
      </c>
      <c r="P26" s="67" t="str">
        <f>IFERROR(AVERAGEIFS('Formatted Data'!$G:$G,'Formatted Data'!$K:$K,"Y",'Formatted Data'!$E:$E,'Headline Data'!$B26,'Formatted Data'!$D:$D,'Headline Data'!P$20),"")</f>
        <v/>
      </c>
      <c r="Q26" s="67" t="str">
        <f>IFERROR(AVERAGEIFS('Formatted Data'!$G:$G,'Formatted Data'!$K:$K,"Y",'Formatted Data'!$E:$E,'Headline Data'!$B26,'Formatted Data'!$D:$D,'Headline Data'!Q$20),"")</f>
        <v/>
      </c>
      <c r="R26" s="67" t="str">
        <f>IFERROR(AVERAGEIFS('Formatted Data'!$G:$G,'Formatted Data'!$K:$K,"Y",'Formatted Data'!$E:$E,'Headline Data'!$B26,'Formatted Data'!$D:$D,'Headline Data'!R$20),"")</f>
        <v/>
      </c>
      <c r="S26" s="67" t="str">
        <f>IFERROR(AVERAGEIFS('Formatted Data'!$G:$G,'Formatted Data'!$K:$K,"Y",'Formatted Data'!$E:$E,'Headline Data'!$B26,'Formatted Data'!$D:$D,'Headline Data'!S$20),"")</f>
        <v/>
      </c>
      <c r="T26" s="67" t="str">
        <f>IFERROR(AVERAGEIFS('Formatted Data'!$G:$G,'Formatted Data'!$K:$K,"Y",'Formatted Data'!$E:$E,'Headline Data'!$B26,'Formatted Data'!$D:$D,'Headline Data'!T$20),"")</f>
        <v/>
      </c>
      <c r="U26" s="67" t="str">
        <f>IFERROR(AVERAGEIFS('Formatted Data'!$G:$G,'Formatted Data'!$K:$K,"Y",'Formatted Data'!$E:$E,'Headline Data'!$B26,'Formatted Data'!$D:$D,'Headline Data'!U$20),"")</f>
        <v/>
      </c>
      <c r="V26" s="67" t="str">
        <f>IFERROR(AVERAGEIFS('Formatted Data'!$G:$G,'Formatted Data'!$K:$K,"Y",'Formatted Data'!$E:$E,'Headline Data'!$B26,'Formatted Data'!$D:$D,'Headline Data'!V$20),"")</f>
        <v/>
      </c>
    </row>
    <row r="27" spans="2:22" ht="20.100000000000001" customHeight="1" x14ac:dyDescent="0.25">
      <c r="B27" s="60" t="s">
        <v>28</v>
      </c>
      <c r="C27" s="65">
        <f>SUMIFS('Formatted Data'!G:G,'Formatted Data'!K:K,"Y",'Formatted Data'!E:E,B27)/60</f>
        <v>0</v>
      </c>
      <c r="D27" s="48">
        <f t="shared" si="4"/>
        <v>0</v>
      </c>
      <c r="E27" s="52" t="e">
        <f t="shared" si="3"/>
        <v>#DIV/0!</v>
      </c>
      <c r="F27" s="67" t="str">
        <f>IFERROR(AVERAGEIFS('Formatted Data'!$G:$G,'Formatted Data'!$K:$K,"Y",'Formatted Data'!$E:$E,'Headline Data'!$B27,'Formatted Data'!$D:$D,'Headline Data'!F$20),"")</f>
        <v/>
      </c>
      <c r="G27" s="67" t="str">
        <f>IFERROR(AVERAGEIFS('Formatted Data'!$G:$G,'Formatted Data'!$K:$K,"Y",'Formatted Data'!$E:$E,'Headline Data'!$B27,'Formatted Data'!$D:$D,'Headline Data'!G$20),"")</f>
        <v/>
      </c>
      <c r="H27" s="67" t="str">
        <f>IFERROR(AVERAGEIFS('Formatted Data'!$G:$G,'Formatted Data'!$K:$K,"Y",'Formatted Data'!$E:$E,'Headline Data'!$B27,'Formatted Data'!$D:$D,'Headline Data'!H$20),"")</f>
        <v/>
      </c>
      <c r="I27" s="67" t="str">
        <f>IFERROR(AVERAGEIFS('Formatted Data'!$G:$G,'Formatted Data'!$K:$K,"Y",'Formatted Data'!$E:$E,'Headline Data'!$B27,'Formatted Data'!$D:$D,'Headline Data'!I$20),"")</f>
        <v/>
      </c>
      <c r="J27" s="67" t="str">
        <f>IFERROR(AVERAGEIFS('Formatted Data'!$G:$G,'Formatted Data'!$K:$K,"Y",'Formatted Data'!$E:$E,'Headline Data'!$B27,'Formatted Data'!$D:$D,'Headline Data'!J$20),"")</f>
        <v/>
      </c>
      <c r="K27" s="67" t="str">
        <f>IFERROR(AVERAGEIFS('Formatted Data'!$G:$G,'Formatted Data'!$K:$K,"Y",'Formatted Data'!$E:$E,'Headline Data'!$B27,'Formatted Data'!$D:$D,'Headline Data'!K$20),"")</f>
        <v/>
      </c>
      <c r="L27" s="67" t="str">
        <f>IFERROR(AVERAGEIFS('Formatted Data'!$G:$G,'Formatted Data'!$K:$K,"Y",'Formatted Data'!$E:$E,'Headline Data'!$B27,'Formatted Data'!$D:$D,'Headline Data'!L$20),"")</f>
        <v/>
      </c>
      <c r="M27" s="67" t="str">
        <f>IFERROR(AVERAGEIFS('Formatted Data'!$G:$G,'Formatted Data'!$K:$K,"Y",'Formatted Data'!$E:$E,'Headline Data'!$B27,'Formatted Data'!$D:$D,'Headline Data'!M$20),"")</f>
        <v/>
      </c>
      <c r="N27" s="67" t="str">
        <f>IFERROR(AVERAGEIFS('Formatted Data'!$G:$G,'Formatted Data'!$K:$K,"Y",'Formatted Data'!$E:$E,'Headline Data'!$B27,'Formatted Data'!$D:$D,'Headline Data'!N$20),"")</f>
        <v/>
      </c>
      <c r="O27" s="67" t="str">
        <f>IFERROR(AVERAGEIFS('Formatted Data'!$G:$G,'Formatted Data'!$K:$K,"Y",'Formatted Data'!$E:$E,'Headline Data'!$B27,'Formatted Data'!$D:$D,'Headline Data'!O$20),"")</f>
        <v/>
      </c>
      <c r="P27" s="67" t="str">
        <f>IFERROR(AVERAGEIFS('Formatted Data'!$G:$G,'Formatted Data'!$K:$K,"Y",'Formatted Data'!$E:$E,'Headline Data'!$B27,'Formatted Data'!$D:$D,'Headline Data'!P$20),"")</f>
        <v/>
      </c>
      <c r="Q27" s="67" t="str">
        <f>IFERROR(AVERAGEIFS('Formatted Data'!$G:$G,'Formatted Data'!$K:$K,"Y",'Formatted Data'!$E:$E,'Headline Data'!$B27,'Formatted Data'!$D:$D,'Headline Data'!Q$20),"")</f>
        <v/>
      </c>
      <c r="R27" s="67" t="str">
        <f>IFERROR(AVERAGEIFS('Formatted Data'!$G:$G,'Formatted Data'!$K:$K,"Y",'Formatted Data'!$E:$E,'Headline Data'!$B27,'Formatted Data'!$D:$D,'Headline Data'!R$20),"")</f>
        <v/>
      </c>
      <c r="S27" s="67" t="str">
        <f>IFERROR(AVERAGEIFS('Formatted Data'!$G:$G,'Formatted Data'!$K:$K,"Y",'Formatted Data'!$E:$E,'Headline Data'!$B27,'Formatted Data'!$D:$D,'Headline Data'!S$20),"")</f>
        <v/>
      </c>
      <c r="T27" s="67" t="str">
        <f>IFERROR(AVERAGEIFS('Formatted Data'!$G:$G,'Formatted Data'!$K:$K,"Y",'Formatted Data'!$E:$E,'Headline Data'!$B27,'Formatted Data'!$D:$D,'Headline Data'!T$20),"")</f>
        <v/>
      </c>
      <c r="U27" s="67" t="str">
        <f>IFERROR(AVERAGEIFS('Formatted Data'!$G:$G,'Formatted Data'!$K:$K,"Y",'Formatted Data'!$E:$E,'Headline Data'!$B27,'Formatted Data'!$D:$D,'Headline Data'!U$20),"")</f>
        <v/>
      </c>
      <c r="V27" s="67" t="str">
        <f>IFERROR(AVERAGEIFS('Formatted Data'!$G:$G,'Formatted Data'!$K:$K,"Y",'Formatted Data'!$E:$E,'Headline Data'!$B27,'Formatted Data'!$D:$D,'Headline Data'!V$20),"")</f>
        <v/>
      </c>
    </row>
    <row r="28" spans="2:22" ht="20.100000000000001" customHeight="1" x14ac:dyDescent="0.25">
      <c r="B28" s="60" t="s">
        <v>40</v>
      </c>
      <c r="C28" s="65">
        <f>SUMIFS('Formatted Data'!G:G,'Formatted Data'!K:K,"Y",'Formatted Data'!E:E,B28)/60</f>
        <v>0</v>
      </c>
      <c r="D28" s="48">
        <f t="shared" si="4"/>
        <v>0</v>
      </c>
      <c r="E28" s="52" t="e">
        <f t="shared" si="3"/>
        <v>#DIV/0!</v>
      </c>
      <c r="F28" s="67" t="str">
        <f>IFERROR(AVERAGEIFS('Formatted Data'!$G:$G,'Formatted Data'!$K:$K,"Y",'Formatted Data'!$E:$E,'Headline Data'!$B28,'Formatted Data'!$D:$D,'Headline Data'!F$20),"")</f>
        <v/>
      </c>
      <c r="G28" s="67" t="str">
        <f>IFERROR(AVERAGEIFS('Formatted Data'!$G:$G,'Formatted Data'!$K:$K,"Y",'Formatted Data'!$E:$E,'Headline Data'!$B28,'Formatted Data'!$D:$D,'Headline Data'!G$20),"")</f>
        <v/>
      </c>
      <c r="H28" s="67" t="str">
        <f>IFERROR(AVERAGEIFS('Formatted Data'!$G:$G,'Formatted Data'!$K:$K,"Y",'Formatted Data'!$E:$E,'Headline Data'!$B28,'Formatted Data'!$D:$D,'Headline Data'!H$20),"")</f>
        <v/>
      </c>
      <c r="I28" s="67" t="str">
        <f>IFERROR(AVERAGEIFS('Formatted Data'!$G:$G,'Formatted Data'!$K:$K,"Y",'Formatted Data'!$E:$E,'Headline Data'!$B28,'Formatted Data'!$D:$D,'Headline Data'!I$20),"")</f>
        <v/>
      </c>
      <c r="J28" s="67" t="str">
        <f>IFERROR(AVERAGEIFS('Formatted Data'!$G:$G,'Formatted Data'!$K:$K,"Y",'Formatted Data'!$E:$E,'Headline Data'!$B28,'Formatted Data'!$D:$D,'Headline Data'!J$20),"")</f>
        <v/>
      </c>
      <c r="K28" s="67" t="str">
        <f>IFERROR(AVERAGEIFS('Formatted Data'!$G:$G,'Formatted Data'!$K:$K,"Y",'Formatted Data'!$E:$E,'Headline Data'!$B28,'Formatted Data'!$D:$D,'Headline Data'!K$20),"")</f>
        <v/>
      </c>
      <c r="L28" s="67" t="str">
        <f>IFERROR(AVERAGEIFS('Formatted Data'!$G:$G,'Formatted Data'!$K:$K,"Y",'Formatted Data'!$E:$E,'Headline Data'!$B28,'Formatted Data'!$D:$D,'Headline Data'!L$20),"")</f>
        <v/>
      </c>
      <c r="M28" s="67" t="str">
        <f>IFERROR(AVERAGEIFS('Formatted Data'!$G:$G,'Formatted Data'!$K:$K,"Y",'Formatted Data'!$E:$E,'Headline Data'!$B28,'Formatted Data'!$D:$D,'Headline Data'!M$20),"")</f>
        <v/>
      </c>
      <c r="N28" s="67" t="str">
        <f>IFERROR(AVERAGEIFS('Formatted Data'!$G:$G,'Formatted Data'!$K:$K,"Y",'Formatted Data'!$E:$E,'Headline Data'!$B28,'Formatted Data'!$D:$D,'Headline Data'!N$20),"")</f>
        <v/>
      </c>
      <c r="O28" s="67" t="str">
        <f>IFERROR(AVERAGEIFS('Formatted Data'!$G:$G,'Formatted Data'!$K:$K,"Y",'Formatted Data'!$E:$E,'Headline Data'!$B28,'Formatted Data'!$D:$D,'Headline Data'!O$20),"")</f>
        <v/>
      </c>
      <c r="P28" s="67" t="str">
        <f>IFERROR(AVERAGEIFS('Formatted Data'!$G:$G,'Formatted Data'!$K:$K,"Y",'Formatted Data'!$E:$E,'Headline Data'!$B28,'Formatted Data'!$D:$D,'Headline Data'!P$20),"")</f>
        <v/>
      </c>
      <c r="Q28" s="67" t="str">
        <f>IFERROR(AVERAGEIFS('Formatted Data'!$G:$G,'Formatted Data'!$K:$K,"Y",'Formatted Data'!$E:$E,'Headline Data'!$B28,'Formatted Data'!$D:$D,'Headline Data'!Q$20),"")</f>
        <v/>
      </c>
      <c r="R28" s="67" t="str">
        <f>IFERROR(AVERAGEIFS('Formatted Data'!$G:$G,'Formatted Data'!$K:$K,"Y",'Formatted Data'!$E:$E,'Headline Data'!$B28,'Formatted Data'!$D:$D,'Headline Data'!R$20),"")</f>
        <v/>
      </c>
      <c r="S28" s="67" t="str">
        <f>IFERROR(AVERAGEIFS('Formatted Data'!$G:$G,'Formatted Data'!$K:$K,"Y",'Formatted Data'!$E:$E,'Headline Data'!$B28,'Formatted Data'!$D:$D,'Headline Data'!S$20),"")</f>
        <v/>
      </c>
      <c r="T28" s="67" t="str">
        <f>IFERROR(AVERAGEIFS('Formatted Data'!$G:$G,'Formatted Data'!$K:$K,"Y",'Formatted Data'!$E:$E,'Headline Data'!$B28,'Formatted Data'!$D:$D,'Headline Data'!T$20),"")</f>
        <v/>
      </c>
      <c r="U28" s="67" t="str">
        <f>IFERROR(AVERAGEIFS('Formatted Data'!$G:$G,'Formatted Data'!$K:$K,"Y",'Formatted Data'!$E:$E,'Headline Data'!$B28,'Formatted Data'!$D:$D,'Headline Data'!U$20),"")</f>
        <v/>
      </c>
      <c r="V28" s="67" t="str">
        <f>IFERROR(AVERAGEIFS('Formatted Data'!$G:$G,'Formatted Data'!$K:$K,"Y",'Formatted Data'!$E:$E,'Headline Data'!$B28,'Formatted Data'!$D:$D,'Headline Data'!V$20),"")</f>
        <v/>
      </c>
    </row>
    <row r="29" spans="2:22" ht="20.100000000000001" customHeight="1" x14ac:dyDescent="0.25">
      <c r="B29" s="60" t="s">
        <v>24</v>
      </c>
      <c r="C29" s="65">
        <f>SUMIFS('Formatted Data'!G:G,'Formatted Data'!K:K,"Y",'Formatted Data'!E:E,B29)/60</f>
        <v>0</v>
      </c>
      <c r="D29" s="48">
        <f t="shared" si="4"/>
        <v>0</v>
      </c>
      <c r="E29" s="52" t="e">
        <f t="shared" si="3"/>
        <v>#DIV/0!</v>
      </c>
      <c r="F29" s="67" t="str">
        <f>IFERROR(AVERAGEIFS('Formatted Data'!$G:$G,'Formatted Data'!$K:$K,"Y",'Formatted Data'!$E:$E,'Headline Data'!$B29,'Formatted Data'!$D:$D,'Headline Data'!F$20),"")</f>
        <v/>
      </c>
      <c r="G29" s="67" t="str">
        <f>IFERROR(AVERAGEIFS('Formatted Data'!$G:$G,'Formatted Data'!$K:$K,"Y",'Formatted Data'!$E:$E,'Headline Data'!$B29,'Formatted Data'!$D:$D,'Headline Data'!G$20),"")</f>
        <v/>
      </c>
      <c r="H29" s="67" t="str">
        <f>IFERROR(AVERAGEIFS('Formatted Data'!$G:$G,'Formatted Data'!$K:$K,"Y",'Formatted Data'!$E:$E,'Headline Data'!$B29,'Formatted Data'!$D:$D,'Headline Data'!H$20),"")</f>
        <v/>
      </c>
      <c r="I29" s="67" t="str">
        <f>IFERROR(AVERAGEIFS('Formatted Data'!$G:$G,'Formatted Data'!$K:$K,"Y",'Formatted Data'!$E:$E,'Headline Data'!$B29,'Formatted Data'!$D:$D,'Headline Data'!I$20),"")</f>
        <v/>
      </c>
      <c r="J29" s="67" t="str">
        <f>IFERROR(AVERAGEIFS('Formatted Data'!$G:$G,'Formatted Data'!$K:$K,"Y",'Formatted Data'!$E:$E,'Headline Data'!$B29,'Formatted Data'!$D:$D,'Headline Data'!J$20),"")</f>
        <v/>
      </c>
      <c r="K29" s="67" t="str">
        <f>IFERROR(AVERAGEIFS('Formatted Data'!$G:$G,'Formatted Data'!$K:$K,"Y",'Formatted Data'!$E:$E,'Headline Data'!$B29,'Formatted Data'!$D:$D,'Headline Data'!K$20),"")</f>
        <v/>
      </c>
      <c r="L29" s="67" t="str">
        <f>IFERROR(AVERAGEIFS('Formatted Data'!$G:$G,'Formatted Data'!$K:$K,"Y",'Formatted Data'!$E:$E,'Headline Data'!$B29,'Formatted Data'!$D:$D,'Headline Data'!L$20),"")</f>
        <v/>
      </c>
      <c r="M29" s="67" t="str">
        <f>IFERROR(AVERAGEIFS('Formatted Data'!$G:$G,'Formatted Data'!$K:$K,"Y",'Formatted Data'!$E:$E,'Headline Data'!$B29,'Formatted Data'!$D:$D,'Headline Data'!M$20),"")</f>
        <v/>
      </c>
      <c r="N29" s="67" t="str">
        <f>IFERROR(AVERAGEIFS('Formatted Data'!$G:$G,'Formatted Data'!$K:$K,"Y",'Formatted Data'!$E:$E,'Headline Data'!$B29,'Formatted Data'!$D:$D,'Headline Data'!N$20),"")</f>
        <v/>
      </c>
      <c r="O29" s="67" t="str">
        <f>IFERROR(AVERAGEIFS('Formatted Data'!$G:$G,'Formatted Data'!$K:$K,"Y",'Formatted Data'!$E:$E,'Headline Data'!$B29,'Formatted Data'!$D:$D,'Headline Data'!O$20),"")</f>
        <v/>
      </c>
      <c r="P29" s="67" t="str">
        <f>IFERROR(AVERAGEIFS('Formatted Data'!$G:$G,'Formatted Data'!$K:$K,"Y",'Formatted Data'!$E:$E,'Headline Data'!$B29,'Formatted Data'!$D:$D,'Headline Data'!P$20),"")</f>
        <v/>
      </c>
      <c r="Q29" s="67" t="str">
        <f>IFERROR(AVERAGEIFS('Formatted Data'!$G:$G,'Formatted Data'!$K:$K,"Y",'Formatted Data'!$E:$E,'Headline Data'!$B29,'Formatted Data'!$D:$D,'Headline Data'!Q$20),"")</f>
        <v/>
      </c>
      <c r="R29" s="67" t="str">
        <f>IFERROR(AVERAGEIFS('Formatted Data'!$G:$G,'Formatted Data'!$K:$K,"Y",'Formatted Data'!$E:$E,'Headline Data'!$B29,'Formatted Data'!$D:$D,'Headline Data'!R$20),"")</f>
        <v/>
      </c>
      <c r="S29" s="67" t="str">
        <f>IFERROR(AVERAGEIFS('Formatted Data'!$G:$G,'Formatted Data'!$K:$K,"Y",'Formatted Data'!$E:$E,'Headline Data'!$B29,'Formatted Data'!$D:$D,'Headline Data'!S$20),"")</f>
        <v/>
      </c>
      <c r="T29" s="67" t="str">
        <f>IFERROR(AVERAGEIFS('Formatted Data'!$G:$G,'Formatted Data'!$K:$K,"Y",'Formatted Data'!$E:$E,'Headline Data'!$B29,'Formatted Data'!$D:$D,'Headline Data'!T$20),"")</f>
        <v/>
      </c>
      <c r="U29" s="67" t="str">
        <f>IFERROR(AVERAGEIFS('Formatted Data'!$G:$G,'Formatted Data'!$K:$K,"Y",'Formatted Data'!$E:$E,'Headline Data'!$B29,'Formatted Data'!$D:$D,'Headline Data'!U$20),"")</f>
        <v/>
      </c>
      <c r="V29" s="67" t="str">
        <f>IFERROR(AVERAGEIFS('Formatted Data'!$G:$G,'Formatted Data'!$K:$K,"Y",'Formatted Data'!$E:$E,'Headline Data'!$B29,'Formatted Data'!$D:$D,'Headline Data'!V$20),"")</f>
        <v/>
      </c>
    </row>
    <row r="30" spans="2:22" ht="19.5" customHeight="1" x14ac:dyDescent="0.25">
      <c r="B30" s="60" t="s">
        <v>23</v>
      </c>
      <c r="C30" s="65">
        <f>SUMIFS('Formatted Data'!G:G,'Formatted Data'!K:K,"Y",'Formatted Data'!E:E,B30)/60</f>
        <v>0</v>
      </c>
      <c r="D30" s="48">
        <f t="shared" si="4"/>
        <v>0</v>
      </c>
      <c r="E30" s="52" t="e">
        <f t="shared" si="3"/>
        <v>#DIV/0!</v>
      </c>
      <c r="F30" s="67" t="str">
        <f>IFERROR(AVERAGEIFS('Formatted Data'!$G:$G,'Formatted Data'!$K:$K,"Y",'Formatted Data'!$E:$E,'Headline Data'!$B30,'Formatted Data'!$D:$D,'Headline Data'!F$20),"")</f>
        <v/>
      </c>
      <c r="G30" s="67" t="str">
        <f>IFERROR(AVERAGEIFS('Formatted Data'!$G:$G,'Formatted Data'!$K:$K,"Y",'Formatted Data'!$E:$E,'Headline Data'!$B30,'Formatted Data'!$D:$D,'Headline Data'!G$20),"")</f>
        <v/>
      </c>
      <c r="H30" s="67" t="str">
        <f>IFERROR(AVERAGEIFS('Formatted Data'!$G:$G,'Formatted Data'!$K:$K,"Y",'Formatted Data'!$E:$E,'Headline Data'!$B30,'Formatted Data'!$D:$D,'Headline Data'!H$20),"")</f>
        <v/>
      </c>
      <c r="I30" s="67" t="str">
        <f>IFERROR(AVERAGEIFS('Formatted Data'!$G:$G,'Formatted Data'!$K:$K,"Y",'Formatted Data'!$E:$E,'Headline Data'!$B30,'Formatted Data'!$D:$D,'Headline Data'!I$20),"")</f>
        <v/>
      </c>
      <c r="J30" s="67" t="str">
        <f>IFERROR(AVERAGEIFS('Formatted Data'!$G:$G,'Formatted Data'!$K:$K,"Y",'Formatted Data'!$E:$E,'Headline Data'!$B30,'Formatted Data'!$D:$D,'Headline Data'!J$20),"")</f>
        <v/>
      </c>
      <c r="K30" s="67" t="str">
        <f>IFERROR(AVERAGEIFS('Formatted Data'!$G:$G,'Formatted Data'!$K:$K,"Y",'Formatted Data'!$E:$E,'Headline Data'!$B30,'Formatted Data'!$D:$D,'Headline Data'!K$20),"")</f>
        <v/>
      </c>
      <c r="L30" s="67" t="str">
        <f>IFERROR(AVERAGEIFS('Formatted Data'!$G:$G,'Formatted Data'!$K:$K,"Y",'Formatted Data'!$E:$E,'Headline Data'!$B30,'Formatted Data'!$D:$D,'Headline Data'!L$20),"")</f>
        <v/>
      </c>
      <c r="M30" s="67" t="str">
        <f>IFERROR(AVERAGEIFS('Formatted Data'!$G:$G,'Formatted Data'!$K:$K,"Y",'Formatted Data'!$E:$E,'Headline Data'!$B30,'Formatted Data'!$D:$D,'Headline Data'!M$20),"")</f>
        <v/>
      </c>
      <c r="N30" s="67" t="str">
        <f>IFERROR(AVERAGEIFS('Formatted Data'!$G:$G,'Formatted Data'!$K:$K,"Y",'Formatted Data'!$E:$E,'Headline Data'!$B30,'Formatted Data'!$D:$D,'Headline Data'!N$20),"")</f>
        <v/>
      </c>
      <c r="O30" s="67" t="str">
        <f>IFERROR(AVERAGEIFS('Formatted Data'!$G:$G,'Formatted Data'!$K:$K,"Y",'Formatted Data'!$E:$E,'Headline Data'!$B30,'Formatted Data'!$D:$D,'Headline Data'!O$20),"")</f>
        <v/>
      </c>
      <c r="P30" s="67" t="str">
        <f>IFERROR(AVERAGEIFS('Formatted Data'!$G:$G,'Formatted Data'!$K:$K,"Y",'Formatted Data'!$E:$E,'Headline Data'!$B30,'Formatted Data'!$D:$D,'Headline Data'!P$20),"")</f>
        <v/>
      </c>
      <c r="Q30" s="67" t="str">
        <f>IFERROR(AVERAGEIFS('Formatted Data'!$G:$G,'Formatted Data'!$K:$K,"Y",'Formatted Data'!$E:$E,'Headline Data'!$B30,'Formatted Data'!$D:$D,'Headline Data'!Q$20),"")</f>
        <v/>
      </c>
      <c r="R30" s="67" t="str">
        <f>IFERROR(AVERAGEIFS('Formatted Data'!$G:$G,'Formatted Data'!$K:$K,"Y",'Formatted Data'!$E:$E,'Headline Data'!$B30,'Formatted Data'!$D:$D,'Headline Data'!R$20),"")</f>
        <v/>
      </c>
      <c r="S30" s="67" t="str">
        <f>IFERROR(AVERAGEIFS('Formatted Data'!$G:$G,'Formatted Data'!$K:$K,"Y",'Formatted Data'!$E:$E,'Headline Data'!$B30,'Formatted Data'!$D:$D,'Headline Data'!S$20),"")</f>
        <v/>
      </c>
      <c r="T30" s="67" t="str">
        <f>IFERROR(AVERAGEIFS('Formatted Data'!$G:$G,'Formatted Data'!$K:$K,"Y",'Formatted Data'!$E:$E,'Headline Data'!$B30,'Formatted Data'!$D:$D,'Headline Data'!T$20),"")</f>
        <v/>
      </c>
      <c r="U30" s="67" t="str">
        <f>IFERROR(AVERAGEIFS('Formatted Data'!$G:$G,'Formatted Data'!$K:$K,"Y",'Formatted Data'!$E:$E,'Headline Data'!$B30,'Formatted Data'!$D:$D,'Headline Data'!U$20),"")</f>
        <v/>
      </c>
      <c r="V30" s="67" t="str">
        <f>IFERROR(AVERAGEIFS('Formatted Data'!$G:$G,'Formatted Data'!$K:$K,"Y",'Formatted Data'!$E:$E,'Headline Data'!$B30,'Formatted Data'!$D:$D,'Headline Data'!V$20),"")</f>
        <v/>
      </c>
    </row>
    <row r="31" spans="2:22" ht="20.100000000000001" customHeight="1" x14ac:dyDescent="0.25">
      <c r="B31" s="60" t="s">
        <v>41</v>
      </c>
      <c r="C31" s="65">
        <f>SUMIFS('Formatted Data'!G:G,'Formatted Data'!K:K,"Y",'Formatted Data'!E:E,B31)/60</f>
        <v>0</v>
      </c>
      <c r="D31" s="48">
        <f t="shared" si="4"/>
        <v>0</v>
      </c>
      <c r="E31" s="52" t="e">
        <f t="shared" si="3"/>
        <v>#DIV/0!</v>
      </c>
      <c r="F31" s="67" t="str">
        <f>IFERROR(AVERAGEIFS('Formatted Data'!$G:$G,'Formatted Data'!$K:$K,"Y",'Formatted Data'!$E:$E,'Headline Data'!$B31,'Formatted Data'!$D:$D,'Headline Data'!F$20),"")</f>
        <v/>
      </c>
      <c r="G31" s="67" t="str">
        <f>IFERROR(AVERAGEIFS('Formatted Data'!$G:$G,'Formatted Data'!$K:$K,"Y",'Formatted Data'!$E:$E,'Headline Data'!$B31,'Formatted Data'!$D:$D,'Headline Data'!G$20),"")</f>
        <v/>
      </c>
      <c r="H31" s="67" t="str">
        <f>IFERROR(AVERAGEIFS('Formatted Data'!$G:$G,'Formatted Data'!$K:$K,"Y",'Formatted Data'!$E:$E,'Headline Data'!$B31,'Formatted Data'!$D:$D,'Headline Data'!H$20),"")</f>
        <v/>
      </c>
      <c r="I31" s="67" t="str">
        <f>IFERROR(AVERAGEIFS('Formatted Data'!$G:$G,'Formatted Data'!$K:$K,"Y",'Formatted Data'!$E:$E,'Headline Data'!$B31,'Formatted Data'!$D:$D,'Headline Data'!I$20),"")</f>
        <v/>
      </c>
      <c r="J31" s="67" t="str">
        <f>IFERROR(AVERAGEIFS('Formatted Data'!$G:$G,'Formatted Data'!$K:$K,"Y",'Formatted Data'!$E:$E,'Headline Data'!$B31,'Formatted Data'!$D:$D,'Headline Data'!J$20),"")</f>
        <v/>
      </c>
      <c r="K31" s="67" t="str">
        <f>IFERROR(AVERAGEIFS('Formatted Data'!$G:$G,'Formatted Data'!$K:$K,"Y",'Formatted Data'!$E:$E,'Headline Data'!$B31,'Formatted Data'!$D:$D,'Headline Data'!K$20),"")</f>
        <v/>
      </c>
      <c r="L31" s="67" t="str">
        <f>IFERROR(AVERAGEIFS('Formatted Data'!$G:$G,'Formatted Data'!$K:$K,"Y",'Formatted Data'!$E:$E,'Headline Data'!$B31,'Formatted Data'!$D:$D,'Headline Data'!L$20),"")</f>
        <v/>
      </c>
      <c r="M31" s="67" t="str">
        <f>IFERROR(AVERAGEIFS('Formatted Data'!$G:$G,'Formatted Data'!$K:$K,"Y",'Formatted Data'!$E:$E,'Headline Data'!$B31,'Formatted Data'!$D:$D,'Headline Data'!M$20),"")</f>
        <v/>
      </c>
      <c r="N31" s="67" t="str">
        <f>IFERROR(AVERAGEIFS('Formatted Data'!$G:$G,'Formatted Data'!$K:$K,"Y",'Formatted Data'!$E:$E,'Headline Data'!$B31,'Formatted Data'!$D:$D,'Headline Data'!N$20),"")</f>
        <v/>
      </c>
      <c r="O31" s="67" t="str">
        <f>IFERROR(AVERAGEIFS('Formatted Data'!$G:$G,'Formatted Data'!$K:$K,"Y",'Formatted Data'!$E:$E,'Headline Data'!$B31,'Formatted Data'!$D:$D,'Headline Data'!O$20),"")</f>
        <v/>
      </c>
      <c r="P31" s="67" t="str">
        <f>IFERROR(AVERAGEIFS('Formatted Data'!$G:$G,'Formatted Data'!$K:$K,"Y",'Formatted Data'!$E:$E,'Headline Data'!$B31,'Formatted Data'!$D:$D,'Headline Data'!P$20),"")</f>
        <v/>
      </c>
      <c r="Q31" s="67" t="str">
        <f>IFERROR(AVERAGEIFS('Formatted Data'!$G:$G,'Formatted Data'!$K:$K,"Y",'Formatted Data'!$E:$E,'Headline Data'!$B31,'Formatted Data'!$D:$D,'Headline Data'!Q$20),"")</f>
        <v/>
      </c>
      <c r="R31" s="67" t="str">
        <f>IFERROR(AVERAGEIFS('Formatted Data'!$G:$G,'Formatted Data'!$K:$K,"Y",'Formatted Data'!$E:$E,'Headline Data'!$B31,'Formatted Data'!$D:$D,'Headline Data'!R$20),"")</f>
        <v/>
      </c>
      <c r="S31" s="67" t="str">
        <f>IFERROR(AVERAGEIFS('Formatted Data'!$G:$G,'Formatted Data'!$K:$K,"Y",'Formatted Data'!$E:$E,'Headline Data'!$B31,'Formatted Data'!$D:$D,'Headline Data'!S$20),"")</f>
        <v/>
      </c>
      <c r="T31" s="67" t="str">
        <f>IFERROR(AVERAGEIFS('Formatted Data'!$G:$G,'Formatted Data'!$K:$K,"Y",'Formatted Data'!$E:$E,'Headline Data'!$B31,'Formatted Data'!$D:$D,'Headline Data'!T$20),"")</f>
        <v/>
      </c>
      <c r="U31" s="67" t="str">
        <f>IFERROR(AVERAGEIFS('Formatted Data'!$G:$G,'Formatted Data'!$K:$K,"Y",'Formatted Data'!$E:$E,'Headline Data'!$B31,'Formatted Data'!$D:$D,'Headline Data'!U$20),"")</f>
        <v/>
      </c>
      <c r="V31" s="67" t="str">
        <f>IFERROR(AVERAGEIFS('Formatted Data'!$G:$G,'Formatted Data'!$K:$K,"Y",'Formatted Data'!$E:$E,'Headline Data'!$B31,'Formatted Data'!$D:$D,'Headline Data'!V$20),"")</f>
        <v/>
      </c>
    </row>
    <row r="32" spans="2:22" ht="19.5" customHeight="1" x14ac:dyDescent="0.25">
      <c r="B32" s="60" t="s">
        <v>39</v>
      </c>
      <c r="C32" s="65">
        <f>SUMIFS('Formatted Data'!G:G,'Formatted Data'!K:K,"Y",'Formatted Data'!E:E,B32)/60</f>
        <v>0</v>
      </c>
      <c r="D32" s="48">
        <f t="shared" si="4"/>
        <v>0</v>
      </c>
      <c r="E32" s="52" t="e">
        <f t="shared" si="3"/>
        <v>#DIV/0!</v>
      </c>
      <c r="F32" s="67" t="str">
        <f>IFERROR(AVERAGEIFS('Formatted Data'!$G:$G,'Formatted Data'!$K:$K,"Y",'Formatted Data'!$E:$E,'Headline Data'!$B32,'Formatted Data'!$D:$D,'Headline Data'!F$20),"")</f>
        <v/>
      </c>
      <c r="G32" s="67" t="str">
        <f>IFERROR(AVERAGEIFS('Formatted Data'!$G:$G,'Formatted Data'!$K:$K,"Y",'Formatted Data'!$E:$E,'Headline Data'!$B32,'Formatted Data'!$D:$D,'Headline Data'!G$20),"")</f>
        <v/>
      </c>
      <c r="H32" s="67" t="str">
        <f>IFERROR(AVERAGEIFS('Formatted Data'!$G:$G,'Formatted Data'!$K:$K,"Y",'Formatted Data'!$E:$E,'Headline Data'!$B32,'Formatted Data'!$D:$D,'Headline Data'!H$20),"")</f>
        <v/>
      </c>
      <c r="I32" s="67" t="str">
        <f>IFERROR(AVERAGEIFS('Formatted Data'!$G:$G,'Formatted Data'!$K:$K,"Y",'Formatted Data'!$E:$E,'Headline Data'!$B32,'Formatted Data'!$D:$D,'Headline Data'!I$20),"")</f>
        <v/>
      </c>
      <c r="J32" s="67" t="str">
        <f>IFERROR(AVERAGEIFS('Formatted Data'!$G:$G,'Formatted Data'!$K:$K,"Y",'Formatted Data'!$E:$E,'Headline Data'!$B32,'Formatted Data'!$D:$D,'Headline Data'!J$20),"")</f>
        <v/>
      </c>
      <c r="K32" s="67" t="str">
        <f>IFERROR(AVERAGEIFS('Formatted Data'!$G:$G,'Formatted Data'!$K:$K,"Y",'Formatted Data'!$E:$E,'Headline Data'!$B32,'Formatted Data'!$D:$D,'Headline Data'!K$20),"")</f>
        <v/>
      </c>
      <c r="L32" s="67" t="str">
        <f>IFERROR(AVERAGEIFS('Formatted Data'!$G:$G,'Formatted Data'!$K:$K,"Y",'Formatted Data'!$E:$E,'Headline Data'!$B32,'Formatted Data'!$D:$D,'Headline Data'!L$20),"")</f>
        <v/>
      </c>
      <c r="M32" s="67" t="str">
        <f>IFERROR(AVERAGEIFS('Formatted Data'!$G:$G,'Formatted Data'!$K:$K,"Y",'Formatted Data'!$E:$E,'Headline Data'!$B32,'Formatted Data'!$D:$D,'Headline Data'!M$20),"")</f>
        <v/>
      </c>
      <c r="N32" s="67" t="str">
        <f>IFERROR(AVERAGEIFS('Formatted Data'!$G:$G,'Formatted Data'!$K:$K,"Y",'Formatted Data'!$E:$E,'Headline Data'!$B32,'Formatted Data'!$D:$D,'Headline Data'!N$20),"")</f>
        <v/>
      </c>
      <c r="O32" s="67" t="str">
        <f>IFERROR(AVERAGEIFS('Formatted Data'!$G:$G,'Formatted Data'!$K:$K,"Y",'Formatted Data'!$E:$E,'Headline Data'!$B32,'Formatted Data'!$D:$D,'Headline Data'!O$20),"")</f>
        <v/>
      </c>
      <c r="P32" s="67" t="str">
        <f>IFERROR(AVERAGEIFS('Formatted Data'!$G:$G,'Formatted Data'!$K:$K,"Y",'Formatted Data'!$E:$E,'Headline Data'!$B32,'Formatted Data'!$D:$D,'Headline Data'!P$20),"")</f>
        <v/>
      </c>
      <c r="Q32" s="67" t="str">
        <f>IFERROR(AVERAGEIFS('Formatted Data'!$G:$G,'Formatted Data'!$K:$K,"Y",'Formatted Data'!$E:$E,'Headline Data'!$B32,'Formatted Data'!$D:$D,'Headline Data'!Q$20),"")</f>
        <v/>
      </c>
      <c r="R32" s="67" t="str">
        <f>IFERROR(AVERAGEIFS('Formatted Data'!$G:$G,'Formatted Data'!$K:$K,"Y",'Formatted Data'!$E:$E,'Headline Data'!$B32,'Formatted Data'!$D:$D,'Headline Data'!R$20),"")</f>
        <v/>
      </c>
      <c r="S32" s="67" t="str">
        <f>IFERROR(AVERAGEIFS('Formatted Data'!$G:$G,'Formatted Data'!$K:$K,"Y",'Formatted Data'!$E:$E,'Headline Data'!$B32,'Formatted Data'!$D:$D,'Headline Data'!S$20),"")</f>
        <v/>
      </c>
      <c r="T32" s="67" t="str">
        <f>IFERROR(AVERAGEIFS('Formatted Data'!$G:$G,'Formatted Data'!$K:$K,"Y",'Formatted Data'!$E:$E,'Headline Data'!$B32,'Formatted Data'!$D:$D,'Headline Data'!T$20),"")</f>
        <v/>
      </c>
      <c r="U32" s="67" t="str">
        <f>IFERROR(AVERAGEIFS('Formatted Data'!$G:$G,'Formatted Data'!$K:$K,"Y",'Formatted Data'!$E:$E,'Headline Data'!$B32,'Formatted Data'!$D:$D,'Headline Data'!U$20),"")</f>
        <v/>
      </c>
      <c r="V32" s="67" t="str">
        <f>IFERROR(AVERAGEIFS('Formatted Data'!$G:$G,'Formatted Data'!$K:$K,"Y",'Formatted Data'!$E:$E,'Headline Data'!$B32,'Formatted Data'!$D:$D,'Headline Data'!V$20),"")</f>
        <v/>
      </c>
    </row>
    <row r="33" spans="2:22" ht="20.100000000000001" customHeight="1" x14ac:dyDescent="0.25">
      <c r="B33" s="60"/>
      <c r="C33" s="66"/>
      <c r="D33" s="49"/>
      <c r="E33" s="52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</row>
    <row r="34" spans="2:22" ht="20.100000000000001" customHeight="1" x14ac:dyDescent="0.25">
      <c r="B34" s="60"/>
      <c r="C34" s="62"/>
      <c r="D34" s="49"/>
      <c r="E34" s="52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</row>
    <row r="35" spans="2:22" ht="19.5" customHeight="1" thickBot="1" x14ac:dyDescent="0.3">
      <c r="B35" s="61"/>
      <c r="C35" s="63"/>
      <c r="D35" s="53"/>
      <c r="E35" s="54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</row>
    <row r="36" spans="2:22" ht="30.75" customHeight="1" thickBot="1" x14ac:dyDescent="0.3">
      <c r="B36" s="47" t="s">
        <v>56</v>
      </c>
      <c r="C36" s="58">
        <f>AVERAGE(C21:C32)</f>
        <v>0</v>
      </c>
      <c r="D36" s="58">
        <f t="shared" ref="D36:E36" si="5">AVERAGE(D21:D32)</f>
        <v>0</v>
      </c>
      <c r="E36" s="58" t="e">
        <f t="shared" si="5"/>
        <v>#DIV/0!</v>
      </c>
      <c r="F36" s="68" t="e">
        <f>AVERAGE(F21:F35)</f>
        <v>#DIV/0!</v>
      </c>
      <c r="G36" s="68" t="e">
        <f t="shared" ref="G36:V36" si="6">AVERAGE(G21:G35)</f>
        <v>#DIV/0!</v>
      </c>
      <c r="H36" s="68" t="e">
        <f t="shared" si="6"/>
        <v>#DIV/0!</v>
      </c>
      <c r="I36" s="68" t="e">
        <f t="shared" si="6"/>
        <v>#DIV/0!</v>
      </c>
      <c r="J36" s="68" t="e">
        <f t="shared" si="6"/>
        <v>#DIV/0!</v>
      </c>
      <c r="K36" s="68" t="e">
        <f t="shared" si="6"/>
        <v>#DIV/0!</v>
      </c>
      <c r="L36" s="68" t="e">
        <f t="shared" si="6"/>
        <v>#DIV/0!</v>
      </c>
      <c r="M36" s="68" t="e">
        <f t="shared" si="6"/>
        <v>#DIV/0!</v>
      </c>
      <c r="N36" s="68" t="e">
        <f t="shared" si="6"/>
        <v>#DIV/0!</v>
      </c>
      <c r="O36" s="68" t="e">
        <f t="shared" si="6"/>
        <v>#DIV/0!</v>
      </c>
      <c r="P36" s="68" t="e">
        <f t="shared" si="6"/>
        <v>#DIV/0!</v>
      </c>
      <c r="Q36" s="68" t="e">
        <f t="shared" si="6"/>
        <v>#DIV/0!</v>
      </c>
      <c r="R36" s="68" t="e">
        <f t="shared" si="6"/>
        <v>#DIV/0!</v>
      </c>
      <c r="S36" s="68" t="e">
        <f t="shared" si="6"/>
        <v>#DIV/0!</v>
      </c>
      <c r="T36" s="68" t="e">
        <f t="shared" si="6"/>
        <v>#DIV/0!</v>
      </c>
      <c r="U36" s="68" t="e">
        <f t="shared" si="6"/>
        <v>#DIV/0!</v>
      </c>
      <c r="V36" s="68" t="e">
        <f t="shared" si="6"/>
        <v>#DIV/0!</v>
      </c>
    </row>
    <row r="37" spans="2:22" ht="20.100000000000001" customHeight="1" x14ac:dyDescent="0.25">
      <c r="C37" s="46"/>
    </row>
    <row r="38" spans="2:22" ht="20.100000000000001" customHeight="1" x14ac:dyDescent="0.25">
      <c r="C38" s="46"/>
    </row>
    <row r="39" spans="2:22" ht="20.100000000000001" customHeight="1" x14ac:dyDescent="0.25"/>
    <row r="40" spans="2:22" ht="20.100000000000001" customHeight="1" x14ac:dyDescent="0.25"/>
    <row r="41" spans="2:22" ht="20.100000000000001" customHeight="1" x14ac:dyDescent="0.25"/>
    <row r="42" spans="2:22" ht="20.100000000000001" customHeight="1" x14ac:dyDescent="0.25"/>
    <row r="43" spans="2:22" ht="20.100000000000001" customHeight="1" x14ac:dyDescent="0.25"/>
    <row r="44" spans="2:22" ht="20.100000000000001" customHeight="1" x14ac:dyDescent="0.25"/>
    <row r="45" spans="2:22" ht="20.100000000000001" customHeight="1" x14ac:dyDescent="0.25"/>
    <row r="46" spans="2:22" ht="20.100000000000001" customHeight="1" x14ac:dyDescent="0.25"/>
    <row r="47" spans="2:22" ht="20.100000000000001" customHeight="1" x14ac:dyDescent="0.25"/>
    <row r="48" spans="2:22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</sheetData>
  <phoneticPr fontId="18" type="noConversion"/>
  <conditionalFormatting sqref="C2:C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D8E1B-9D15-4129-B080-42DD208E6E01}">
  <sheetPr codeName="Sheet6"/>
  <dimension ref="A1:AA9"/>
  <sheetViews>
    <sheetView workbookViewId="0">
      <selection activeCell="I35" sqref="I35"/>
    </sheetView>
  </sheetViews>
  <sheetFormatPr defaultRowHeight="15" x14ac:dyDescent="0.25"/>
  <cols>
    <col min="1" max="1" width="4.140625" style="22" customWidth="1"/>
    <col min="2" max="2" width="15.5703125" style="22" customWidth="1"/>
    <col min="3" max="4" width="9.140625" style="22"/>
    <col min="5" max="5" width="10.7109375" style="22" customWidth="1"/>
    <col min="6" max="8" width="9.140625" style="22"/>
    <col min="9" max="9" width="14.140625" style="22" customWidth="1"/>
    <col min="10" max="12" width="9.140625" style="22"/>
    <col min="13" max="13" width="10.7109375" style="22" customWidth="1"/>
    <col min="14" max="16" width="9.140625" style="22"/>
    <col min="17" max="17" width="10.7109375" style="22" customWidth="1"/>
    <col min="18" max="20" width="9.140625" style="22"/>
    <col min="21" max="21" width="10.7109375" style="22" customWidth="1"/>
    <col min="22" max="24" width="9.140625" style="22"/>
    <col min="25" max="25" width="10.7109375" style="22" customWidth="1"/>
    <col min="26" max="27" width="9.140625" style="22"/>
    <col min="28" max="16384" width="9.140625" style="23"/>
  </cols>
  <sheetData>
    <row r="1" spans="2:27" ht="15.75" thickBot="1" x14ac:dyDescent="0.3"/>
    <row r="2" spans="2:27" ht="15.75" thickBot="1" x14ac:dyDescent="0.3">
      <c r="B2" s="4" t="s">
        <v>31</v>
      </c>
      <c r="C2" s="20">
        <v>0</v>
      </c>
      <c r="D2" s="20">
        <v>4.1666666666666664E-2</v>
      </c>
      <c r="E2" s="20">
        <v>8.3333333333333301E-2</v>
      </c>
      <c r="F2" s="20">
        <v>0.125</v>
      </c>
      <c r="G2" s="20">
        <v>0.16666666666666699</v>
      </c>
      <c r="H2" s="20">
        <v>0.20833333333333301</v>
      </c>
      <c r="I2" s="20">
        <v>0.25</v>
      </c>
      <c r="J2" s="20">
        <v>0.29166666666666702</v>
      </c>
      <c r="K2" s="20">
        <v>0.33333333333333298</v>
      </c>
      <c r="L2" s="20">
        <v>0.375</v>
      </c>
      <c r="M2" s="20">
        <v>0.41666666666666702</v>
      </c>
      <c r="N2" s="20">
        <v>0.45833333333333298</v>
      </c>
      <c r="O2" s="20">
        <v>0.5</v>
      </c>
      <c r="P2" s="20">
        <v>0.54166666666666696</v>
      </c>
      <c r="Q2" s="20">
        <v>0.58333333333333304</v>
      </c>
      <c r="R2" s="20">
        <v>0.625</v>
      </c>
      <c r="S2" s="20">
        <v>0.66666666666666696</v>
      </c>
      <c r="T2" s="20">
        <v>0.70833333333333304</v>
      </c>
      <c r="U2" s="20">
        <v>0.75</v>
      </c>
      <c r="V2" s="20">
        <v>0.79166666666666696</v>
      </c>
      <c r="W2" s="20">
        <v>0.83333333333333304</v>
      </c>
      <c r="X2" s="20">
        <v>0.875</v>
      </c>
      <c r="Y2" s="20">
        <v>0.91666666666666696</v>
      </c>
      <c r="Z2" s="21">
        <v>0.95833333333333304</v>
      </c>
      <c r="AA2" s="5" t="s">
        <v>32</v>
      </c>
    </row>
    <row r="3" spans="2:27" x14ac:dyDescent="0.25">
      <c r="B3" s="17" t="s">
        <v>22</v>
      </c>
      <c r="C3" s="8">
        <f>COUNTIFS('Formatted Data'!$H:$H,'Week Overview'!$B$3,'Formatted Data'!$J:$J,'Week Overview'!C2)</f>
        <v>0</v>
      </c>
      <c r="D3" s="9">
        <f>COUNTIFS('Formatted Data'!$H:$H,'Week Overview'!$B$3,'Formatted Data'!$J:$J,'Week Overview'!D2)</f>
        <v>0</v>
      </c>
      <c r="E3" s="9">
        <f>COUNTIFS('Formatted Data'!$H:$H,'Week Overview'!$B$3,'Formatted Data'!$J:$J,'Week Overview'!E2)</f>
        <v>0</v>
      </c>
      <c r="F3" s="9">
        <f>COUNTIFS('Formatted Data'!$H:$H,'Week Overview'!$B$3,'Formatted Data'!$J:$J,'Week Overview'!F2)</f>
        <v>0</v>
      </c>
      <c r="G3" s="9">
        <f>COUNTIFS('Formatted Data'!$H:$H,'Week Overview'!$B$3,'Formatted Data'!$J:$J,'Week Overview'!G2)</f>
        <v>0</v>
      </c>
      <c r="H3" s="9">
        <f>COUNTIFS('Formatted Data'!$H:$H,'Week Overview'!$B$3,'Formatted Data'!$J:$J,'Week Overview'!H2)</f>
        <v>0</v>
      </c>
      <c r="I3" s="9">
        <f>COUNTIFS('Formatted Data'!$H:$H,'Week Overview'!$B$3,'Formatted Data'!$J:$J,'Week Overview'!I2)</f>
        <v>0</v>
      </c>
      <c r="J3" s="9">
        <f>COUNTIFS('Formatted Data'!$H:$H,'Week Overview'!$B$3,'Formatted Data'!$J:$J,'Week Overview'!J2)</f>
        <v>0</v>
      </c>
      <c r="K3" s="9">
        <f>COUNTIFS('Formatted Data'!$H:$H,'Week Overview'!$B$3,'Formatted Data'!$J:$J,'Week Overview'!K2)</f>
        <v>0</v>
      </c>
      <c r="L3" s="9">
        <f>COUNTIFS('Formatted Data'!$H:$H,'Week Overview'!$B$3,'Formatted Data'!$J:$J,'Week Overview'!L2)</f>
        <v>0</v>
      </c>
      <c r="M3" s="9">
        <f>COUNTIFS('Formatted Data'!$H:$H,'Week Overview'!$B$3,'Formatted Data'!$J:$J,'Week Overview'!M2)</f>
        <v>0</v>
      </c>
      <c r="N3" s="9">
        <f>COUNTIFS('Formatted Data'!$H:$H,'Week Overview'!$B$3,'Formatted Data'!$J:$J,'Week Overview'!N2)</f>
        <v>0</v>
      </c>
      <c r="O3" s="9">
        <f>COUNTIFS('Formatted Data'!$H:$H,'Week Overview'!$B$3,'Formatted Data'!$J:$J,'Week Overview'!O2)</f>
        <v>0</v>
      </c>
      <c r="P3" s="9">
        <f>COUNTIFS('Formatted Data'!$H:$H,'Week Overview'!$B$3,'Formatted Data'!$J:$J,'Week Overview'!P2)</f>
        <v>0</v>
      </c>
      <c r="Q3" s="9">
        <f>COUNTIFS('Formatted Data'!$H:$H,'Week Overview'!$B$3,'Formatted Data'!$J:$J,'Week Overview'!Q2)</f>
        <v>0</v>
      </c>
      <c r="R3" s="9">
        <f>COUNTIFS('Formatted Data'!$H:$H,'Week Overview'!$B$3,'Formatted Data'!$J:$J,'Week Overview'!R2)</f>
        <v>0</v>
      </c>
      <c r="S3" s="9">
        <f>COUNTIFS('Formatted Data'!$H:$H,'Week Overview'!$B$3,'Formatted Data'!$J:$J,'Week Overview'!S2)</f>
        <v>0</v>
      </c>
      <c r="T3" s="9">
        <f>COUNTIFS('Formatted Data'!$H:$H,'Week Overview'!$B$3,'Formatted Data'!$J:$J,'Week Overview'!T2)</f>
        <v>0</v>
      </c>
      <c r="U3" s="9">
        <f>COUNTIFS('Formatted Data'!$H:$H,'Week Overview'!$B$3,'Formatted Data'!$J:$J,'Week Overview'!U2)</f>
        <v>0</v>
      </c>
      <c r="V3" s="9">
        <f>COUNTIFS('Formatted Data'!$H:$H,'Week Overview'!$B$3,'Formatted Data'!$J:$J,'Week Overview'!V2)</f>
        <v>0</v>
      </c>
      <c r="W3" s="9">
        <f>COUNTIFS('Formatted Data'!$H:$H,'Week Overview'!$B$3,'Formatted Data'!$J:$J,'Week Overview'!W2)</f>
        <v>0</v>
      </c>
      <c r="X3" s="9">
        <f>COUNTIFS('Formatted Data'!$H:$H,'Week Overview'!$B$3,'Formatted Data'!$J:$J,'Week Overview'!X2)</f>
        <v>0</v>
      </c>
      <c r="Y3" s="9">
        <f>COUNTIFS('Formatted Data'!$H:$H,'Week Overview'!$B$3,'Formatted Data'!$J:$J,'Week Overview'!Y2)</f>
        <v>0</v>
      </c>
      <c r="Z3" s="10">
        <f>COUNTIFS('Formatted Data'!$H:$H,'Week Overview'!$B$3,'Formatted Data'!$J:$J,'Week Overview'!Z2)</f>
        <v>0</v>
      </c>
      <c r="AA3" s="6">
        <f>SUM(C3:Z3)</f>
        <v>0</v>
      </c>
    </row>
    <row r="4" spans="2:27" x14ac:dyDescent="0.25">
      <c r="B4" s="18" t="s">
        <v>15</v>
      </c>
      <c r="C4" s="11">
        <f>COUNTIFS('Formatted Data'!$H:$H,'Week Overview'!$B$4,'Formatted Data'!$J:$J,'Week Overview'!C2)</f>
        <v>0</v>
      </c>
      <c r="D4" s="12">
        <f>COUNTIFS('Formatted Data'!$H:$H,'Week Overview'!$B$4,'Formatted Data'!$J:$J,'Week Overview'!D2)</f>
        <v>0</v>
      </c>
      <c r="E4" s="12">
        <f>COUNTIFS('Formatted Data'!$H:$H,'Week Overview'!$B$4,'Formatted Data'!$J:$J,'Week Overview'!E2)</f>
        <v>0</v>
      </c>
      <c r="F4" s="12">
        <f>COUNTIFS('Formatted Data'!$H:$H,'Week Overview'!$B$4,'Formatted Data'!$J:$J,'Week Overview'!F2)</f>
        <v>0</v>
      </c>
      <c r="G4" s="12">
        <f>COUNTIFS('Formatted Data'!$H:$H,'Week Overview'!$B$4,'Formatted Data'!$J:$J,'Week Overview'!G2)</f>
        <v>0</v>
      </c>
      <c r="H4" s="12">
        <f>COUNTIFS('Formatted Data'!$H:$H,'Week Overview'!$B$4,'Formatted Data'!$J:$J,'Week Overview'!H2)</f>
        <v>0</v>
      </c>
      <c r="I4" s="12">
        <f>COUNTIFS('Formatted Data'!$H:$H,'Week Overview'!$B$4,'Formatted Data'!$J:$J,'Week Overview'!I2)</f>
        <v>0</v>
      </c>
      <c r="J4" s="12">
        <f>COUNTIFS('Formatted Data'!$H:$H,'Week Overview'!$B$4,'Formatted Data'!$J:$J,'Week Overview'!J2)</f>
        <v>0</v>
      </c>
      <c r="K4" s="12">
        <f>COUNTIFS('Formatted Data'!$H:$H,'Week Overview'!$B$4,'Formatted Data'!$J:$J,'Week Overview'!K2)</f>
        <v>0</v>
      </c>
      <c r="L4" s="12">
        <f>COUNTIFS('Formatted Data'!$H:$H,'Week Overview'!$B$4,'Formatted Data'!$J:$J,'Week Overview'!L2)</f>
        <v>0</v>
      </c>
      <c r="M4" s="12">
        <f>COUNTIFS('Formatted Data'!$H:$H,'Week Overview'!$B$4,'Formatted Data'!$J:$J,'Week Overview'!M2)</f>
        <v>0</v>
      </c>
      <c r="N4" s="12">
        <f>COUNTIFS('Formatted Data'!$H:$H,'Week Overview'!$B$4,'Formatted Data'!$J:$J,'Week Overview'!N2)</f>
        <v>0</v>
      </c>
      <c r="O4" s="12">
        <f>COUNTIFS('Formatted Data'!$H:$H,'Week Overview'!$B$4,'Formatted Data'!$J:$J,'Week Overview'!O2)</f>
        <v>0</v>
      </c>
      <c r="P4" s="12">
        <f>COUNTIFS('Formatted Data'!$H:$H,'Week Overview'!$B$4,'Formatted Data'!$J:$J,'Week Overview'!P2)</f>
        <v>0</v>
      </c>
      <c r="Q4" s="12">
        <f>COUNTIFS('Formatted Data'!$H:$H,'Week Overview'!$B$4,'Formatted Data'!$J:$J,'Week Overview'!Q2)</f>
        <v>0</v>
      </c>
      <c r="R4" s="12">
        <f>COUNTIFS('Formatted Data'!$H:$H,'Week Overview'!$B$4,'Formatted Data'!$J:$J,'Week Overview'!R2)</f>
        <v>0</v>
      </c>
      <c r="S4" s="12">
        <f>COUNTIFS('Formatted Data'!$H:$H,'Week Overview'!$B$4,'Formatted Data'!$J:$J,'Week Overview'!S2)</f>
        <v>0</v>
      </c>
      <c r="T4" s="12">
        <f>COUNTIFS('Formatted Data'!$H:$H,'Week Overview'!$B$4,'Formatted Data'!$J:$J,'Week Overview'!T2)</f>
        <v>0</v>
      </c>
      <c r="U4" s="12">
        <f>COUNTIFS('Formatted Data'!$H:$H,'Week Overview'!$B$4,'Formatted Data'!$J:$J,'Week Overview'!U2)</f>
        <v>0</v>
      </c>
      <c r="V4" s="12">
        <f>COUNTIFS('Formatted Data'!$H:$H,'Week Overview'!$B$4,'Formatted Data'!$J:$J,'Week Overview'!V2)</f>
        <v>0</v>
      </c>
      <c r="W4" s="12">
        <f>COUNTIFS('Formatted Data'!$H:$H,'Week Overview'!$B$4,'Formatted Data'!$J:$J,'Week Overview'!W2)</f>
        <v>0</v>
      </c>
      <c r="X4" s="12">
        <f>COUNTIFS('Formatted Data'!$H:$H,'Week Overview'!$B$4,'Formatted Data'!$J:$J,'Week Overview'!X2)</f>
        <v>0</v>
      </c>
      <c r="Y4" s="12">
        <f>COUNTIFS('Formatted Data'!$H:$H,'Week Overview'!$B$4,'Formatted Data'!$J:$J,'Week Overview'!Y2)</f>
        <v>0</v>
      </c>
      <c r="Z4" s="13">
        <f>COUNTIFS('Formatted Data'!$H:$H,'Week Overview'!$B$4,'Formatted Data'!$J:$J,'Week Overview'!Z2)</f>
        <v>0</v>
      </c>
      <c r="AA4" s="6">
        <f t="shared" ref="AA4:AA9" si="0">SUM(C4:Z4)</f>
        <v>0</v>
      </c>
    </row>
    <row r="5" spans="2:27" x14ac:dyDescent="0.25">
      <c r="B5" s="18" t="s">
        <v>16</v>
      </c>
      <c r="C5" s="11">
        <f>COUNTIFS('Formatted Data'!$H:$H,'Week Overview'!$B$5,'Formatted Data'!$J:$J,'Week Overview'!C2)</f>
        <v>0</v>
      </c>
      <c r="D5" s="12">
        <f>COUNTIFS('Formatted Data'!$H:$H,'Week Overview'!$B$5,'Formatted Data'!$J:$J,'Week Overview'!D2)</f>
        <v>0</v>
      </c>
      <c r="E5" s="12">
        <f>COUNTIFS('Formatted Data'!$H:$H,'Week Overview'!$B$5,'Formatted Data'!$J:$J,'Week Overview'!E2)</f>
        <v>0</v>
      </c>
      <c r="F5" s="12">
        <f>COUNTIFS('Formatted Data'!$H:$H,'Week Overview'!$B$5,'Formatted Data'!$J:$J,'Week Overview'!F2)</f>
        <v>0</v>
      </c>
      <c r="G5" s="12">
        <f>COUNTIFS('Formatted Data'!$H:$H,'Week Overview'!$B$5,'Formatted Data'!$J:$J,'Week Overview'!G2)</f>
        <v>0</v>
      </c>
      <c r="H5" s="12">
        <f>COUNTIFS('Formatted Data'!$H:$H,'Week Overview'!$B$5,'Formatted Data'!$J:$J,'Week Overview'!H2)</f>
        <v>0</v>
      </c>
      <c r="I5" s="12">
        <f>COUNTIFS('Formatted Data'!$H:$H,'Week Overview'!$B$5,'Formatted Data'!$J:$J,'Week Overview'!I2)</f>
        <v>0</v>
      </c>
      <c r="J5" s="12">
        <f>COUNTIFS('Formatted Data'!$H:$H,'Week Overview'!$B$5,'Formatted Data'!$J:$J,'Week Overview'!J2)</f>
        <v>0</v>
      </c>
      <c r="K5" s="12">
        <f>COUNTIFS('Formatted Data'!$H:$H,'Week Overview'!$B$5,'Formatted Data'!$J:$J,'Week Overview'!K2)</f>
        <v>0</v>
      </c>
      <c r="L5" s="12">
        <f>COUNTIFS('Formatted Data'!$H:$H,'Week Overview'!$B$5,'Formatted Data'!$J:$J,'Week Overview'!L2)</f>
        <v>0</v>
      </c>
      <c r="M5" s="12">
        <f>COUNTIFS('Formatted Data'!$H:$H,'Week Overview'!$B$5,'Formatted Data'!$J:$J,'Week Overview'!M2)</f>
        <v>0</v>
      </c>
      <c r="N5" s="12">
        <f>COUNTIFS('Formatted Data'!$H:$H,'Week Overview'!$B$5,'Formatted Data'!$J:$J,'Week Overview'!N2)</f>
        <v>0</v>
      </c>
      <c r="O5" s="12">
        <f>COUNTIFS('Formatted Data'!$H:$H,'Week Overview'!$B$5,'Formatted Data'!$J:$J,'Week Overview'!O2)</f>
        <v>0</v>
      </c>
      <c r="P5" s="12">
        <f>COUNTIFS('Formatted Data'!$H:$H,'Week Overview'!$B$5,'Formatted Data'!$J:$J,'Week Overview'!P2)</f>
        <v>0</v>
      </c>
      <c r="Q5" s="12">
        <f>COUNTIFS('Formatted Data'!$H:$H,'Week Overview'!$B$5,'Formatted Data'!$J:$J,'Week Overview'!Q2)</f>
        <v>0</v>
      </c>
      <c r="R5" s="12">
        <f>COUNTIFS('Formatted Data'!$H:$H,'Week Overview'!$B$5,'Formatted Data'!$J:$J,'Week Overview'!R2)</f>
        <v>0</v>
      </c>
      <c r="S5" s="12">
        <f>COUNTIFS('Formatted Data'!$H:$H,'Week Overview'!$B$5,'Formatted Data'!$J:$J,'Week Overview'!S2)</f>
        <v>0</v>
      </c>
      <c r="T5" s="12">
        <f>COUNTIFS('Formatted Data'!$H:$H,'Week Overview'!$B$5,'Formatted Data'!$J:$J,'Week Overview'!T2)</f>
        <v>0</v>
      </c>
      <c r="U5" s="12">
        <f>COUNTIFS('Formatted Data'!$H:$H,'Week Overview'!$B$5,'Formatted Data'!$J:$J,'Week Overview'!U2)</f>
        <v>0</v>
      </c>
      <c r="V5" s="12">
        <f>COUNTIFS('Formatted Data'!$H:$H,'Week Overview'!$B$5,'Formatted Data'!$J:$J,'Week Overview'!V2)</f>
        <v>0</v>
      </c>
      <c r="W5" s="12">
        <f>COUNTIFS('Formatted Data'!$H:$H,'Week Overview'!$B$5,'Formatted Data'!$J:$J,'Week Overview'!W2)</f>
        <v>0</v>
      </c>
      <c r="X5" s="12">
        <f>COUNTIFS('Formatted Data'!$H:$H,'Week Overview'!$B$5,'Formatted Data'!$J:$J,'Week Overview'!X2)</f>
        <v>0</v>
      </c>
      <c r="Y5" s="12">
        <f>COUNTIFS('Formatted Data'!$H:$H,'Week Overview'!$B$5,'Formatted Data'!$J:$J,'Week Overview'!Y2)</f>
        <v>0</v>
      </c>
      <c r="Z5" s="13">
        <f>COUNTIFS('Formatted Data'!$H:$H,'Week Overview'!$B$5,'Formatted Data'!$J:$J,'Week Overview'!Z2)</f>
        <v>0</v>
      </c>
      <c r="AA5" s="6">
        <f t="shared" si="0"/>
        <v>0</v>
      </c>
    </row>
    <row r="6" spans="2:27" x14ac:dyDescent="0.25">
      <c r="B6" s="18" t="s">
        <v>18</v>
      </c>
      <c r="C6" s="11">
        <f>COUNTIFS('Formatted Data'!$H:$H,'Week Overview'!$B$6,'Formatted Data'!$J:$J,'Week Overview'!C2)</f>
        <v>0</v>
      </c>
      <c r="D6" s="12">
        <f>COUNTIFS('Formatted Data'!$H:$H,'Week Overview'!$B$6,'Formatted Data'!$J:$J,'Week Overview'!D2)</f>
        <v>0</v>
      </c>
      <c r="E6" s="12">
        <f>COUNTIFS('Formatted Data'!$H:$H,'Week Overview'!$B$6,'Formatted Data'!$J:$J,'Week Overview'!E2)</f>
        <v>0</v>
      </c>
      <c r="F6" s="12">
        <f>COUNTIFS('Formatted Data'!$H:$H,'Week Overview'!$B$6,'Formatted Data'!$J:$J,'Week Overview'!F2)</f>
        <v>0</v>
      </c>
      <c r="G6" s="12">
        <f>COUNTIFS('Formatted Data'!$H:$H,'Week Overview'!$B$6,'Formatted Data'!$J:$J,'Week Overview'!G2)</f>
        <v>0</v>
      </c>
      <c r="H6" s="12">
        <f>COUNTIFS('Formatted Data'!$H:$H,'Week Overview'!$B$6,'Formatted Data'!$J:$J,'Week Overview'!H2)</f>
        <v>0</v>
      </c>
      <c r="I6" s="12">
        <f>COUNTIFS('Formatted Data'!$H:$H,'Week Overview'!$B$6,'Formatted Data'!$J:$J,'Week Overview'!I2)</f>
        <v>0</v>
      </c>
      <c r="J6" s="12">
        <f>COUNTIFS('Formatted Data'!$H:$H,'Week Overview'!$B$6,'Formatted Data'!$J:$J,'Week Overview'!J2)</f>
        <v>0</v>
      </c>
      <c r="K6" s="12">
        <f>COUNTIFS('Formatted Data'!$H:$H,'Week Overview'!$B$6,'Formatted Data'!$J:$J,'Week Overview'!K2)</f>
        <v>0</v>
      </c>
      <c r="L6" s="12">
        <f>COUNTIFS('Formatted Data'!$H:$H,'Week Overview'!$B$6,'Formatted Data'!$J:$J,'Week Overview'!L2)</f>
        <v>0</v>
      </c>
      <c r="M6" s="12">
        <f>COUNTIFS('Formatted Data'!$H:$H,'Week Overview'!$B$6,'Formatted Data'!$J:$J,'Week Overview'!M2)</f>
        <v>0</v>
      </c>
      <c r="N6" s="12">
        <f>COUNTIFS('Formatted Data'!$H:$H,'Week Overview'!$B$6,'Formatted Data'!$J:$J,'Week Overview'!N2)</f>
        <v>0</v>
      </c>
      <c r="O6" s="12">
        <f>COUNTIFS('Formatted Data'!$H:$H,'Week Overview'!$B$6,'Formatted Data'!$J:$J,'Week Overview'!O2)</f>
        <v>0</v>
      </c>
      <c r="P6" s="12">
        <f>COUNTIFS('Formatted Data'!$H:$H,'Week Overview'!$B$6,'Formatted Data'!$J:$J,'Week Overview'!P2)</f>
        <v>0</v>
      </c>
      <c r="Q6" s="12">
        <f>COUNTIFS('Formatted Data'!$H:$H,'Week Overview'!$B$6,'Formatted Data'!$J:$J,'Week Overview'!Q2)</f>
        <v>0</v>
      </c>
      <c r="R6" s="12">
        <f>COUNTIFS('Formatted Data'!$H:$H,'Week Overview'!$B$6,'Formatted Data'!$J:$J,'Week Overview'!R2)</f>
        <v>0</v>
      </c>
      <c r="S6" s="12">
        <f>COUNTIFS('Formatted Data'!$H:$H,'Week Overview'!$B$6,'Formatted Data'!$J:$J,'Week Overview'!S2)</f>
        <v>0</v>
      </c>
      <c r="T6" s="12">
        <f>COUNTIFS('Formatted Data'!$H:$H,'Week Overview'!$B$6,'Formatted Data'!$J:$J,'Week Overview'!T2)</f>
        <v>0</v>
      </c>
      <c r="U6" s="12">
        <f>COUNTIFS('Formatted Data'!$H:$H,'Week Overview'!$B$6,'Formatted Data'!$J:$J,'Week Overview'!U2)</f>
        <v>0</v>
      </c>
      <c r="V6" s="12">
        <f>COUNTIFS('Formatted Data'!$H:$H,'Week Overview'!$B$6,'Formatted Data'!$J:$J,'Week Overview'!V2)</f>
        <v>0</v>
      </c>
      <c r="W6" s="12">
        <f>COUNTIFS('Formatted Data'!$H:$H,'Week Overview'!$B$6,'Formatted Data'!$J:$J,'Week Overview'!W2)</f>
        <v>0</v>
      </c>
      <c r="X6" s="12">
        <f>COUNTIFS('Formatted Data'!$H:$H,'Week Overview'!$B$6,'Formatted Data'!$J:$J,'Week Overview'!X2)</f>
        <v>0</v>
      </c>
      <c r="Y6" s="12">
        <f>COUNTIFS('Formatted Data'!$H:$H,'Week Overview'!$B$6,'Formatted Data'!$J:$J,'Week Overview'!Y2)</f>
        <v>0</v>
      </c>
      <c r="Z6" s="13">
        <f>COUNTIFS('Formatted Data'!$H:$H,'Week Overview'!$B$6,'Formatted Data'!$J:$J,'Week Overview'!Z2)</f>
        <v>0</v>
      </c>
      <c r="AA6" s="6">
        <f t="shared" si="0"/>
        <v>0</v>
      </c>
    </row>
    <row r="7" spans="2:27" x14ac:dyDescent="0.25">
      <c r="B7" s="18" t="s">
        <v>19</v>
      </c>
      <c r="C7" s="11">
        <f>COUNTIFS('Formatted Data'!$H:$H,'Week Overview'!$B$7,'Formatted Data'!$J:$J,'Week Overview'!C2)</f>
        <v>0</v>
      </c>
      <c r="D7" s="12">
        <f>COUNTIFS('Formatted Data'!$H:$H,'Week Overview'!$B$7,'Formatted Data'!$J:$J,'Week Overview'!D2)</f>
        <v>0</v>
      </c>
      <c r="E7" s="12">
        <f>COUNTIFS('Formatted Data'!$H:$H,'Week Overview'!$B$7,'Formatted Data'!$J:$J,'Week Overview'!E2)</f>
        <v>0</v>
      </c>
      <c r="F7" s="12">
        <f>COUNTIFS('Formatted Data'!$H:$H,'Week Overview'!$B$7,'Formatted Data'!$J:$J,'Week Overview'!F2)</f>
        <v>0</v>
      </c>
      <c r="G7" s="12">
        <f>COUNTIFS('Formatted Data'!$H:$H,'Week Overview'!$B$7,'Formatted Data'!$J:$J,'Week Overview'!G2)</f>
        <v>0</v>
      </c>
      <c r="H7" s="12">
        <f>COUNTIFS('Formatted Data'!$H:$H,'Week Overview'!$B$7,'Formatted Data'!$J:$J,'Week Overview'!H2)</f>
        <v>0</v>
      </c>
      <c r="I7" s="12">
        <f>COUNTIFS('Formatted Data'!$H:$H,'Week Overview'!$B$7,'Formatted Data'!$J:$J,'Week Overview'!I2)</f>
        <v>0</v>
      </c>
      <c r="J7" s="12">
        <f>COUNTIFS('Formatted Data'!$H:$H,'Week Overview'!$B$7,'Formatted Data'!$J:$J,'Week Overview'!J2)</f>
        <v>0</v>
      </c>
      <c r="K7" s="12">
        <f>COUNTIFS('Formatted Data'!$H:$H,'Week Overview'!$B$7,'Formatted Data'!$J:$J,'Week Overview'!K2)</f>
        <v>0</v>
      </c>
      <c r="L7" s="12">
        <f>COUNTIFS('Formatted Data'!$H:$H,'Week Overview'!$B$7,'Formatted Data'!$J:$J,'Week Overview'!L2)</f>
        <v>0</v>
      </c>
      <c r="M7" s="12">
        <f>COUNTIFS('Formatted Data'!$H:$H,'Week Overview'!$B$7,'Formatted Data'!$J:$J,'Week Overview'!M2)</f>
        <v>0</v>
      </c>
      <c r="N7" s="12">
        <f>COUNTIFS('Formatted Data'!$H:$H,'Week Overview'!$B$7,'Formatted Data'!$J:$J,'Week Overview'!N2)</f>
        <v>0</v>
      </c>
      <c r="O7" s="12">
        <f>COUNTIFS('Formatted Data'!$H:$H,'Week Overview'!$B$7,'Formatted Data'!$J:$J,'Week Overview'!O2)</f>
        <v>0</v>
      </c>
      <c r="P7" s="12">
        <f>COUNTIFS('Formatted Data'!$H:$H,'Week Overview'!$B$7,'Formatted Data'!$J:$J,'Week Overview'!P2)</f>
        <v>0</v>
      </c>
      <c r="Q7" s="12">
        <f>COUNTIFS('Formatted Data'!$H:$H,'Week Overview'!$B$7,'Formatted Data'!$J:$J,'Week Overview'!Q2)</f>
        <v>0</v>
      </c>
      <c r="R7" s="12">
        <f>COUNTIFS('Formatted Data'!$H:$H,'Week Overview'!$B$7,'Formatted Data'!$J:$J,'Week Overview'!R2)</f>
        <v>0</v>
      </c>
      <c r="S7" s="12">
        <f>COUNTIFS('Formatted Data'!$H:$H,'Week Overview'!$B$7,'Formatted Data'!$J:$J,'Week Overview'!S2)</f>
        <v>0</v>
      </c>
      <c r="T7" s="12">
        <f>COUNTIFS('Formatted Data'!$H:$H,'Week Overview'!$B$7,'Formatted Data'!$J:$J,'Week Overview'!T2)</f>
        <v>0</v>
      </c>
      <c r="U7" s="12">
        <f>COUNTIFS('Formatted Data'!$H:$H,'Week Overview'!$B$7,'Formatted Data'!$J:$J,'Week Overview'!U2)</f>
        <v>0</v>
      </c>
      <c r="V7" s="12">
        <f>COUNTIFS('Formatted Data'!$H:$H,'Week Overview'!$B$7,'Formatted Data'!$J:$J,'Week Overview'!V2)</f>
        <v>0</v>
      </c>
      <c r="W7" s="12">
        <f>COUNTIFS('Formatted Data'!$H:$H,'Week Overview'!$B$7,'Formatted Data'!$J:$J,'Week Overview'!W2)</f>
        <v>0</v>
      </c>
      <c r="X7" s="12">
        <f>COUNTIFS('Formatted Data'!$H:$H,'Week Overview'!$B$7,'Formatted Data'!$J:$J,'Week Overview'!X2)</f>
        <v>0</v>
      </c>
      <c r="Y7" s="12">
        <f>COUNTIFS('Formatted Data'!$H:$H,'Week Overview'!$B$7,'Formatted Data'!$J:$J,'Week Overview'!Y2)</f>
        <v>0</v>
      </c>
      <c r="Z7" s="13">
        <f>COUNTIFS('Formatted Data'!$H:$H,'Week Overview'!$B$7,'Formatted Data'!$J:$J,'Week Overview'!Z2)</f>
        <v>0</v>
      </c>
      <c r="AA7" s="6">
        <f t="shared" si="0"/>
        <v>0</v>
      </c>
    </row>
    <row r="8" spans="2:27" x14ac:dyDescent="0.25">
      <c r="B8" s="18" t="s">
        <v>20</v>
      </c>
      <c r="C8" s="11">
        <f>COUNTIFS('Formatted Data'!$H:$H,'Week Overview'!$B$8,'Formatted Data'!$J:$J,'Week Overview'!C2)</f>
        <v>0</v>
      </c>
      <c r="D8" s="12">
        <f>COUNTIFS('Formatted Data'!$H:$H,'Week Overview'!$B$8,'Formatted Data'!$J:$J,'Week Overview'!D2)</f>
        <v>0</v>
      </c>
      <c r="E8" s="12">
        <f>COUNTIFS('Formatted Data'!$H:$H,'Week Overview'!$B$8,'Formatted Data'!$J:$J,'Week Overview'!E2)</f>
        <v>0</v>
      </c>
      <c r="F8" s="12">
        <f>COUNTIFS('Formatted Data'!$H:$H,'Week Overview'!$B$8,'Formatted Data'!$J:$J,'Week Overview'!F2)</f>
        <v>0</v>
      </c>
      <c r="G8" s="12">
        <f>COUNTIFS('Formatted Data'!$H:$H,'Week Overview'!$B$8,'Formatted Data'!$J:$J,'Week Overview'!G2)</f>
        <v>0</v>
      </c>
      <c r="H8" s="12">
        <f>COUNTIFS('Formatted Data'!$H:$H,'Week Overview'!$B$8,'Formatted Data'!$J:$J,'Week Overview'!H2)</f>
        <v>0</v>
      </c>
      <c r="I8" s="12">
        <f>COUNTIFS('Formatted Data'!$H:$H,'Week Overview'!$B$8,'Formatted Data'!$J:$J,'Week Overview'!I2)</f>
        <v>0</v>
      </c>
      <c r="J8" s="12">
        <f>COUNTIFS('Formatted Data'!$H:$H,'Week Overview'!$B$8,'Formatted Data'!$J:$J,'Week Overview'!J2)</f>
        <v>0</v>
      </c>
      <c r="K8" s="12">
        <f>COUNTIFS('Formatted Data'!$H:$H,'Week Overview'!$B$8,'Formatted Data'!$J:$J,'Week Overview'!K2)</f>
        <v>0</v>
      </c>
      <c r="L8" s="12">
        <f>COUNTIFS('Formatted Data'!$H:$H,'Week Overview'!$B$8,'Formatted Data'!$J:$J,'Week Overview'!L2)</f>
        <v>0</v>
      </c>
      <c r="M8" s="12">
        <f>COUNTIFS('Formatted Data'!$H:$H,'Week Overview'!$B$8,'Formatted Data'!$J:$J,'Week Overview'!M2)</f>
        <v>0</v>
      </c>
      <c r="N8" s="12">
        <f>COUNTIFS('Formatted Data'!$H:$H,'Week Overview'!$B$8,'Formatted Data'!$J:$J,'Week Overview'!N2)</f>
        <v>0</v>
      </c>
      <c r="O8" s="12">
        <f>COUNTIFS('Formatted Data'!$H:$H,'Week Overview'!$B$8,'Formatted Data'!$J:$J,'Week Overview'!O2)</f>
        <v>0</v>
      </c>
      <c r="P8" s="12">
        <f>COUNTIFS('Formatted Data'!$H:$H,'Week Overview'!$B$8,'Formatted Data'!$J:$J,'Week Overview'!P2)</f>
        <v>0</v>
      </c>
      <c r="Q8" s="12">
        <f>COUNTIFS('Formatted Data'!$H:$H,'Week Overview'!$B$8,'Formatted Data'!$J:$J,'Week Overview'!Q2)</f>
        <v>0</v>
      </c>
      <c r="R8" s="12">
        <f>COUNTIFS('Formatted Data'!$H:$H,'Week Overview'!$B$8,'Formatted Data'!$J:$J,'Week Overview'!R2)</f>
        <v>0</v>
      </c>
      <c r="S8" s="12">
        <f>COUNTIFS('Formatted Data'!$H:$H,'Week Overview'!$B$8,'Formatted Data'!$J:$J,'Week Overview'!S2)</f>
        <v>0</v>
      </c>
      <c r="T8" s="12">
        <f>COUNTIFS('Formatted Data'!$H:$H,'Week Overview'!$B$8,'Formatted Data'!$J:$J,'Week Overview'!T2)</f>
        <v>0</v>
      </c>
      <c r="U8" s="12">
        <f>COUNTIFS('Formatted Data'!$H:$H,'Week Overview'!$B$8,'Formatted Data'!$J:$J,'Week Overview'!U2)</f>
        <v>0</v>
      </c>
      <c r="V8" s="12">
        <f>COUNTIFS('Formatted Data'!$H:$H,'Week Overview'!$B$8,'Formatted Data'!$J:$J,'Week Overview'!V2)</f>
        <v>0</v>
      </c>
      <c r="W8" s="12">
        <f>COUNTIFS('Formatted Data'!$H:$H,'Week Overview'!$B$8,'Formatted Data'!$J:$J,'Week Overview'!W2)</f>
        <v>0</v>
      </c>
      <c r="X8" s="12">
        <f>COUNTIFS('Formatted Data'!$H:$H,'Week Overview'!$B$8,'Formatted Data'!$J:$J,'Week Overview'!X2)</f>
        <v>0</v>
      </c>
      <c r="Y8" s="12">
        <f>COUNTIFS('Formatted Data'!$H:$H,'Week Overview'!$B$8,'Formatted Data'!$J:$J,'Week Overview'!Y2)</f>
        <v>0</v>
      </c>
      <c r="Z8" s="13">
        <f>COUNTIFS('Formatted Data'!$H:$H,'Week Overview'!$B$8,'Formatted Data'!$J:$J,'Week Overview'!Z2)</f>
        <v>0</v>
      </c>
      <c r="AA8" s="6">
        <f t="shared" si="0"/>
        <v>0</v>
      </c>
    </row>
    <row r="9" spans="2:27" ht="15.75" thickBot="1" x14ac:dyDescent="0.3">
      <c r="B9" s="19" t="s">
        <v>21</v>
      </c>
      <c r="C9" s="14">
        <f>COUNTIFS('Formatted Data'!$H:$H,'Week Overview'!$B$9,'Formatted Data'!$J:$J,'Week Overview'!C2)</f>
        <v>0</v>
      </c>
      <c r="D9" s="15">
        <f>COUNTIFS('Formatted Data'!$H:$H,'Week Overview'!$B$9,'Formatted Data'!$J:$J,'Week Overview'!D2)</f>
        <v>0</v>
      </c>
      <c r="E9" s="15">
        <f>COUNTIFS('Formatted Data'!$H:$H,'Week Overview'!$B$9,'Formatted Data'!$J:$J,'Week Overview'!E2)</f>
        <v>0</v>
      </c>
      <c r="F9" s="15">
        <f>COUNTIFS('Formatted Data'!$H:$H,'Week Overview'!$B$9,'Formatted Data'!$J:$J,'Week Overview'!F2)</f>
        <v>0</v>
      </c>
      <c r="G9" s="15">
        <f>COUNTIFS('Formatted Data'!$H:$H,'Week Overview'!$B$9,'Formatted Data'!$J:$J,'Week Overview'!G2)</f>
        <v>0</v>
      </c>
      <c r="H9" s="15">
        <f>COUNTIFS('Formatted Data'!$H:$H,'Week Overview'!$B$9,'Formatted Data'!$J:$J,'Week Overview'!H2)</f>
        <v>0</v>
      </c>
      <c r="I9" s="15">
        <f>COUNTIFS('Formatted Data'!$H:$H,'Week Overview'!$B$9,'Formatted Data'!$J:$J,'Week Overview'!I2)</f>
        <v>0</v>
      </c>
      <c r="J9" s="15">
        <f>COUNTIFS('Formatted Data'!$H:$H,'Week Overview'!$B$9,'Formatted Data'!$J:$J,'Week Overview'!J2)</f>
        <v>0</v>
      </c>
      <c r="K9" s="15">
        <f>COUNTIFS('Formatted Data'!$H:$H,'Week Overview'!$B$9,'Formatted Data'!$J:$J,'Week Overview'!K2)</f>
        <v>0</v>
      </c>
      <c r="L9" s="15">
        <f>COUNTIFS('Formatted Data'!$H:$H,'Week Overview'!$B$9,'Formatted Data'!$J:$J,'Week Overview'!L2)</f>
        <v>0</v>
      </c>
      <c r="M9" s="15">
        <f>COUNTIFS('Formatted Data'!$H:$H,'Week Overview'!$B$9,'Formatted Data'!$J:$J,'Week Overview'!M2)</f>
        <v>0</v>
      </c>
      <c r="N9" s="15">
        <f>COUNTIFS('Formatted Data'!$H:$H,'Week Overview'!$B$9,'Formatted Data'!$J:$J,'Week Overview'!N2)</f>
        <v>0</v>
      </c>
      <c r="O9" s="15">
        <f>COUNTIFS('Formatted Data'!$H:$H,'Week Overview'!$B$9,'Formatted Data'!$J:$J,'Week Overview'!O2)</f>
        <v>0</v>
      </c>
      <c r="P9" s="15">
        <f>COUNTIFS('Formatted Data'!$H:$H,'Week Overview'!$B$9,'Formatted Data'!$J:$J,'Week Overview'!P2)</f>
        <v>0</v>
      </c>
      <c r="Q9" s="15">
        <f>COUNTIFS('Formatted Data'!$H:$H,'Week Overview'!$B$9,'Formatted Data'!$J:$J,'Week Overview'!Q2)</f>
        <v>0</v>
      </c>
      <c r="R9" s="15">
        <f>COUNTIFS('Formatted Data'!$H:$H,'Week Overview'!$B$9,'Formatted Data'!$J:$J,'Week Overview'!R2)</f>
        <v>0</v>
      </c>
      <c r="S9" s="15">
        <f>COUNTIFS('Formatted Data'!$H:$H,'Week Overview'!$B$9,'Formatted Data'!$J:$J,'Week Overview'!S2)</f>
        <v>0</v>
      </c>
      <c r="T9" s="15">
        <f>COUNTIFS('Formatted Data'!$H:$H,'Week Overview'!$B$9,'Formatted Data'!$J:$J,'Week Overview'!T2)</f>
        <v>0</v>
      </c>
      <c r="U9" s="15">
        <f>COUNTIFS('Formatted Data'!$H:$H,'Week Overview'!$B$9,'Formatted Data'!$J:$J,'Week Overview'!U2)</f>
        <v>0</v>
      </c>
      <c r="V9" s="15">
        <f>COUNTIFS('Formatted Data'!$H:$H,'Week Overview'!$B$9,'Formatted Data'!$J:$J,'Week Overview'!V2)</f>
        <v>0</v>
      </c>
      <c r="W9" s="15">
        <f>COUNTIFS('Formatted Data'!$H:$H,'Week Overview'!$B$9,'Formatted Data'!$J:$J,'Week Overview'!W2)</f>
        <v>0</v>
      </c>
      <c r="X9" s="15">
        <f>COUNTIFS('Formatted Data'!$H:$H,'Week Overview'!$B$9,'Formatted Data'!$J:$J,'Week Overview'!X2)</f>
        <v>0</v>
      </c>
      <c r="Y9" s="15">
        <f>COUNTIFS('Formatted Data'!$H:$H,'Week Overview'!$B$9,'Formatted Data'!$J:$J,'Week Overview'!Y2)</f>
        <v>0</v>
      </c>
      <c r="Z9" s="16">
        <f>COUNTIFS('Formatted Data'!$H:$H,'Week Overview'!$B$9,'Formatted Data'!$J:$J,'Week Overview'!Z2)</f>
        <v>0</v>
      </c>
      <c r="AA9" s="7">
        <f t="shared" si="0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A77E0-6DF3-4F7F-BAFE-A9158C090301}">
  <sheetPr codeName="Sheet10"/>
  <dimension ref="A1:R620"/>
  <sheetViews>
    <sheetView zoomScale="90" zoomScaleNormal="90" workbookViewId="0">
      <selection activeCell="D25" sqref="D25"/>
    </sheetView>
  </sheetViews>
  <sheetFormatPr defaultRowHeight="15" x14ac:dyDescent="0.25"/>
  <cols>
    <col min="1" max="1" width="4.140625" style="3" customWidth="1"/>
    <col min="2" max="2" width="21.7109375" style="3" bestFit="1" customWidth="1"/>
    <col min="3" max="11" width="16.5703125" style="3" customWidth="1"/>
    <col min="12" max="12" width="2.42578125" style="3" customWidth="1"/>
    <col min="13" max="13" width="16.5703125" style="3" customWidth="1"/>
    <col min="14" max="14" width="16.7109375" style="3" customWidth="1"/>
    <col min="15" max="15" width="16.5703125" style="3" customWidth="1"/>
    <col min="16" max="16" width="2.7109375" style="3" customWidth="1"/>
    <col min="17" max="17" width="24.7109375" style="3" customWidth="1"/>
    <col min="18" max="18" width="25.42578125" style="3" customWidth="1"/>
    <col min="19" max="16384" width="9.140625" style="3"/>
  </cols>
  <sheetData>
    <row r="1" spans="1:18" ht="15.75" thickBot="1" x14ac:dyDescent="0.3"/>
    <row r="2" spans="1:18" ht="15.75" customHeight="1" thickBot="1" x14ac:dyDescent="0.3">
      <c r="A2" s="92"/>
      <c r="B2" s="185" t="s">
        <v>64</v>
      </c>
      <c r="C2" s="186"/>
      <c r="Q2" s="179" t="s">
        <v>67</v>
      </c>
      <c r="R2" s="180"/>
    </row>
    <row r="3" spans="1:18" ht="15.75" customHeight="1" x14ac:dyDescent="0.25">
      <c r="A3" s="92"/>
      <c r="B3" s="181"/>
      <c r="C3" s="182"/>
      <c r="Q3" s="175">
        <f>C75</f>
        <v>0</v>
      </c>
      <c r="R3" s="177"/>
    </row>
    <row r="4" spans="1:18" ht="15.75" customHeight="1" thickBot="1" x14ac:dyDescent="0.3">
      <c r="A4" s="92"/>
      <c r="B4" s="183"/>
      <c r="C4" s="184"/>
      <c r="Q4" s="176"/>
      <c r="R4" s="178"/>
    </row>
    <row r="5" spans="1:18" ht="15.75" customHeight="1" thickBot="1" x14ac:dyDescent="0.3">
      <c r="A5" s="92"/>
      <c r="Q5" s="175">
        <f>D75</f>
        <v>0</v>
      </c>
      <c r="R5" s="177"/>
    </row>
    <row r="6" spans="1:18" ht="15.75" customHeight="1" thickBot="1" x14ac:dyDescent="0.3">
      <c r="A6" s="92"/>
      <c r="B6" s="185" t="s">
        <v>50</v>
      </c>
      <c r="C6" s="186"/>
      <c r="Q6" s="176"/>
      <c r="R6" s="178"/>
    </row>
    <row r="7" spans="1:18" ht="15.75" customHeight="1" x14ac:dyDescent="0.25">
      <c r="A7" s="92"/>
      <c r="B7" s="181"/>
      <c r="C7" s="182"/>
      <c r="Q7" s="175">
        <f>E75</f>
        <v>0</v>
      </c>
      <c r="R7" s="177"/>
    </row>
    <row r="8" spans="1:18" ht="15.75" customHeight="1" thickBot="1" x14ac:dyDescent="0.3">
      <c r="A8" s="92"/>
      <c r="B8" s="183"/>
      <c r="C8" s="184"/>
      <c r="Q8" s="176"/>
      <c r="R8" s="178"/>
    </row>
    <row r="9" spans="1:18" ht="15.75" customHeight="1" thickBot="1" x14ac:dyDescent="0.3">
      <c r="A9" s="92"/>
      <c r="Q9" s="175">
        <f>F75</f>
        <v>0</v>
      </c>
      <c r="R9" s="177"/>
    </row>
    <row r="10" spans="1:18" ht="15.75" customHeight="1" thickBot="1" x14ac:dyDescent="0.3">
      <c r="A10" s="92"/>
      <c r="B10" s="185" t="s">
        <v>75</v>
      </c>
      <c r="C10" s="186"/>
      <c r="Q10" s="176"/>
      <c r="R10" s="178"/>
    </row>
    <row r="11" spans="1:18" ht="15.75" customHeight="1" x14ac:dyDescent="0.25">
      <c r="A11" s="92"/>
      <c r="B11" s="181"/>
      <c r="C11" s="182"/>
      <c r="Q11" s="175">
        <f>G75</f>
        <v>0</v>
      </c>
      <c r="R11" s="177"/>
    </row>
    <row r="12" spans="1:18" ht="15.75" customHeight="1" thickBot="1" x14ac:dyDescent="0.3">
      <c r="A12" s="92"/>
      <c r="B12" s="183"/>
      <c r="C12" s="184"/>
      <c r="Q12" s="176"/>
      <c r="R12" s="178"/>
    </row>
    <row r="13" spans="1:18" ht="15.75" customHeight="1" thickBot="1" x14ac:dyDescent="0.3">
      <c r="A13" s="92"/>
      <c r="F13" s="25"/>
      <c r="G13" s="25"/>
    </row>
    <row r="14" spans="1:18" ht="15.75" customHeight="1" thickBot="1" x14ac:dyDescent="0.3">
      <c r="A14" s="92"/>
      <c r="B14" s="185" t="s">
        <v>33</v>
      </c>
      <c r="C14" s="186"/>
      <c r="F14" s="25"/>
      <c r="G14" s="25"/>
    </row>
    <row r="15" spans="1:18" ht="15.75" customHeight="1" x14ac:dyDescent="0.25">
      <c r="A15" s="92"/>
      <c r="B15" s="187"/>
      <c r="C15" s="188"/>
      <c r="F15" s="25"/>
      <c r="G15" s="25"/>
    </row>
    <row r="16" spans="1:18" ht="15.75" customHeight="1" thickBot="1" x14ac:dyDescent="0.3">
      <c r="A16" s="92"/>
      <c r="B16" s="189"/>
      <c r="C16" s="190"/>
      <c r="F16" s="25"/>
      <c r="G16" s="25"/>
    </row>
    <row r="17" spans="1:18" s="30" customFormat="1" ht="29.25" customHeight="1" x14ac:dyDescent="0.25">
      <c r="A17" s="107"/>
    </row>
    <row r="18" spans="1:18" ht="23.25" customHeight="1" thickBot="1" x14ac:dyDescent="0.3">
      <c r="A18" s="92"/>
    </row>
    <row r="19" spans="1:18" s="25" customFormat="1" ht="15.75" customHeight="1" x14ac:dyDescent="0.25">
      <c r="A19" s="92"/>
      <c r="B19" s="69" t="s">
        <v>31</v>
      </c>
      <c r="C19" s="111" t="s">
        <v>22</v>
      </c>
      <c r="D19" s="111" t="s">
        <v>15</v>
      </c>
      <c r="E19" s="111" t="s">
        <v>16</v>
      </c>
      <c r="F19" s="111" t="s">
        <v>18</v>
      </c>
      <c r="G19" s="111" t="s">
        <v>19</v>
      </c>
      <c r="H19" s="111" t="s">
        <v>20</v>
      </c>
      <c r="I19" s="111" t="s">
        <v>21</v>
      </c>
      <c r="J19" s="111" t="s">
        <v>32</v>
      </c>
      <c r="K19" s="91" t="s">
        <v>60</v>
      </c>
      <c r="M19" s="108" t="s">
        <v>1</v>
      </c>
      <c r="N19" s="109" t="s">
        <v>32</v>
      </c>
      <c r="O19" s="110" t="s">
        <v>60</v>
      </c>
      <c r="P19" s="3"/>
      <c r="R19" s="3"/>
    </row>
    <row r="20" spans="1:18" ht="15.75" customHeight="1" x14ac:dyDescent="0.25">
      <c r="A20" s="92"/>
      <c r="B20" s="87"/>
      <c r="C20" s="36"/>
      <c r="D20" s="36"/>
      <c r="E20" s="36"/>
      <c r="F20" s="36"/>
      <c r="G20" s="36"/>
      <c r="H20" s="36"/>
      <c r="I20" s="36"/>
      <c r="J20" s="36"/>
      <c r="K20" s="89"/>
      <c r="L20" s="35"/>
      <c r="M20" s="87"/>
      <c r="N20" s="36"/>
      <c r="O20" s="89"/>
      <c r="Q20" s="25"/>
    </row>
    <row r="21" spans="1:18" ht="15.75" customHeight="1" x14ac:dyDescent="0.25">
      <c r="A21" s="92"/>
      <c r="B21" s="87"/>
      <c r="C21" s="36"/>
      <c r="D21" s="36"/>
      <c r="E21" s="36"/>
      <c r="F21" s="36"/>
      <c r="G21" s="36"/>
      <c r="H21" s="36"/>
      <c r="I21" s="36"/>
      <c r="J21" s="36"/>
      <c r="K21" s="89"/>
      <c r="L21" s="24"/>
      <c r="M21" s="87"/>
      <c r="N21" s="36"/>
      <c r="O21" s="89"/>
    </row>
    <row r="22" spans="1:18" ht="15.75" customHeight="1" x14ac:dyDescent="0.25">
      <c r="A22" s="92"/>
      <c r="B22" s="87"/>
      <c r="C22" s="36"/>
      <c r="D22" s="36"/>
      <c r="E22" s="36"/>
      <c r="F22" s="36"/>
      <c r="G22" s="36"/>
      <c r="H22" s="36"/>
      <c r="I22" s="36"/>
      <c r="J22" s="36"/>
      <c r="K22" s="89"/>
      <c r="L22" s="24"/>
      <c r="M22" s="87"/>
      <c r="N22" s="36"/>
      <c r="O22" s="89"/>
    </row>
    <row r="23" spans="1:18" ht="15.75" customHeight="1" x14ac:dyDescent="0.25">
      <c r="A23" s="92"/>
      <c r="B23" s="87"/>
      <c r="C23" s="36"/>
      <c r="D23" s="36"/>
      <c r="E23" s="36"/>
      <c r="F23" s="36"/>
      <c r="G23" s="36"/>
      <c r="H23" s="36"/>
      <c r="I23" s="36"/>
      <c r="J23" s="36"/>
      <c r="K23" s="89"/>
      <c r="L23" s="24"/>
      <c r="M23" s="87"/>
      <c r="N23" s="36"/>
      <c r="O23" s="89"/>
    </row>
    <row r="24" spans="1:18" ht="15.75" customHeight="1" x14ac:dyDescent="0.25">
      <c r="A24" s="92"/>
      <c r="B24" s="87"/>
      <c r="C24" s="36"/>
      <c r="D24" s="36"/>
      <c r="E24" s="36"/>
      <c r="F24" s="36"/>
      <c r="G24" s="36"/>
      <c r="H24" s="36"/>
      <c r="I24" s="36"/>
      <c r="J24" s="36"/>
      <c r="K24" s="89"/>
      <c r="L24" s="24"/>
      <c r="M24" s="87"/>
      <c r="N24" s="36"/>
      <c r="O24" s="89"/>
    </row>
    <row r="25" spans="1:18" ht="15.75" customHeight="1" x14ac:dyDescent="0.25">
      <c r="A25" s="92"/>
      <c r="B25" s="87"/>
      <c r="C25" s="36"/>
      <c r="D25" s="36"/>
      <c r="E25" s="36"/>
      <c r="F25" s="36"/>
      <c r="G25" s="36"/>
      <c r="H25" s="36"/>
      <c r="I25" s="36"/>
      <c r="J25" s="36"/>
      <c r="K25" s="89"/>
      <c r="L25" s="24"/>
      <c r="M25" s="87"/>
      <c r="N25" s="36"/>
      <c r="O25" s="89"/>
    </row>
    <row r="26" spans="1:18" ht="15.75" customHeight="1" x14ac:dyDescent="0.25">
      <c r="A26" s="92"/>
      <c r="B26" s="87"/>
      <c r="C26" s="36"/>
      <c r="D26" s="36"/>
      <c r="E26" s="36"/>
      <c r="F26" s="36"/>
      <c r="G26" s="36"/>
      <c r="H26" s="36"/>
      <c r="I26" s="36"/>
      <c r="J26" s="36"/>
      <c r="K26" s="89"/>
      <c r="L26" s="24"/>
      <c r="M26" s="87"/>
      <c r="N26" s="36"/>
      <c r="O26" s="89"/>
    </row>
    <row r="27" spans="1:18" ht="15.75" customHeight="1" x14ac:dyDescent="0.25">
      <c r="A27" s="92"/>
      <c r="B27" s="87"/>
      <c r="C27" s="36"/>
      <c r="D27" s="36"/>
      <c r="E27" s="36"/>
      <c r="F27" s="36"/>
      <c r="G27" s="36"/>
      <c r="H27" s="36"/>
      <c r="I27" s="36"/>
      <c r="J27" s="36"/>
      <c r="K27" s="89"/>
      <c r="L27" s="24"/>
      <c r="M27" s="87"/>
      <c r="N27" s="36"/>
      <c r="O27" s="89"/>
      <c r="P27" s="29"/>
    </row>
    <row r="28" spans="1:18" ht="15.75" customHeight="1" x14ac:dyDescent="0.25">
      <c r="A28" s="92"/>
      <c r="B28" s="87"/>
      <c r="C28" s="36"/>
      <c r="D28" s="36"/>
      <c r="E28" s="36"/>
      <c r="F28" s="36"/>
      <c r="G28" s="36"/>
      <c r="H28" s="36"/>
      <c r="I28" s="36"/>
      <c r="J28" s="36"/>
      <c r="K28" s="89"/>
      <c r="L28" s="24"/>
      <c r="M28" s="87"/>
      <c r="N28" s="36"/>
      <c r="O28" s="89"/>
    </row>
    <row r="29" spans="1:18" ht="15.75" customHeight="1" x14ac:dyDescent="0.25">
      <c r="A29" s="92"/>
      <c r="B29" s="87"/>
      <c r="C29" s="36"/>
      <c r="D29" s="36"/>
      <c r="E29" s="36"/>
      <c r="F29" s="36"/>
      <c r="G29" s="36"/>
      <c r="H29" s="36"/>
      <c r="I29" s="36"/>
      <c r="J29" s="36"/>
      <c r="K29" s="89"/>
      <c r="L29" s="24"/>
      <c r="M29" s="87"/>
      <c r="N29" s="36"/>
      <c r="O29" s="89"/>
    </row>
    <row r="30" spans="1:18" x14ac:dyDescent="0.25">
      <c r="A30" s="92"/>
      <c r="B30" s="87"/>
      <c r="C30" s="36"/>
      <c r="D30" s="36"/>
      <c r="E30" s="36"/>
      <c r="F30" s="36"/>
      <c r="G30" s="36"/>
      <c r="H30" s="36"/>
      <c r="I30" s="36"/>
      <c r="J30" s="36"/>
      <c r="K30" s="89"/>
      <c r="L30" s="24"/>
      <c r="M30" s="87"/>
      <c r="N30" s="36"/>
      <c r="O30" s="89"/>
    </row>
    <row r="31" spans="1:18" x14ac:dyDescent="0.25">
      <c r="A31" s="92"/>
      <c r="B31" s="87"/>
      <c r="C31" s="36"/>
      <c r="D31" s="36"/>
      <c r="E31" s="36"/>
      <c r="F31" s="36"/>
      <c r="G31" s="36"/>
      <c r="H31" s="36"/>
      <c r="I31" s="36"/>
      <c r="J31" s="36"/>
      <c r="K31" s="89"/>
      <c r="L31" s="24"/>
      <c r="M31" s="87"/>
      <c r="N31" s="36"/>
      <c r="O31" s="89"/>
    </row>
    <row r="32" spans="1:18" x14ac:dyDescent="0.25">
      <c r="A32" s="92"/>
      <c r="B32" s="87"/>
      <c r="C32" s="36"/>
      <c r="D32" s="36"/>
      <c r="E32" s="36"/>
      <c r="F32" s="36"/>
      <c r="G32" s="36"/>
      <c r="H32" s="36"/>
      <c r="I32" s="36"/>
      <c r="J32" s="36"/>
      <c r="K32" s="89"/>
      <c r="L32" s="24"/>
      <c r="M32" s="87"/>
      <c r="N32" s="36"/>
      <c r="O32" s="89"/>
    </row>
    <row r="33" spans="1:15" x14ac:dyDescent="0.25">
      <c r="A33" s="92"/>
      <c r="B33" s="87"/>
      <c r="C33" s="36"/>
      <c r="D33" s="36"/>
      <c r="E33" s="36"/>
      <c r="F33" s="36"/>
      <c r="G33" s="36"/>
      <c r="H33" s="36"/>
      <c r="I33" s="36"/>
      <c r="J33" s="36"/>
      <c r="K33" s="89"/>
      <c r="L33" s="24"/>
      <c r="M33" s="87"/>
      <c r="N33" s="36"/>
      <c r="O33" s="89"/>
    </row>
    <row r="34" spans="1:15" x14ac:dyDescent="0.25">
      <c r="A34" s="92"/>
      <c r="B34" s="87"/>
      <c r="C34" s="36"/>
      <c r="D34" s="36"/>
      <c r="E34" s="36"/>
      <c r="F34" s="36"/>
      <c r="G34" s="36"/>
      <c r="H34" s="36"/>
      <c r="I34" s="36"/>
      <c r="J34" s="36"/>
      <c r="K34" s="89"/>
      <c r="L34" s="24"/>
      <c r="M34" s="87"/>
      <c r="N34" s="36"/>
      <c r="O34" s="89"/>
    </row>
    <row r="35" spans="1:15" x14ac:dyDescent="0.25">
      <c r="A35" s="92"/>
      <c r="B35" s="87"/>
      <c r="C35" s="36"/>
      <c r="D35" s="36"/>
      <c r="E35" s="36"/>
      <c r="F35" s="36"/>
      <c r="G35" s="36"/>
      <c r="H35" s="36"/>
      <c r="I35" s="36"/>
      <c r="J35" s="36"/>
      <c r="K35" s="89"/>
      <c r="L35" s="24"/>
      <c r="M35" s="87"/>
      <c r="N35" s="36"/>
      <c r="O35" s="89"/>
    </row>
    <row r="36" spans="1:15" x14ac:dyDescent="0.25">
      <c r="A36" s="92"/>
      <c r="B36" s="87"/>
      <c r="C36" s="36"/>
      <c r="D36" s="36"/>
      <c r="E36" s="36"/>
      <c r="F36" s="36"/>
      <c r="G36" s="36"/>
      <c r="H36" s="36"/>
      <c r="I36" s="36"/>
      <c r="J36" s="36"/>
      <c r="K36" s="89"/>
      <c r="L36" s="24"/>
      <c r="M36" s="87"/>
      <c r="N36" s="36"/>
      <c r="O36" s="89"/>
    </row>
    <row r="37" spans="1:15" x14ac:dyDescent="0.25">
      <c r="A37" s="92"/>
      <c r="B37" s="87"/>
      <c r="C37" s="36"/>
      <c r="D37" s="36"/>
      <c r="E37" s="36"/>
      <c r="F37" s="36"/>
      <c r="G37" s="36"/>
      <c r="H37" s="36"/>
      <c r="I37" s="36"/>
      <c r="J37" s="36"/>
      <c r="K37" s="89"/>
      <c r="L37" s="24"/>
      <c r="M37" s="87"/>
      <c r="N37" s="36"/>
      <c r="O37" s="89"/>
    </row>
    <row r="38" spans="1:15" x14ac:dyDescent="0.25">
      <c r="A38" s="92"/>
      <c r="B38" s="87"/>
      <c r="C38" s="36"/>
      <c r="D38" s="36"/>
      <c r="E38" s="36"/>
      <c r="F38" s="36"/>
      <c r="G38" s="36"/>
      <c r="H38" s="36"/>
      <c r="I38" s="36"/>
      <c r="J38" s="36"/>
      <c r="K38" s="89"/>
      <c r="L38" s="24"/>
      <c r="M38" s="87"/>
      <c r="N38" s="36"/>
      <c r="O38" s="89"/>
    </row>
    <row r="39" spans="1:15" x14ac:dyDescent="0.25">
      <c r="A39" s="92"/>
      <c r="B39" s="87"/>
      <c r="C39" s="36"/>
      <c r="D39" s="36"/>
      <c r="E39" s="36"/>
      <c r="F39" s="36"/>
      <c r="G39" s="36"/>
      <c r="H39" s="36"/>
      <c r="I39" s="36"/>
      <c r="J39" s="36"/>
      <c r="K39" s="89"/>
      <c r="L39" s="24"/>
      <c r="M39" s="87"/>
      <c r="N39" s="36"/>
      <c r="O39" s="89"/>
    </row>
    <row r="40" spans="1:15" x14ac:dyDescent="0.25">
      <c r="A40" s="92"/>
      <c r="B40" s="87"/>
      <c r="C40" s="36"/>
      <c r="D40" s="36"/>
      <c r="E40" s="36"/>
      <c r="F40" s="36"/>
      <c r="G40" s="36"/>
      <c r="H40" s="36"/>
      <c r="I40" s="36"/>
      <c r="J40" s="36"/>
      <c r="K40" s="89"/>
      <c r="L40" s="24"/>
      <c r="M40" s="87"/>
      <c r="N40" s="36"/>
      <c r="O40" s="89"/>
    </row>
    <row r="41" spans="1:15" x14ac:dyDescent="0.25">
      <c r="A41" s="92"/>
      <c r="B41" s="87"/>
      <c r="C41" s="36"/>
      <c r="D41" s="36"/>
      <c r="E41" s="36"/>
      <c r="F41" s="36"/>
      <c r="G41" s="36"/>
      <c r="H41" s="36"/>
      <c r="I41" s="36"/>
      <c r="J41" s="36"/>
      <c r="K41" s="89"/>
      <c r="L41" s="24"/>
      <c r="M41" s="87"/>
      <c r="N41" s="36"/>
      <c r="O41" s="89"/>
    </row>
    <row r="42" spans="1:15" x14ac:dyDescent="0.25">
      <c r="A42" s="92"/>
      <c r="B42" s="87"/>
      <c r="C42" s="36"/>
      <c r="D42" s="36"/>
      <c r="E42" s="36"/>
      <c r="F42" s="36"/>
      <c r="G42" s="36"/>
      <c r="H42" s="36"/>
      <c r="I42" s="36"/>
      <c r="J42" s="36"/>
      <c r="K42" s="89"/>
      <c r="L42" s="24"/>
      <c r="M42" s="87"/>
      <c r="N42" s="36"/>
      <c r="O42" s="89"/>
    </row>
    <row r="43" spans="1:15" x14ac:dyDescent="0.25">
      <c r="A43" s="92"/>
      <c r="B43" s="151"/>
      <c r="C43" s="36"/>
      <c r="D43" s="36"/>
      <c r="E43" s="36"/>
      <c r="F43" s="36"/>
      <c r="G43" s="36"/>
      <c r="H43" s="36"/>
      <c r="I43" s="36"/>
      <c r="J43" s="36"/>
      <c r="K43" s="89"/>
      <c r="L43" s="24"/>
      <c r="M43" s="87"/>
      <c r="N43" s="36"/>
      <c r="O43" s="89"/>
    </row>
    <row r="44" spans="1:15" x14ac:dyDescent="0.25">
      <c r="A44" s="92"/>
      <c r="B44" s="151"/>
      <c r="C44" s="36"/>
      <c r="D44" s="36"/>
      <c r="E44" s="36"/>
      <c r="F44" s="36"/>
      <c r="G44" s="36"/>
      <c r="H44" s="36"/>
      <c r="I44" s="36"/>
      <c r="J44" s="36"/>
      <c r="K44" s="89"/>
      <c r="L44" s="24"/>
      <c r="M44" s="87"/>
      <c r="N44" s="36"/>
      <c r="O44" s="89"/>
    </row>
    <row r="45" spans="1:15" x14ac:dyDescent="0.25">
      <c r="A45" s="92"/>
      <c r="B45" s="151"/>
      <c r="C45" s="152"/>
      <c r="D45" s="152"/>
      <c r="E45" s="152"/>
      <c r="F45" s="152"/>
      <c r="G45" s="152"/>
      <c r="H45" s="152"/>
      <c r="I45" s="152"/>
      <c r="J45" s="152"/>
      <c r="K45" s="153"/>
      <c r="L45" s="24"/>
      <c r="M45" s="151"/>
      <c r="N45" s="152"/>
      <c r="O45" s="154"/>
    </row>
    <row r="46" spans="1:15" ht="15.75" thickBot="1" x14ac:dyDescent="0.3">
      <c r="A46" s="92"/>
      <c r="B46" s="88"/>
      <c r="C46" s="37"/>
      <c r="D46" s="37"/>
      <c r="E46" s="37"/>
      <c r="F46" s="37"/>
      <c r="G46" s="37"/>
      <c r="H46" s="37"/>
      <c r="I46" s="37"/>
      <c r="J46" s="37"/>
      <c r="K46" s="38"/>
      <c r="L46" s="24"/>
      <c r="M46" s="88"/>
      <c r="N46" s="37"/>
      <c r="O46" s="106"/>
    </row>
    <row r="47" spans="1:15" ht="9.75" customHeight="1" thickBot="1" x14ac:dyDescent="0.3">
      <c r="A47" s="92"/>
      <c r="K47" s="82"/>
      <c r="L47" s="24"/>
      <c r="M47" s="81"/>
      <c r="N47" s="83"/>
      <c r="O47" s="84"/>
    </row>
    <row r="48" spans="1:15" x14ac:dyDescent="0.25">
      <c r="A48" s="92"/>
      <c r="B48" s="100" t="s">
        <v>64</v>
      </c>
      <c r="C48" s="93"/>
      <c r="D48" s="94"/>
      <c r="E48" s="94"/>
      <c r="F48" s="94"/>
      <c r="G48" s="94"/>
      <c r="H48" s="94"/>
      <c r="I48" s="95"/>
      <c r="J48" s="90"/>
      <c r="K48" s="90"/>
      <c r="L48" s="82"/>
      <c r="M48" s="83"/>
    </row>
    <row r="49" spans="1:13" ht="15.75" thickBot="1" x14ac:dyDescent="0.3">
      <c r="A49" s="92"/>
      <c r="B49" s="101" t="s">
        <v>61</v>
      </c>
      <c r="C49" s="103"/>
      <c r="D49" s="102"/>
      <c r="E49" s="102"/>
      <c r="F49" s="102"/>
      <c r="G49" s="102"/>
      <c r="H49" s="102"/>
      <c r="I49" s="104"/>
      <c r="J49" s="82"/>
      <c r="K49" s="82"/>
      <c r="L49" s="82"/>
      <c r="M49" s="83"/>
    </row>
    <row r="50" spans="1:13" ht="15.75" thickBot="1" x14ac:dyDescent="0.3">
      <c r="A50" s="92"/>
      <c r="B50" s="99" t="s">
        <v>65</v>
      </c>
      <c r="C50" s="105"/>
      <c r="D50" s="97"/>
      <c r="E50" s="97"/>
      <c r="F50" s="97"/>
      <c r="G50" s="97"/>
      <c r="H50" s="97"/>
      <c r="I50" s="98"/>
      <c r="J50" s="82"/>
      <c r="K50" s="82"/>
      <c r="L50" s="82"/>
      <c r="M50" s="83"/>
    </row>
    <row r="51" spans="1:13" s="30" customFormat="1" x14ac:dyDescent="0.25">
      <c r="A51" s="92"/>
      <c r="G51" s="85"/>
      <c r="H51" s="86"/>
      <c r="I51" s="86"/>
      <c r="J51" s="86"/>
      <c r="K51" s="86"/>
      <c r="L51" s="85"/>
    </row>
    <row r="52" spans="1:13" ht="21" customHeight="1" thickBot="1" x14ac:dyDescent="0.3">
      <c r="A52" s="92"/>
      <c r="D52" s="34"/>
      <c r="E52" s="34"/>
    </row>
    <row r="53" spans="1:13" ht="21" customHeight="1" x14ac:dyDescent="0.25">
      <c r="A53" s="92"/>
      <c r="B53" s="191" t="s">
        <v>62</v>
      </c>
      <c r="C53" s="192"/>
      <c r="D53" s="192"/>
      <c r="E53" s="192"/>
      <c r="F53" s="193"/>
      <c r="G53" s="34"/>
    </row>
    <row r="54" spans="1:13" ht="15" customHeight="1" x14ac:dyDescent="0.25">
      <c r="A54" s="92"/>
      <c r="B54" s="156"/>
      <c r="C54" s="102"/>
      <c r="D54" s="102"/>
      <c r="E54" s="102"/>
      <c r="F54" s="157"/>
      <c r="G54" s="34"/>
    </row>
    <row r="55" spans="1:13" x14ac:dyDescent="0.25">
      <c r="A55" s="92"/>
      <c r="B55" s="170"/>
      <c r="C55" s="171"/>
      <c r="D55" s="172"/>
      <c r="E55" s="173"/>
      <c r="F55" s="174"/>
      <c r="G55" s="34"/>
    </row>
    <row r="56" spans="1:13" x14ac:dyDescent="0.25">
      <c r="A56" s="92"/>
      <c r="B56" s="156"/>
      <c r="C56" s="102"/>
      <c r="D56" s="128"/>
      <c r="E56" s="129"/>
      <c r="F56" s="165"/>
      <c r="G56" s="34"/>
    </row>
    <row r="57" spans="1:13" x14ac:dyDescent="0.25">
      <c r="A57" s="92"/>
      <c r="B57" s="156"/>
      <c r="C57" s="102"/>
      <c r="D57" s="128"/>
      <c r="E57" s="129"/>
      <c r="F57" s="165"/>
      <c r="G57" s="34"/>
    </row>
    <row r="58" spans="1:13" x14ac:dyDescent="0.25">
      <c r="A58" s="92"/>
      <c r="B58" s="156"/>
      <c r="C58" s="102"/>
      <c r="D58" s="128"/>
      <c r="E58" s="129"/>
      <c r="F58" s="165"/>
      <c r="G58" s="34"/>
    </row>
    <row r="59" spans="1:13" x14ac:dyDescent="0.25">
      <c r="A59" s="92"/>
      <c r="B59" s="156"/>
      <c r="C59" s="102"/>
      <c r="D59" s="128"/>
      <c r="E59" s="129"/>
      <c r="F59" s="165"/>
      <c r="G59" s="34"/>
    </row>
    <row r="60" spans="1:13" x14ac:dyDescent="0.25">
      <c r="A60" s="92"/>
      <c r="B60" s="156"/>
      <c r="C60" s="102"/>
      <c r="D60" s="128"/>
      <c r="E60" s="129"/>
      <c r="F60" s="165"/>
      <c r="G60" s="34"/>
    </row>
    <row r="61" spans="1:13" x14ac:dyDescent="0.25">
      <c r="A61" s="92"/>
      <c r="B61" s="156"/>
      <c r="C61" s="102"/>
      <c r="D61" s="128"/>
      <c r="E61" s="129"/>
      <c r="F61" s="165"/>
      <c r="G61" s="34"/>
    </row>
    <row r="62" spans="1:13" x14ac:dyDescent="0.25">
      <c r="A62" s="92"/>
      <c r="B62" s="156"/>
      <c r="C62" s="102"/>
      <c r="D62" s="128"/>
      <c r="E62" s="129"/>
      <c r="F62" s="165"/>
      <c r="G62" s="34"/>
    </row>
    <row r="63" spans="1:13" x14ac:dyDescent="0.25">
      <c r="A63" s="92"/>
      <c r="B63" s="156"/>
      <c r="C63" s="102"/>
      <c r="D63" s="128"/>
      <c r="E63" s="129"/>
      <c r="F63" s="165"/>
      <c r="G63" s="34"/>
    </row>
    <row r="64" spans="1:13" x14ac:dyDescent="0.25">
      <c r="A64" s="92"/>
      <c r="B64" s="156"/>
      <c r="C64" s="102"/>
      <c r="D64" s="128"/>
      <c r="E64" s="129"/>
      <c r="F64" s="165"/>
      <c r="G64" s="34"/>
    </row>
    <row r="65" spans="1:7" x14ac:dyDescent="0.25">
      <c r="A65" s="92"/>
      <c r="B65" s="156"/>
      <c r="C65" s="102"/>
      <c r="D65" s="128"/>
      <c r="E65" s="129"/>
      <c r="F65" s="165"/>
      <c r="G65" s="34"/>
    </row>
    <row r="66" spans="1:7" x14ac:dyDescent="0.25">
      <c r="A66" s="92"/>
      <c r="B66" s="156"/>
      <c r="C66" s="102"/>
      <c r="D66" s="128"/>
      <c r="E66" s="129"/>
      <c r="F66" s="165"/>
      <c r="G66" s="34"/>
    </row>
    <row r="67" spans="1:7" x14ac:dyDescent="0.25">
      <c r="A67" s="92"/>
      <c r="B67" s="156"/>
      <c r="C67" s="102"/>
      <c r="D67" s="128"/>
      <c r="E67" s="129"/>
      <c r="F67" s="165"/>
      <c r="G67" s="34"/>
    </row>
    <row r="68" spans="1:7" x14ac:dyDescent="0.25">
      <c r="A68" s="92"/>
      <c r="B68" s="156"/>
      <c r="C68" s="102"/>
      <c r="D68" s="128"/>
      <c r="E68" s="129"/>
      <c r="F68" s="165"/>
      <c r="G68" s="34"/>
    </row>
    <row r="69" spans="1:7" x14ac:dyDescent="0.25">
      <c r="A69" s="92"/>
      <c r="B69" s="156"/>
      <c r="C69" s="102"/>
      <c r="D69" s="128"/>
      <c r="E69" s="129"/>
      <c r="F69" s="165"/>
      <c r="G69" s="34"/>
    </row>
    <row r="70" spans="1:7" ht="15.75" thickBot="1" x14ac:dyDescent="0.3">
      <c r="A70" s="92"/>
      <c r="B70" s="166"/>
      <c r="C70" s="96"/>
      <c r="D70" s="167"/>
      <c r="E70" s="168"/>
      <c r="F70" s="169"/>
      <c r="G70" s="34"/>
    </row>
    <row r="71" spans="1:7" ht="15.75" thickBot="1" x14ac:dyDescent="0.3">
      <c r="A71" s="92"/>
      <c r="B71" s="92"/>
      <c r="C71" s="92"/>
      <c r="D71" s="92"/>
      <c r="E71" s="92"/>
      <c r="F71" s="92"/>
      <c r="G71" s="92"/>
    </row>
    <row r="72" spans="1:7" hidden="1" x14ac:dyDescent="0.25">
      <c r="A72" s="92"/>
      <c r="B72" s="92"/>
      <c r="C72" s="92"/>
      <c r="D72" s="92"/>
      <c r="E72" s="92"/>
      <c r="F72" s="92"/>
      <c r="G72" s="92"/>
    </row>
    <row r="73" spans="1:7" ht="15.75" hidden="1" thickBot="1" x14ac:dyDescent="0.3">
      <c r="A73" s="92"/>
      <c r="B73" s="92"/>
      <c r="C73" s="92"/>
      <c r="D73" s="92"/>
      <c r="E73" s="92"/>
      <c r="F73" s="92"/>
      <c r="G73" s="92"/>
    </row>
    <row r="74" spans="1:7" ht="21" customHeight="1" thickBot="1" x14ac:dyDescent="0.3">
      <c r="A74" s="92"/>
      <c r="B74" s="194" t="s">
        <v>66</v>
      </c>
      <c r="C74" s="192"/>
      <c r="D74" s="192"/>
      <c r="E74" s="192"/>
      <c r="F74" s="192"/>
      <c r="G74" s="195"/>
    </row>
    <row r="75" spans="1:7" x14ac:dyDescent="0.25">
      <c r="A75" s="92"/>
      <c r="B75" s="162"/>
      <c r="C75" s="94"/>
      <c r="D75" s="94"/>
      <c r="E75" s="94"/>
      <c r="F75" s="94"/>
      <c r="G75" s="163"/>
    </row>
    <row r="76" spans="1:7" x14ac:dyDescent="0.25">
      <c r="A76" s="92"/>
      <c r="B76" s="158"/>
      <c r="C76" s="102"/>
      <c r="D76" s="102"/>
      <c r="E76" s="102"/>
      <c r="F76" s="102"/>
      <c r="G76" s="160"/>
    </row>
    <row r="77" spans="1:7" x14ac:dyDescent="0.25">
      <c r="A77" s="92"/>
      <c r="B77" s="158"/>
      <c r="C77" s="102"/>
      <c r="D77" s="102"/>
      <c r="E77" s="102"/>
      <c r="F77" s="102"/>
      <c r="G77" s="160"/>
    </row>
    <row r="78" spans="1:7" x14ac:dyDescent="0.25">
      <c r="A78" s="92"/>
      <c r="B78" s="158"/>
      <c r="C78" s="102"/>
      <c r="D78" s="102"/>
      <c r="E78" s="102"/>
      <c r="F78" s="102"/>
      <c r="G78" s="160"/>
    </row>
    <row r="79" spans="1:7" x14ac:dyDescent="0.25">
      <c r="A79" s="92"/>
      <c r="B79" s="158"/>
      <c r="C79" s="102"/>
      <c r="D79" s="102"/>
      <c r="E79" s="102"/>
      <c r="F79" s="102"/>
      <c r="G79" s="160"/>
    </row>
    <row r="80" spans="1:7" x14ac:dyDescent="0.25">
      <c r="A80" s="92"/>
      <c r="B80" s="158"/>
      <c r="C80" s="102"/>
      <c r="D80" s="102"/>
      <c r="E80" s="102"/>
      <c r="F80" s="102"/>
      <c r="G80" s="160"/>
    </row>
    <row r="81" spans="1:8" x14ac:dyDescent="0.25">
      <c r="A81" s="92"/>
      <c r="B81" s="158"/>
      <c r="C81" s="102"/>
      <c r="D81" s="102"/>
      <c r="E81" s="102"/>
      <c r="F81" s="102"/>
      <c r="G81" s="160"/>
    </row>
    <row r="82" spans="1:8" x14ac:dyDescent="0.25">
      <c r="A82" s="92"/>
      <c r="B82" s="158"/>
      <c r="C82" s="102"/>
      <c r="D82" s="102"/>
      <c r="E82" s="102"/>
      <c r="F82" s="102"/>
      <c r="G82" s="160"/>
    </row>
    <row r="83" spans="1:8" x14ac:dyDescent="0.25">
      <c r="A83" s="92"/>
      <c r="B83" s="158"/>
      <c r="C83" s="102"/>
      <c r="D83" s="102"/>
      <c r="E83" s="102"/>
      <c r="F83" s="102"/>
      <c r="G83" s="160"/>
    </row>
    <row r="84" spans="1:8" x14ac:dyDescent="0.25">
      <c r="A84" s="92"/>
      <c r="B84" s="158"/>
      <c r="C84" s="102"/>
      <c r="D84" s="102"/>
      <c r="E84" s="102"/>
      <c r="F84" s="102"/>
      <c r="G84" s="160"/>
    </row>
    <row r="85" spans="1:8" x14ac:dyDescent="0.25">
      <c r="A85" s="92"/>
      <c r="B85" s="158"/>
      <c r="C85" s="102"/>
      <c r="D85" s="102"/>
      <c r="E85" s="102"/>
      <c r="F85" s="102"/>
      <c r="G85" s="160"/>
    </row>
    <row r="86" spans="1:8" x14ac:dyDescent="0.25">
      <c r="A86" s="92"/>
      <c r="B86" s="158"/>
      <c r="C86" s="102"/>
      <c r="D86" s="102"/>
      <c r="E86" s="102"/>
      <c r="F86" s="102"/>
      <c r="G86" s="160"/>
    </row>
    <row r="87" spans="1:8" x14ac:dyDescent="0.25">
      <c r="A87" s="92"/>
      <c r="B87" s="158"/>
      <c r="C87" s="102"/>
      <c r="D87" s="102"/>
      <c r="E87" s="102"/>
      <c r="F87" s="102"/>
      <c r="G87" s="160"/>
    </row>
    <row r="88" spans="1:8" x14ac:dyDescent="0.25">
      <c r="A88" s="92"/>
      <c r="B88" s="158"/>
      <c r="C88" s="102"/>
      <c r="D88" s="102"/>
      <c r="E88" s="102"/>
      <c r="F88" s="102"/>
      <c r="G88" s="160"/>
    </row>
    <row r="89" spans="1:8" x14ac:dyDescent="0.25">
      <c r="A89" s="92"/>
      <c r="B89" s="158"/>
      <c r="C89" s="102"/>
      <c r="D89" s="102"/>
      <c r="E89" s="102"/>
      <c r="F89" s="102"/>
      <c r="G89" s="160"/>
    </row>
    <row r="90" spans="1:8" x14ac:dyDescent="0.25">
      <c r="A90" s="92"/>
      <c r="B90" s="158"/>
      <c r="C90" s="102"/>
      <c r="D90" s="102"/>
      <c r="E90" s="102"/>
      <c r="F90" s="102"/>
      <c r="G90" s="160"/>
    </row>
    <row r="91" spans="1:8" x14ac:dyDescent="0.25">
      <c r="A91" s="92"/>
      <c r="B91" s="158"/>
      <c r="C91" s="102"/>
      <c r="D91" s="102"/>
      <c r="E91" s="102"/>
      <c r="F91" s="102"/>
      <c r="G91" s="160"/>
    </row>
    <row r="92" spans="1:8" ht="15.75" thickBot="1" x14ac:dyDescent="0.3">
      <c r="A92" s="92"/>
      <c r="B92" s="159"/>
      <c r="C92" s="96"/>
      <c r="D92" s="96"/>
      <c r="E92" s="96"/>
      <c r="F92" s="96"/>
      <c r="G92" s="161"/>
    </row>
    <row r="93" spans="1:8" ht="15.75" thickBot="1" x14ac:dyDescent="0.3">
      <c r="A93" s="92"/>
      <c r="B93" s="92"/>
      <c r="C93" s="92"/>
      <c r="D93" s="92"/>
      <c r="E93" s="92"/>
      <c r="F93" s="92"/>
      <c r="G93" s="92"/>
      <c r="H93" s="92"/>
    </row>
    <row r="94" spans="1:8" ht="21" customHeight="1" thickBot="1" x14ac:dyDescent="0.3">
      <c r="A94" s="92"/>
      <c r="B94" s="191" t="s">
        <v>63</v>
      </c>
      <c r="C94" s="192"/>
      <c r="D94" s="192"/>
      <c r="E94" s="192"/>
      <c r="F94" s="192"/>
      <c r="G94" s="193"/>
    </row>
    <row r="95" spans="1:8" x14ac:dyDescent="0.25">
      <c r="A95" s="92"/>
      <c r="B95" s="162"/>
      <c r="C95" s="94"/>
      <c r="D95" s="94"/>
      <c r="E95" s="94"/>
      <c r="F95" s="94"/>
      <c r="G95" s="163"/>
    </row>
    <row r="96" spans="1:8" x14ac:dyDescent="0.25">
      <c r="A96" s="92"/>
      <c r="B96" s="158"/>
      <c r="C96" s="102"/>
      <c r="D96" s="102"/>
      <c r="E96" s="102"/>
      <c r="F96" s="102"/>
      <c r="G96" s="160"/>
    </row>
    <row r="97" spans="1:8" x14ac:dyDescent="0.25">
      <c r="A97" s="92"/>
      <c r="B97" s="158"/>
      <c r="C97" s="102"/>
      <c r="D97" s="102"/>
      <c r="E97" s="102"/>
      <c r="F97" s="102"/>
      <c r="G97" s="160"/>
    </row>
    <row r="98" spans="1:8" x14ac:dyDescent="0.25">
      <c r="A98" s="92"/>
      <c r="B98" s="158"/>
      <c r="C98" s="102"/>
      <c r="D98" s="102"/>
      <c r="E98" s="102"/>
      <c r="F98" s="102"/>
      <c r="G98" s="160"/>
    </row>
    <row r="99" spans="1:8" x14ac:dyDescent="0.25">
      <c r="A99" s="92"/>
      <c r="B99" s="158"/>
      <c r="C99" s="102"/>
      <c r="D99" s="102"/>
      <c r="E99" s="102"/>
      <c r="F99" s="102"/>
      <c r="G99" s="160"/>
    </row>
    <row r="100" spans="1:8" x14ac:dyDescent="0.25">
      <c r="A100" s="92"/>
      <c r="B100" s="158"/>
      <c r="C100" s="102"/>
      <c r="D100" s="102"/>
      <c r="E100" s="102"/>
      <c r="F100" s="102"/>
      <c r="G100" s="160"/>
    </row>
    <row r="101" spans="1:8" x14ac:dyDescent="0.25">
      <c r="A101" s="92"/>
      <c r="B101" s="158"/>
      <c r="C101" s="102"/>
      <c r="D101" s="102"/>
      <c r="E101" s="102"/>
      <c r="F101" s="102"/>
      <c r="G101" s="160"/>
    </row>
    <row r="102" spans="1:8" x14ac:dyDescent="0.25">
      <c r="A102" s="92"/>
      <c r="B102" s="158"/>
      <c r="C102" s="102"/>
      <c r="D102" s="102"/>
      <c r="E102" s="102"/>
      <c r="F102" s="102"/>
      <c r="G102" s="160"/>
    </row>
    <row r="103" spans="1:8" x14ac:dyDescent="0.25">
      <c r="A103" s="92"/>
      <c r="B103" s="158"/>
      <c r="C103" s="102"/>
      <c r="D103" s="102"/>
      <c r="E103" s="102"/>
      <c r="F103" s="102"/>
      <c r="G103" s="160"/>
    </row>
    <row r="104" spans="1:8" x14ac:dyDescent="0.25">
      <c r="A104" s="92"/>
      <c r="B104" s="158"/>
      <c r="C104" s="102"/>
      <c r="D104" s="102"/>
      <c r="E104" s="102"/>
      <c r="F104" s="102"/>
      <c r="G104" s="160"/>
    </row>
    <row r="105" spans="1:8" x14ac:dyDescent="0.25">
      <c r="A105" s="92"/>
      <c r="B105" s="158"/>
      <c r="C105" s="102"/>
      <c r="D105" s="102"/>
      <c r="E105" s="102"/>
      <c r="F105" s="102"/>
      <c r="G105" s="160"/>
    </row>
    <row r="106" spans="1:8" x14ac:dyDescent="0.25">
      <c r="A106" s="92"/>
      <c r="B106" s="158"/>
      <c r="C106" s="102"/>
      <c r="D106" s="102"/>
      <c r="E106" s="102"/>
      <c r="F106" s="102"/>
      <c r="G106" s="160"/>
    </row>
    <row r="107" spans="1:8" x14ac:dyDescent="0.25">
      <c r="A107" s="92"/>
      <c r="B107" s="158"/>
      <c r="C107" s="102"/>
      <c r="D107" s="102"/>
      <c r="E107" s="102"/>
      <c r="F107" s="102"/>
      <c r="G107" s="160"/>
    </row>
    <row r="108" spans="1:8" x14ac:dyDescent="0.25">
      <c r="A108" s="92"/>
      <c r="B108" s="158"/>
      <c r="C108" s="102"/>
      <c r="D108" s="102"/>
      <c r="E108" s="102"/>
      <c r="F108" s="102"/>
      <c r="G108" s="160"/>
    </row>
    <row r="109" spans="1:8" x14ac:dyDescent="0.25">
      <c r="A109" s="92"/>
      <c r="B109" s="158"/>
      <c r="C109" s="102"/>
      <c r="D109" s="102"/>
      <c r="E109" s="102"/>
      <c r="F109" s="102"/>
      <c r="G109" s="160"/>
    </row>
    <row r="110" spans="1:8" x14ac:dyDescent="0.25">
      <c r="A110" s="92"/>
      <c r="B110" s="158"/>
      <c r="C110" s="102"/>
      <c r="D110" s="102"/>
      <c r="E110" s="102"/>
      <c r="F110" s="102"/>
      <c r="G110" s="160"/>
    </row>
    <row r="111" spans="1:8" ht="15.75" thickBot="1" x14ac:dyDescent="0.3">
      <c r="A111" s="92"/>
      <c r="B111" s="164"/>
      <c r="C111" s="96"/>
      <c r="D111" s="96"/>
      <c r="E111" s="96"/>
      <c r="F111" s="96"/>
      <c r="G111" s="161"/>
    </row>
    <row r="112" spans="1:8" x14ac:dyDescent="0.25">
      <c r="A112" s="92"/>
      <c r="B112" s="92"/>
      <c r="C112" s="92"/>
      <c r="D112" s="92"/>
      <c r="E112" s="92"/>
      <c r="F112" s="92"/>
      <c r="G112" s="92"/>
      <c r="H112" s="92"/>
    </row>
    <row r="113" spans="1:8" x14ac:dyDescent="0.25">
      <c r="A113" s="92"/>
      <c r="B113" s="92"/>
      <c r="C113" s="92"/>
      <c r="D113" s="92"/>
      <c r="E113" s="92"/>
      <c r="F113" s="92"/>
      <c r="G113" s="92"/>
      <c r="H113" s="92"/>
    </row>
    <row r="114" spans="1:8" x14ac:dyDescent="0.25">
      <c r="A114" s="92"/>
      <c r="B114" s="92"/>
      <c r="C114" s="92"/>
      <c r="D114" s="92"/>
      <c r="E114" s="92"/>
      <c r="F114" s="92"/>
      <c r="G114" s="92"/>
      <c r="H114" s="92"/>
    </row>
    <row r="115" spans="1:8" x14ac:dyDescent="0.25">
      <c r="A115" s="92"/>
      <c r="B115" s="92"/>
      <c r="C115" s="92"/>
      <c r="D115" s="92"/>
      <c r="E115" s="92"/>
      <c r="F115" s="92"/>
      <c r="G115" s="92"/>
      <c r="H115" s="92"/>
    </row>
    <row r="116" spans="1:8" x14ac:dyDescent="0.25">
      <c r="A116" s="92"/>
    </row>
    <row r="117" spans="1:8" x14ac:dyDescent="0.25">
      <c r="A117" s="92"/>
    </row>
    <row r="118" spans="1:8" x14ac:dyDescent="0.25">
      <c r="A118" s="92"/>
    </row>
    <row r="119" spans="1:8" x14ac:dyDescent="0.25">
      <c r="A119" s="92"/>
    </row>
    <row r="120" spans="1:8" x14ac:dyDescent="0.25">
      <c r="A120" s="92"/>
    </row>
    <row r="121" spans="1:8" x14ac:dyDescent="0.25">
      <c r="A121" s="92"/>
    </row>
    <row r="122" spans="1:8" x14ac:dyDescent="0.25">
      <c r="A122" s="92"/>
    </row>
    <row r="123" spans="1:8" x14ac:dyDescent="0.25">
      <c r="A123" s="92"/>
    </row>
    <row r="124" spans="1:8" x14ac:dyDescent="0.25">
      <c r="A124" s="92"/>
    </row>
    <row r="125" spans="1:8" x14ac:dyDescent="0.25">
      <c r="A125" s="92"/>
    </row>
    <row r="126" spans="1:8" x14ac:dyDescent="0.25">
      <c r="A126" s="92"/>
    </row>
    <row r="127" spans="1:8" x14ac:dyDescent="0.25">
      <c r="A127" s="92"/>
    </row>
    <row r="128" spans="1:8" x14ac:dyDescent="0.25">
      <c r="A128" s="92"/>
    </row>
    <row r="129" spans="1:1" x14ac:dyDescent="0.25">
      <c r="A129" s="92"/>
    </row>
    <row r="130" spans="1:1" x14ac:dyDescent="0.25">
      <c r="A130" s="92"/>
    </row>
    <row r="131" spans="1:1" x14ac:dyDescent="0.25">
      <c r="A131" s="92"/>
    </row>
    <row r="132" spans="1:1" x14ac:dyDescent="0.25">
      <c r="A132" s="92"/>
    </row>
    <row r="133" spans="1:1" x14ac:dyDescent="0.25">
      <c r="A133" s="92"/>
    </row>
    <row r="134" spans="1:1" x14ac:dyDescent="0.25">
      <c r="A134" s="92"/>
    </row>
    <row r="135" spans="1:1" x14ac:dyDescent="0.25">
      <c r="A135" s="92"/>
    </row>
    <row r="136" spans="1:1" x14ac:dyDescent="0.25">
      <c r="A136" s="92"/>
    </row>
    <row r="137" spans="1:1" x14ac:dyDescent="0.25">
      <c r="A137" s="92"/>
    </row>
    <row r="138" spans="1:1" x14ac:dyDescent="0.25">
      <c r="A138" s="92"/>
    </row>
    <row r="139" spans="1:1" x14ac:dyDescent="0.25">
      <c r="A139" s="92"/>
    </row>
    <row r="140" spans="1:1" x14ac:dyDescent="0.25">
      <c r="A140" s="92"/>
    </row>
    <row r="141" spans="1:1" x14ac:dyDescent="0.25">
      <c r="A141" s="92"/>
    </row>
    <row r="142" spans="1:1" x14ac:dyDescent="0.25">
      <c r="A142" s="92"/>
    </row>
    <row r="143" spans="1:1" x14ac:dyDescent="0.25">
      <c r="A143" s="92"/>
    </row>
    <row r="144" spans="1:1" x14ac:dyDescent="0.25">
      <c r="A144" s="92"/>
    </row>
    <row r="145" spans="1:1" x14ac:dyDescent="0.25">
      <c r="A145" s="92"/>
    </row>
    <row r="146" spans="1:1" x14ac:dyDescent="0.25">
      <c r="A146" s="92"/>
    </row>
    <row r="147" spans="1:1" x14ac:dyDescent="0.25">
      <c r="A147" s="92"/>
    </row>
    <row r="148" spans="1:1" x14ac:dyDescent="0.25">
      <c r="A148" s="92"/>
    </row>
    <row r="149" spans="1:1" x14ac:dyDescent="0.25">
      <c r="A149" s="92"/>
    </row>
    <row r="150" spans="1:1" x14ac:dyDescent="0.25">
      <c r="A150" s="92"/>
    </row>
    <row r="151" spans="1:1" x14ac:dyDescent="0.25">
      <c r="A151" s="92"/>
    </row>
    <row r="152" spans="1:1" x14ac:dyDescent="0.25">
      <c r="A152" s="92"/>
    </row>
    <row r="153" spans="1:1" x14ac:dyDescent="0.25">
      <c r="A153" s="92"/>
    </row>
    <row r="154" spans="1:1" x14ac:dyDescent="0.25">
      <c r="A154" s="92"/>
    </row>
    <row r="155" spans="1:1" x14ac:dyDescent="0.25">
      <c r="A155" s="92"/>
    </row>
    <row r="156" spans="1:1" x14ac:dyDescent="0.25">
      <c r="A156" s="92"/>
    </row>
    <row r="157" spans="1:1" x14ac:dyDescent="0.25">
      <c r="A157" s="92"/>
    </row>
    <row r="158" spans="1:1" x14ac:dyDescent="0.25">
      <c r="A158" s="92"/>
    </row>
    <row r="159" spans="1:1" x14ac:dyDescent="0.25">
      <c r="A159" s="92"/>
    </row>
    <row r="160" spans="1:1" x14ac:dyDescent="0.25">
      <c r="A160" s="92"/>
    </row>
    <row r="161" spans="1:1" x14ac:dyDescent="0.25">
      <c r="A161" s="92"/>
    </row>
    <row r="162" spans="1:1" x14ac:dyDescent="0.25">
      <c r="A162" s="92"/>
    </row>
    <row r="163" spans="1:1" x14ac:dyDescent="0.25">
      <c r="A163" s="92"/>
    </row>
    <row r="164" spans="1:1" x14ac:dyDescent="0.25">
      <c r="A164" s="92"/>
    </row>
    <row r="165" spans="1:1" x14ac:dyDescent="0.25">
      <c r="A165" s="92"/>
    </row>
    <row r="166" spans="1:1" x14ac:dyDescent="0.25">
      <c r="A166" s="92"/>
    </row>
    <row r="167" spans="1:1" x14ac:dyDescent="0.25">
      <c r="A167" s="92"/>
    </row>
    <row r="168" spans="1:1" x14ac:dyDescent="0.25">
      <c r="A168" s="92"/>
    </row>
    <row r="169" spans="1:1" x14ac:dyDescent="0.25">
      <c r="A169" s="92"/>
    </row>
    <row r="170" spans="1:1" x14ac:dyDescent="0.25">
      <c r="A170" s="92"/>
    </row>
    <row r="171" spans="1:1" x14ac:dyDescent="0.25">
      <c r="A171" s="92"/>
    </row>
    <row r="172" spans="1:1" x14ac:dyDescent="0.25">
      <c r="A172" s="92"/>
    </row>
    <row r="173" spans="1:1" x14ac:dyDescent="0.25">
      <c r="A173" s="92"/>
    </row>
    <row r="174" spans="1:1" x14ac:dyDescent="0.25">
      <c r="A174" s="92"/>
    </row>
    <row r="175" spans="1:1" x14ac:dyDescent="0.25">
      <c r="A175" s="92"/>
    </row>
    <row r="176" spans="1:1" x14ac:dyDescent="0.25">
      <c r="A176" s="92"/>
    </row>
    <row r="177" spans="1:1" x14ac:dyDescent="0.25">
      <c r="A177" s="92"/>
    </row>
    <row r="178" spans="1:1" x14ac:dyDescent="0.25">
      <c r="A178" s="92"/>
    </row>
    <row r="179" spans="1:1" x14ac:dyDescent="0.25">
      <c r="A179" s="92"/>
    </row>
    <row r="180" spans="1:1" x14ac:dyDescent="0.25">
      <c r="A180" s="92"/>
    </row>
    <row r="181" spans="1:1" x14ac:dyDescent="0.25">
      <c r="A181" s="92"/>
    </row>
    <row r="182" spans="1:1" x14ac:dyDescent="0.25">
      <c r="A182" s="92"/>
    </row>
    <row r="183" spans="1:1" x14ac:dyDescent="0.25">
      <c r="A183" s="92"/>
    </row>
    <row r="184" spans="1:1" x14ac:dyDescent="0.25">
      <c r="A184" s="92"/>
    </row>
    <row r="185" spans="1:1" x14ac:dyDescent="0.25">
      <c r="A185" s="92"/>
    </row>
    <row r="186" spans="1:1" x14ac:dyDescent="0.25">
      <c r="A186" s="92"/>
    </row>
    <row r="187" spans="1:1" x14ac:dyDescent="0.25">
      <c r="A187" s="92"/>
    </row>
    <row r="188" spans="1:1" x14ac:dyDescent="0.25">
      <c r="A188" s="92"/>
    </row>
    <row r="189" spans="1:1" x14ac:dyDescent="0.25">
      <c r="A189" s="92"/>
    </row>
    <row r="190" spans="1:1" x14ac:dyDescent="0.25">
      <c r="A190" s="92"/>
    </row>
    <row r="191" spans="1:1" x14ac:dyDescent="0.25">
      <c r="A191" s="92"/>
    </row>
    <row r="192" spans="1:1" x14ac:dyDescent="0.25">
      <c r="A192" s="92"/>
    </row>
    <row r="193" spans="1:1" x14ac:dyDescent="0.25">
      <c r="A193" s="92"/>
    </row>
    <row r="194" spans="1:1" x14ac:dyDescent="0.25">
      <c r="A194" s="92"/>
    </row>
    <row r="195" spans="1:1" x14ac:dyDescent="0.25">
      <c r="A195" s="92"/>
    </row>
    <row r="196" spans="1:1" x14ac:dyDescent="0.25">
      <c r="A196" s="92"/>
    </row>
    <row r="197" spans="1:1" x14ac:dyDescent="0.25">
      <c r="A197" s="92"/>
    </row>
    <row r="198" spans="1:1" x14ac:dyDescent="0.25">
      <c r="A198" s="92"/>
    </row>
    <row r="199" spans="1:1" x14ac:dyDescent="0.25">
      <c r="A199" s="92"/>
    </row>
    <row r="200" spans="1:1" x14ac:dyDescent="0.25">
      <c r="A200" s="92"/>
    </row>
    <row r="201" spans="1:1" x14ac:dyDescent="0.25">
      <c r="A201" s="92"/>
    </row>
    <row r="202" spans="1:1" x14ac:dyDescent="0.25">
      <c r="A202" s="92"/>
    </row>
    <row r="203" spans="1:1" x14ac:dyDescent="0.25">
      <c r="A203" s="92"/>
    </row>
    <row r="204" spans="1:1" x14ac:dyDescent="0.25">
      <c r="A204" s="92"/>
    </row>
    <row r="205" spans="1:1" x14ac:dyDescent="0.25">
      <c r="A205" s="92"/>
    </row>
    <row r="206" spans="1:1" x14ac:dyDescent="0.25">
      <c r="A206" s="92"/>
    </row>
    <row r="207" spans="1:1" x14ac:dyDescent="0.25">
      <c r="A207" s="92"/>
    </row>
    <row r="208" spans="1:1" x14ac:dyDescent="0.25">
      <c r="A208" s="92"/>
    </row>
    <row r="209" spans="1:1" x14ac:dyDescent="0.25">
      <c r="A209" s="92"/>
    </row>
    <row r="210" spans="1:1" x14ac:dyDescent="0.25">
      <c r="A210" s="92"/>
    </row>
    <row r="211" spans="1:1" x14ac:dyDescent="0.25">
      <c r="A211" s="92"/>
    </row>
    <row r="212" spans="1:1" x14ac:dyDescent="0.25">
      <c r="A212" s="92"/>
    </row>
    <row r="213" spans="1:1" x14ac:dyDescent="0.25">
      <c r="A213" s="92"/>
    </row>
    <row r="214" spans="1:1" x14ac:dyDescent="0.25">
      <c r="A214" s="92"/>
    </row>
    <row r="215" spans="1:1" x14ac:dyDescent="0.25">
      <c r="A215" s="92"/>
    </row>
    <row r="216" spans="1:1" x14ac:dyDescent="0.25">
      <c r="A216" s="92"/>
    </row>
    <row r="217" spans="1:1" x14ac:dyDescent="0.25">
      <c r="A217" s="92"/>
    </row>
    <row r="218" spans="1:1" x14ac:dyDescent="0.25">
      <c r="A218" s="92"/>
    </row>
    <row r="219" spans="1:1" x14ac:dyDescent="0.25">
      <c r="A219" s="92"/>
    </row>
    <row r="220" spans="1:1" x14ac:dyDescent="0.25">
      <c r="A220" s="92"/>
    </row>
    <row r="221" spans="1:1" x14ac:dyDescent="0.25">
      <c r="A221" s="92"/>
    </row>
    <row r="222" spans="1:1" x14ac:dyDescent="0.25">
      <c r="A222" s="92"/>
    </row>
    <row r="223" spans="1:1" x14ac:dyDescent="0.25">
      <c r="A223" s="92"/>
    </row>
    <row r="224" spans="1:1" x14ac:dyDescent="0.25">
      <c r="A224" s="92"/>
    </row>
    <row r="225" spans="1:1" x14ac:dyDescent="0.25">
      <c r="A225" s="92"/>
    </row>
    <row r="226" spans="1:1" x14ac:dyDescent="0.25">
      <c r="A226" s="92"/>
    </row>
    <row r="227" spans="1:1" x14ac:dyDescent="0.25">
      <c r="A227" s="92"/>
    </row>
    <row r="228" spans="1:1" x14ac:dyDescent="0.25">
      <c r="A228" s="92"/>
    </row>
    <row r="229" spans="1:1" x14ac:dyDescent="0.25">
      <c r="A229" s="92"/>
    </row>
    <row r="230" spans="1:1" x14ac:dyDescent="0.25">
      <c r="A230" s="92"/>
    </row>
    <row r="231" spans="1:1" x14ac:dyDescent="0.25">
      <c r="A231" s="92"/>
    </row>
    <row r="232" spans="1:1" x14ac:dyDescent="0.25">
      <c r="A232" s="92"/>
    </row>
    <row r="233" spans="1:1" x14ac:dyDescent="0.25">
      <c r="A233" s="92"/>
    </row>
    <row r="234" spans="1:1" x14ac:dyDescent="0.25">
      <c r="A234" s="92"/>
    </row>
    <row r="235" spans="1:1" x14ac:dyDescent="0.25">
      <c r="A235" s="92"/>
    </row>
    <row r="236" spans="1:1" x14ac:dyDescent="0.25">
      <c r="A236" s="92"/>
    </row>
    <row r="237" spans="1:1" x14ac:dyDescent="0.25">
      <c r="A237" s="92"/>
    </row>
    <row r="238" spans="1:1" x14ac:dyDescent="0.25">
      <c r="A238" s="92"/>
    </row>
    <row r="239" spans="1:1" x14ac:dyDescent="0.25">
      <c r="A239" s="92"/>
    </row>
    <row r="240" spans="1:1" x14ac:dyDescent="0.25">
      <c r="A240" s="92"/>
    </row>
    <row r="241" spans="1:1" x14ac:dyDescent="0.25">
      <c r="A241" s="92"/>
    </row>
    <row r="242" spans="1:1" x14ac:dyDescent="0.25">
      <c r="A242" s="92"/>
    </row>
    <row r="243" spans="1:1" x14ac:dyDescent="0.25">
      <c r="A243" s="92"/>
    </row>
    <row r="244" spans="1:1" x14ac:dyDescent="0.25">
      <c r="A244" s="92"/>
    </row>
    <row r="245" spans="1:1" x14ac:dyDescent="0.25">
      <c r="A245" s="92"/>
    </row>
    <row r="246" spans="1:1" x14ac:dyDescent="0.25">
      <c r="A246" s="92"/>
    </row>
    <row r="247" spans="1:1" x14ac:dyDescent="0.25">
      <c r="A247" s="92"/>
    </row>
    <row r="248" spans="1:1" x14ac:dyDescent="0.25">
      <c r="A248" s="92"/>
    </row>
    <row r="249" spans="1:1" x14ac:dyDescent="0.25">
      <c r="A249" s="92"/>
    </row>
    <row r="250" spans="1:1" x14ac:dyDescent="0.25">
      <c r="A250" s="92"/>
    </row>
    <row r="251" spans="1:1" x14ac:dyDescent="0.25">
      <c r="A251" s="92"/>
    </row>
    <row r="252" spans="1:1" x14ac:dyDescent="0.25">
      <c r="A252" s="92"/>
    </row>
    <row r="253" spans="1:1" x14ac:dyDescent="0.25">
      <c r="A253" s="92"/>
    </row>
    <row r="254" spans="1:1" x14ac:dyDescent="0.25">
      <c r="A254" s="92"/>
    </row>
    <row r="255" spans="1:1" x14ac:dyDescent="0.25">
      <c r="A255" s="92"/>
    </row>
    <row r="256" spans="1:1" x14ac:dyDescent="0.25">
      <c r="A256" s="92"/>
    </row>
    <row r="257" spans="1:1" x14ac:dyDescent="0.25">
      <c r="A257" s="92"/>
    </row>
    <row r="258" spans="1:1" x14ac:dyDescent="0.25">
      <c r="A258" s="92"/>
    </row>
    <row r="259" spans="1:1" x14ac:dyDescent="0.25">
      <c r="A259" s="92"/>
    </row>
    <row r="260" spans="1:1" x14ac:dyDescent="0.25">
      <c r="A260" s="92"/>
    </row>
    <row r="261" spans="1:1" x14ac:dyDescent="0.25">
      <c r="A261" s="92"/>
    </row>
    <row r="262" spans="1:1" x14ac:dyDescent="0.25">
      <c r="A262" s="92"/>
    </row>
    <row r="263" spans="1:1" x14ac:dyDescent="0.25">
      <c r="A263" s="92"/>
    </row>
    <row r="264" spans="1:1" x14ac:dyDescent="0.25">
      <c r="A264" s="92"/>
    </row>
    <row r="265" spans="1:1" x14ac:dyDescent="0.25">
      <c r="A265" s="92"/>
    </row>
    <row r="266" spans="1:1" x14ac:dyDescent="0.25">
      <c r="A266" s="92"/>
    </row>
    <row r="267" spans="1:1" x14ac:dyDescent="0.25">
      <c r="A267" s="92"/>
    </row>
    <row r="268" spans="1:1" x14ac:dyDescent="0.25">
      <c r="A268" s="92"/>
    </row>
    <row r="269" spans="1:1" x14ac:dyDescent="0.25">
      <c r="A269" s="92"/>
    </row>
    <row r="270" spans="1:1" x14ac:dyDescent="0.25">
      <c r="A270" s="92"/>
    </row>
    <row r="271" spans="1:1" x14ac:dyDescent="0.25">
      <c r="A271" s="92"/>
    </row>
    <row r="272" spans="1:1" x14ac:dyDescent="0.25">
      <c r="A272" s="92"/>
    </row>
    <row r="273" spans="1:1" x14ac:dyDescent="0.25">
      <c r="A273" s="92"/>
    </row>
    <row r="274" spans="1:1" x14ac:dyDescent="0.25">
      <c r="A274" s="92"/>
    </row>
    <row r="275" spans="1:1" x14ac:dyDescent="0.25">
      <c r="A275" s="92"/>
    </row>
    <row r="276" spans="1:1" x14ac:dyDescent="0.25">
      <c r="A276" s="92"/>
    </row>
    <row r="277" spans="1:1" x14ac:dyDescent="0.25">
      <c r="A277" s="92"/>
    </row>
    <row r="278" spans="1:1" x14ac:dyDescent="0.25">
      <c r="A278" s="92"/>
    </row>
    <row r="279" spans="1:1" x14ac:dyDescent="0.25">
      <c r="A279" s="92"/>
    </row>
    <row r="280" spans="1:1" x14ac:dyDescent="0.25">
      <c r="A280" s="92"/>
    </row>
    <row r="281" spans="1:1" x14ac:dyDescent="0.25">
      <c r="A281" s="92"/>
    </row>
    <row r="282" spans="1:1" x14ac:dyDescent="0.25">
      <c r="A282" s="92"/>
    </row>
    <row r="283" spans="1:1" x14ac:dyDescent="0.25">
      <c r="A283" s="92"/>
    </row>
    <row r="284" spans="1:1" x14ac:dyDescent="0.25">
      <c r="A284" s="92"/>
    </row>
    <row r="285" spans="1:1" x14ac:dyDescent="0.25">
      <c r="A285" s="92"/>
    </row>
    <row r="286" spans="1:1" x14ac:dyDescent="0.25">
      <c r="A286" s="92"/>
    </row>
    <row r="287" spans="1:1" x14ac:dyDescent="0.25">
      <c r="A287" s="92"/>
    </row>
    <row r="288" spans="1:1" x14ac:dyDescent="0.25">
      <c r="A288" s="92"/>
    </row>
    <row r="289" spans="1:1" x14ac:dyDescent="0.25">
      <c r="A289" s="92"/>
    </row>
    <row r="290" spans="1:1" x14ac:dyDescent="0.25">
      <c r="A290" s="92"/>
    </row>
    <row r="291" spans="1:1" x14ac:dyDescent="0.25">
      <c r="A291" s="92"/>
    </row>
    <row r="292" spans="1:1" x14ac:dyDescent="0.25">
      <c r="A292" s="92"/>
    </row>
    <row r="293" spans="1:1" x14ac:dyDescent="0.25">
      <c r="A293" s="92"/>
    </row>
    <row r="294" spans="1:1" x14ac:dyDescent="0.25">
      <c r="A294" s="92"/>
    </row>
    <row r="295" spans="1:1" x14ac:dyDescent="0.25">
      <c r="A295" s="92"/>
    </row>
    <row r="296" spans="1:1" x14ac:dyDescent="0.25">
      <c r="A296" s="92"/>
    </row>
    <row r="297" spans="1:1" x14ac:dyDescent="0.25">
      <c r="A297" s="92"/>
    </row>
    <row r="298" spans="1:1" x14ac:dyDescent="0.25">
      <c r="A298" s="92"/>
    </row>
    <row r="299" spans="1:1" x14ac:dyDescent="0.25">
      <c r="A299" s="92"/>
    </row>
    <row r="300" spans="1:1" x14ac:dyDescent="0.25">
      <c r="A300" s="92"/>
    </row>
    <row r="301" spans="1:1" x14ac:dyDescent="0.25">
      <c r="A301" s="92"/>
    </row>
    <row r="302" spans="1:1" x14ac:dyDescent="0.25">
      <c r="A302" s="92"/>
    </row>
    <row r="303" spans="1:1" x14ac:dyDescent="0.25">
      <c r="A303" s="92"/>
    </row>
    <row r="304" spans="1:1" x14ac:dyDescent="0.25">
      <c r="A304" s="92"/>
    </row>
    <row r="305" spans="1:1" x14ac:dyDescent="0.25">
      <c r="A305" s="92"/>
    </row>
    <row r="306" spans="1:1" x14ac:dyDescent="0.25">
      <c r="A306" s="92"/>
    </row>
    <row r="307" spans="1:1" x14ac:dyDescent="0.25">
      <c r="A307" s="92"/>
    </row>
    <row r="308" spans="1:1" x14ac:dyDescent="0.25">
      <c r="A308" s="92"/>
    </row>
    <row r="309" spans="1:1" x14ac:dyDescent="0.25">
      <c r="A309" s="92"/>
    </row>
    <row r="310" spans="1:1" x14ac:dyDescent="0.25">
      <c r="A310" s="92"/>
    </row>
    <row r="311" spans="1:1" x14ac:dyDescent="0.25">
      <c r="A311" s="92"/>
    </row>
    <row r="312" spans="1:1" x14ac:dyDescent="0.25">
      <c r="A312" s="92"/>
    </row>
    <row r="313" spans="1:1" x14ac:dyDescent="0.25">
      <c r="A313" s="92"/>
    </row>
    <row r="314" spans="1:1" x14ac:dyDescent="0.25">
      <c r="A314" s="92"/>
    </row>
    <row r="315" spans="1:1" x14ac:dyDescent="0.25">
      <c r="A315" s="92"/>
    </row>
    <row r="316" spans="1:1" x14ac:dyDescent="0.25">
      <c r="A316" s="92"/>
    </row>
    <row r="317" spans="1:1" x14ac:dyDescent="0.25">
      <c r="A317" s="92"/>
    </row>
    <row r="318" spans="1:1" x14ac:dyDescent="0.25">
      <c r="A318" s="92"/>
    </row>
    <row r="319" spans="1:1" x14ac:dyDescent="0.25">
      <c r="A319" s="92"/>
    </row>
    <row r="320" spans="1:1" x14ac:dyDescent="0.25">
      <c r="A320" s="92"/>
    </row>
    <row r="321" spans="1:1" x14ac:dyDescent="0.25">
      <c r="A321" s="92"/>
    </row>
    <row r="322" spans="1:1" x14ac:dyDescent="0.25">
      <c r="A322" s="92"/>
    </row>
    <row r="323" spans="1:1" x14ac:dyDescent="0.25">
      <c r="A323" s="92"/>
    </row>
    <row r="324" spans="1:1" x14ac:dyDescent="0.25">
      <c r="A324" s="92"/>
    </row>
    <row r="325" spans="1:1" x14ac:dyDescent="0.25">
      <c r="A325" s="92"/>
    </row>
    <row r="326" spans="1:1" x14ac:dyDescent="0.25">
      <c r="A326" s="92"/>
    </row>
    <row r="327" spans="1:1" x14ac:dyDescent="0.25">
      <c r="A327" s="92"/>
    </row>
    <row r="328" spans="1:1" x14ac:dyDescent="0.25">
      <c r="A328" s="92"/>
    </row>
    <row r="329" spans="1:1" x14ac:dyDescent="0.25">
      <c r="A329" s="92"/>
    </row>
    <row r="330" spans="1:1" x14ac:dyDescent="0.25">
      <c r="A330" s="92"/>
    </row>
    <row r="331" spans="1:1" x14ac:dyDescent="0.25">
      <c r="A331" s="92"/>
    </row>
    <row r="332" spans="1:1" x14ac:dyDescent="0.25">
      <c r="A332" s="92"/>
    </row>
    <row r="333" spans="1:1" x14ac:dyDescent="0.25">
      <c r="A333" s="92"/>
    </row>
    <row r="334" spans="1:1" x14ac:dyDescent="0.25">
      <c r="A334" s="92"/>
    </row>
    <row r="335" spans="1:1" x14ac:dyDescent="0.25">
      <c r="A335" s="92"/>
    </row>
    <row r="336" spans="1:1" x14ac:dyDescent="0.25">
      <c r="A336" s="92"/>
    </row>
    <row r="337" spans="1:1" x14ac:dyDescent="0.25">
      <c r="A337" s="92"/>
    </row>
    <row r="338" spans="1:1" x14ac:dyDescent="0.25">
      <c r="A338" s="92"/>
    </row>
    <row r="339" spans="1:1" x14ac:dyDescent="0.25">
      <c r="A339" s="92"/>
    </row>
    <row r="340" spans="1:1" x14ac:dyDescent="0.25">
      <c r="A340" s="92"/>
    </row>
    <row r="341" spans="1:1" x14ac:dyDescent="0.25">
      <c r="A341" s="92"/>
    </row>
    <row r="342" spans="1:1" x14ac:dyDescent="0.25">
      <c r="A342" s="92"/>
    </row>
    <row r="343" spans="1:1" x14ac:dyDescent="0.25">
      <c r="A343" s="92"/>
    </row>
    <row r="344" spans="1:1" x14ac:dyDescent="0.25">
      <c r="A344" s="92"/>
    </row>
    <row r="345" spans="1:1" x14ac:dyDescent="0.25">
      <c r="A345" s="92"/>
    </row>
    <row r="346" spans="1:1" x14ac:dyDescent="0.25">
      <c r="A346" s="92"/>
    </row>
    <row r="347" spans="1:1" x14ac:dyDescent="0.25">
      <c r="A347" s="92"/>
    </row>
    <row r="348" spans="1:1" x14ac:dyDescent="0.25">
      <c r="A348" s="92"/>
    </row>
    <row r="349" spans="1:1" x14ac:dyDescent="0.25">
      <c r="A349" s="92"/>
    </row>
    <row r="350" spans="1:1" x14ac:dyDescent="0.25">
      <c r="A350" s="92"/>
    </row>
    <row r="351" spans="1:1" x14ac:dyDescent="0.25">
      <c r="A351" s="92"/>
    </row>
    <row r="352" spans="1:1" x14ac:dyDescent="0.25">
      <c r="A352" s="92"/>
    </row>
    <row r="353" spans="1:1" x14ac:dyDescent="0.25">
      <c r="A353" s="92"/>
    </row>
    <row r="354" spans="1:1" x14ac:dyDescent="0.25">
      <c r="A354" s="92"/>
    </row>
    <row r="355" spans="1:1" x14ac:dyDescent="0.25">
      <c r="A355" s="92"/>
    </row>
    <row r="356" spans="1:1" x14ac:dyDescent="0.25">
      <c r="A356" s="92"/>
    </row>
    <row r="357" spans="1:1" x14ac:dyDescent="0.25">
      <c r="A357" s="92"/>
    </row>
    <row r="358" spans="1:1" x14ac:dyDescent="0.25">
      <c r="A358" s="92"/>
    </row>
    <row r="359" spans="1:1" x14ac:dyDescent="0.25">
      <c r="A359" s="92"/>
    </row>
    <row r="360" spans="1:1" x14ac:dyDescent="0.25">
      <c r="A360" s="92"/>
    </row>
    <row r="361" spans="1:1" x14ac:dyDescent="0.25">
      <c r="A361" s="92"/>
    </row>
    <row r="362" spans="1:1" x14ac:dyDescent="0.25">
      <c r="A362" s="92"/>
    </row>
    <row r="363" spans="1:1" x14ac:dyDescent="0.25">
      <c r="A363" s="92"/>
    </row>
    <row r="364" spans="1:1" x14ac:dyDescent="0.25">
      <c r="A364" s="92"/>
    </row>
    <row r="365" spans="1:1" x14ac:dyDescent="0.25">
      <c r="A365" s="92"/>
    </row>
    <row r="366" spans="1:1" x14ac:dyDescent="0.25">
      <c r="A366" s="92"/>
    </row>
    <row r="367" spans="1:1" x14ac:dyDescent="0.25">
      <c r="A367" s="92"/>
    </row>
    <row r="368" spans="1:1" x14ac:dyDescent="0.25">
      <c r="A368" s="92"/>
    </row>
    <row r="369" spans="1:1" x14ac:dyDescent="0.25">
      <c r="A369" s="92"/>
    </row>
    <row r="370" spans="1:1" x14ac:dyDescent="0.25">
      <c r="A370" s="92"/>
    </row>
    <row r="371" spans="1:1" x14ac:dyDescent="0.25">
      <c r="A371" s="92"/>
    </row>
    <row r="372" spans="1:1" x14ac:dyDescent="0.25">
      <c r="A372" s="92"/>
    </row>
    <row r="373" spans="1:1" x14ac:dyDescent="0.25">
      <c r="A373" s="92"/>
    </row>
    <row r="374" spans="1:1" x14ac:dyDescent="0.25">
      <c r="A374" s="92"/>
    </row>
    <row r="375" spans="1:1" x14ac:dyDescent="0.25">
      <c r="A375" s="92"/>
    </row>
    <row r="376" spans="1:1" x14ac:dyDescent="0.25">
      <c r="A376" s="92"/>
    </row>
    <row r="377" spans="1:1" x14ac:dyDescent="0.25">
      <c r="A377" s="92"/>
    </row>
    <row r="378" spans="1:1" x14ac:dyDescent="0.25">
      <c r="A378" s="92"/>
    </row>
    <row r="379" spans="1:1" x14ac:dyDescent="0.25">
      <c r="A379" s="92"/>
    </row>
    <row r="380" spans="1:1" x14ac:dyDescent="0.25">
      <c r="A380" s="92"/>
    </row>
    <row r="381" spans="1:1" x14ac:dyDescent="0.25">
      <c r="A381" s="92"/>
    </row>
    <row r="382" spans="1:1" x14ac:dyDescent="0.25">
      <c r="A382" s="92"/>
    </row>
    <row r="383" spans="1:1" x14ac:dyDescent="0.25">
      <c r="A383" s="92"/>
    </row>
    <row r="384" spans="1:1" x14ac:dyDescent="0.25">
      <c r="A384" s="92"/>
    </row>
    <row r="385" spans="1:1" x14ac:dyDescent="0.25">
      <c r="A385" s="92"/>
    </row>
    <row r="386" spans="1:1" x14ac:dyDescent="0.25">
      <c r="A386" s="92"/>
    </row>
    <row r="387" spans="1:1" x14ac:dyDescent="0.25">
      <c r="A387" s="92"/>
    </row>
    <row r="388" spans="1:1" x14ac:dyDescent="0.25">
      <c r="A388" s="92"/>
    </row>
    <row r="389" spans="1:1" x14ac:dyDescent="0.25">
      <c r="A389" s="92"/>
    </row>
    <row r="390" spans="1:1" x14ac:dyDescent="0.25">
      <c r="A390" s="92"/>
    </row>
    <row r="391" spans="1:1" x14ac:dyDescent="0.25">
      <c r="A391" s="92"/>
    </row>
    <row r="392" spans="1:1" x14ac:dyDescent="0.25">
      <c r="A392" s="92"/>
    </row>
    <row r="393" spans="1:1" x14ac:dyDescent="0.25">
      <c r="A393" s="92"/>
    </row>
    <row r="394" spans="1:1" x14ac:dyDescent="0.25">
      <c r="A394" s="92"/>
    </row>
    <row r="395" spans="1:1" x14ac:dyDescent="0.25">
      <c r="A395" s="92"/>
    </row>
    <row r="396" spans="1:1" x14ac:dyDescent="0.25">
      <c r="A396" s="92"/>
    </row>
    <row r="397" spans="1:1" x14ac:dyDescent="0.25">
      <c r="A397" s="92"/>
    </row>
    <row r="398" spans="1:1" x14ac:dyDescent="0.25">
      <c r="A398" s="92"/>
    </row>
    <row r="399" spans="1:1" x14ac:dyDescent="0.25">
      <c r="A399" s="92"/>
    </row>
    <row r="400" spans="1:1" x14ac:dyDescent="0.25">
      <c r="A400" s="92"/>
    </row>
    <row r="401" spans="1:1" x14ac:dyDescent="0.25">
      <c r="A401" s="92"/>
    </row>
    <row r="402" spans="1:1" x14ac:dyDescent="0.25">
      <c r="A402" s="92"/>
    </row>
    <row r="403" spans="1:1" x14ac:dyDescent="0.25">
      <c r="A403" s="92"/>
    </row>
    <row r="404" spans="1:1" x14ac:dyDescent="0.25">
      <c r="A404" s="92"/>
    </row>
    <row r="405" spans="1:1" x14ac:dyDescent="0.25">
      <c r="A405" s="92"/>
    </row>
    <row r="406" spans="1:1" x14ac:dyDescent="0.25">
      <c r="A406" s="92"/>
    </row>
    <row r="407" spans="1:1" x14ac:dyDescent="0.25">
      <c r="A407" s="92"/>
    </row>
    <row r="408" spans="1:1" x14ac:dyDescent="0.25">
      <c r="A408" s="92"/>
    </row>
    <row r="409" spans="1:1" x14ac:dyDescent="0.25">
      <c r="A409" s="92"/>
    </row>
    <row r="410" spans="1:1" x14ac:dyDescent="0.25">
      <c r="A410" s="92"/>
    </row>
    <row r="411" spans="1:1" x14ac:dyDescent="0.25">
      <c r="A411" s="92"/>
    </row>
    <row r="412" spans="1:1" x14ac:dyDescent="0.25">
      <c r="A412" s="92"/>
    </row>
    <row r="413" spans="1:1" x14ac:dyDescent="0.25">
      <c r="A413" s="92"/>
    </row>
    <row r="414" spans="1:1" x14ac:dyDescent="0.25">
      <c r="A414" s="92"/>
    </row>
    <row r="415" spans="1:1" x14ac:dyDescent="0.25">
      <c r="A415" s="92"/>
    </row>
    <row r="416" spans="1:1" x14ac:dyDescent="0.25">
      <c r="A416" s="92"/>
    </row>
    <row r="417" spans="1:1" x14ac:dyDescent="0.25">
      <c r="A417" s="92"/>
    </row>
    <row r="418" spans="1:1" x14ac:dyDescent="0.25">
      <c r="A418" s="92"/>
    </row>
    <row r="419" spans="1:1" x14ac:dyDescent="0.25">
      <c r="A419" s="92"/>
    </row>
    <row r="420" spans="1:1" x14ac:dyDescent="0.25">
      <c r="A420" s="92"/>
    </row>
    <row r="421" spans="1:1" x14ac:dyDescent="0.25">
      <c r="A421" s="92"/>
    </row>
    <row r="422" spans="1:1" x14ac:dyDescent="0.25">
      <c r="A422" s="92"/>
    </row>
    <row r="423" spans="1:1" x14ac:dyDescent="0.25">
      <c r="A423" s="92"/>
    </row>
    <row r="424" spans="1:1" x14ac:dyDescent="0.25">
      <c r="A424" s="92"/>
    </row>
    <row r="425" spans="1:1" x14ac:dyDescent="0.25">
      <c r="A425" s="92"/>
    </row>
    <row r="426" spans="1:1" x14ac:dyDescent="0.25">
      <c r="A426" s="92"/>
    </row>
    <row r="427" spans="1:1" x14ac:dyDescent="0.25">
      <c r="A427" s="92"/>
    </row>
    <row r="428" spans="1:1" x14ac:dyDescent="0.25">
      <c r="A428" s="92"/>
    </row>
    <row r="429" spans="1:1" x14ac:dyDescent="0.25">
      <c r="A429" s="92"/>
    </row>
    <row r="430" spans="1:1" x14ac:dyDescent="0.25">
      <c r="A430" s="92"/>
    </row>
    <row r="431" spans="1:1" x14ac:dyDescent="0.25">
      <c r="A431" s="92"/>
    </row>
    <row r="432" spans="1:1" x14ac:dyDescent="0.25">
      <c r="A432" s="92"/>
    </row>
    <row r="433" spans="1:1" x14ac:dyDescent="0.25">
      <c r="A433" s="92"/>
    </row>
    <row r="434" spans="1:1" x14ac:dyDescent="0.25">
      <c r="A434" s="92"/>
    </row>
    <row r="435" spans="1:1" x14ac:dyDescent="0.25">
      <c r="A435" s="92"/>
    </row>
    <row r="436" spans="1:1" x14ac:dyDescent="0.25">
      <c r="A436" s="92"/>
    </row>
    <row r="437" spans="1:1" x14ac:dyDescent="0.25">
      <c r="A437" s="92"/>
    </row>
    <row r="438" spans="1:1" x14ac:dyDescent="0.25">
      <c r="A438" s="92"/>
    </row>
    <row r="439" spans="1:1" x14ac:dyDescent="0.25">
      <c r="A439" s="92"/>
    </row>
    <row r="440" spans="1:1" x14ac:dyDescent="0.25">
      <c r="A440" s="92"/>
    </row>
    <row r="441" spans="1:1" x14ac:dyDescent="0.25">
      <c r="A441" s="92"/>
    </row>
    <row r="442" spans="1:1" x14ac:dyDescent="0.25">
      <c r="A442" s="92"/>
    </row>
    <row r="443" spans="1:1" x14ac:dyDescent="0.25">
      <c r="A443" s="92"/>
    </row>
    <row r="444" spans="1:1" x14ac:dyDescent="0.25">
      <c r="A444" s="92"/>
    </row>
    <row r="445" spans="1:1" x14ac:dyDescent="0.25">
      <c r="A445" s="92"/>
    </row>
    <row r="446" spans="1:1" x14ac:dyDescent="0.25">
      <c r="A446" s="92"/>
    </row>
    <row r="447" spans="1:1" x14ac:dyDescent="0.25">
      <c r="A447" s="92"/>
    </row>
    <row r="448" spans="1:1" x14ac:dyDescent="0.25">
      <c r="A448" s="92"/>
    </row>
    <row r="449" spans="1:1" x14ac:dyDescent="0.25">
      <c r="A449" s="92"/>
    </row>
    <row r="450" spans="1:1" x14ac:dyDescent="0.25">
      <c r="A450" s="92"/>
    </row>
    <row r="451" spans="1:1" x14ac:dyDescent="0.25">
      <c r="A451" s="92"/>
    </row>
    <row r="452" spans="1:1" x14ac:dyDescent="0.25">
      <c r="A452" s="92"/>
    </row>
    <row r="453" spans="1:1" x14ac:dyDescent="0.25">
      <c r="A453" s="92"/>
    </row>
    <row r="454" spans="1:1" x14ac:dyDescent="0.25">
      <c r="A454" s="92"/>
    </row>
    <row r="455" spans="1:1" x14ac:dyDescent="0.25">
      <c r="A455" s="92"/>
    </row>
    <row r="456" spans="1:1" x14ac:dyDescent="0.25">
      <c r="A456" s="92"/>
    </row>
    <row r="457" spans="1:1" x14ac:dyDescent="0.25">
      <c r="A457" s="92"/>
    </row>
    <row r="458" spans="1:1" x14ac:dyDescent="0.25">
      <c r="A458" s="92"/>
    </row>
    <row r="459" spans="1:1" x14ac:dyDescent="0.25">
      <c r="A459" s="92"/>
    </row>
    <row r="460" spans="1:1" x14ac:dyDescent="0.25">
      <c r="A460" s="92"/>
    </row>
    <row r="461" spans="1:1" x14ac:dyDescent="0.25">
      <c r="A461" s="92"/>
    </row>
    <row r="462" spans="1:1" x14ac:dyDescent="0.25">
      <c r="A462" s="92"/>
    </row>
    <row r="463" spans="1:1" x14ac:dyDescent="0.25">
      <c r="A463" s="92"/>
    </row>
    <row r="464" spans="1:1" x14ac:dyDescent="0.25">
      <c r="A464" s="92"/>
    </row>
    <row r="465" spans="1:1" x14ac:dyDescent="0.25">
      <c r="A465" s="92"/>
    </row>
    <row r="466" spans="1:1" x14ac:dyDescent="0.25">
      <c r="A466" s="92"/>
    </row>
    <row r="467" spans="1:1" x14ac:dyDescent="0.25">
      <c r="A467" s="92"/>
    </row>
    <row r="468" spans="1:1" x14ac:dyDescent="0.25">
      <c r="A468" s="92"/>
    </row>
    <row r="469" spans="1:1" x14ac:dyDescent="0.25">
      <c r="A469" s="92"/>
    </row>
    <row r="470" spans="1:1" x14ac:dyDescent="0.25">
      <c r="A470" s="92"/>
    </row>
    <row r="471" spans="1:1" x14ac:dyDescent="0.25">
      <c r="A471" s="92"/>
    </row>
    <row r="472" spans="1:1" x14ac:dyDescent="0.25">
      <c r="A472" s="92"/>
    </row>
    <row r="473" spans="1:1" x14ac:dyDescent="0.25">
      <c r="A473" s="92"/>
    </row>
    <row r="474" spans="1:1" x14ac:dyDescent="0.25">
      <c r="A474" s="92"/>
    </row>
    <row r="475" spans="1:1" x14ac:dyDescent="0.25">
      <c r="A475" s="92"/>
    </row>
    <row r="476" spans="1:1" x14ac:dyDescent="0.25">
      <c r="A476" s="92"/>
    </row>
    <row r="477" spans="1:1" x14ac:dyDescent="0.25">
      <c r="A477" s="92"/>
    </row>
    <row r="478" spans="1:1" x14ac:dyDescent="0.25">
      <c r="A478" s="92"/>
    </row>
    <row r="479" spans="1:1" x14ac:dyDescent="0.25">
      <c r="A479" s="92"/>
    </row>
    <row r="480" spans="1:1" x14ac:dyDescent="0.25">
      <c r="A480" s="92"/>
    </row>
    <row r="481" spans="1:1" x14ac:dyDescent="0.25">
      <c r="A481" s="92"/>
    </row>
    <row r="482" spans="1:1" x14ac:dyDescent="0.25">
      <c r="A482" s="92"/>
    </row>
    <row r="483" spans="1:1" x14ac:dyDescent="0.25">
      <c r="A483" s="92"/>
    </row>
    <row r="484" spans="1:1" x14ac:dyDescent="0.25">
      <c r="A484" s="92"/>
    </row>
    <row r="485" spans="1:1" x14ac:dyDescent="0.25">
      <c r="A485" s="92"/>
    </row>
    <row r="486" spans="1:1" x14ac:dyDescent="0.25">
      <c r="A486" s="92"/>
    </row>
    <row r="487" spans="1:1" x14ac:dyDescent="0.25">
      <c r="A487" s="92"/>
    </row>
    <row r="488" spans="1:1" x14ac:dyDescent="0.25">
      <c r="A488" s="92"/>
    </row>
    <row r="489" spans="1:1" x14ac:dyDescent="0.25">
      <c r="A489" s="92"/>
    </row>
    <row r="490" spans="1:1" x14ac:dyDescent="0.25">
      <c r="A490" s="92"/>
    </row>
    <row r="491" spans="1:1" x14ac:dyDescent="0.25">
      <c r="A491" s="92"/>
    </row>
    <row r="492" spans="1:1" x14ac:dyDescent="0.25">
      <c r="A492" s="92"/>
    </row>
    <row r="493" spans="1:1" x14ac:dyDescent="0.25">
      <c r="A493" s="92"/>
    </row>
    <row r="494" spans="1:1" x14ac:dyDescent="0.25">
      <c r="A494" s="92"/>
    </row>
    <row r="495" spans="1:1" x14ac:dyDescent="0.25">
      <c r="A495" s="92"/>
    </row>
    <row r="496" spans="1:1" x14ac:dyDescent="0.25">
      <c r="A496" s="92"/>
    </row>
    <row r="497" spans="1:1" x14ac:dyDescent="0.25">
      <c r="A497" s="92"/>
    </row>
    <row r="498" spans="1:1" x14ac:dyDescent="0.25">
      <c r="A498" s="92"/>
    </row>
    <row r="499" spans="1:1" x14ac:dyDescent="0.25">
      <c r="A499" s="92"/>
    </row>
    <row r="500" spans="1:1" x14ac:dyDescent="0.25">
      <c r="A500" s="92"/>
    </row>
    <row r="501" spans="1:1" x14ac:dyDescent="0.25">
      <c r="A501" s="92"/>
    </row>
    <row r="502" spans="1:1" x14ac:dyDescent="0.25">
      <c r="A502" s="92"/>
    </row>
    <row r="503" spans="1:1" x14ac:dyDescent="0.25">
      <c r="A503" s="92"/>
    </row>
    <row r="504" spans="1:1" x14ac:dyDescent="0.25">
      <c r="A504" s="92"/>
    </row>
    <row r="505" spans="1:1" x14ac:dyDescent="0.25">
      <c r="A505" s="92"/>
    </row>
    <row r="506" spans="1:1" x14ac:dyDescent="0.25">
      <c r="A506" s="92"/>
    </row>
    <row r="507" spans="1:1" x14ac:dyDescent="0.25">
      <c r="A507" s="92"/>
    </row>
    <row r="508" spans="1:1" x14ac:dyDescent="0.25">
      <c r="A508" s="92"/>
    </row>
    <row r="509" spans="1:1" x14ac:dyDescent="0.25">
      <c r="A509" s="92"/>
    </row>
    <row r="510" spans="1:1" x14ac:dyDescent="0.25">
      <c r="A510" s="92"/>
    </row>
    <row r="511" spans="1:1" x14ac:dyDescent="0.25">
      <c r="A511" s="92"/>
    </row>
    <row r="512" spans="1:1" x14ac:dyDescent="0.25">
      <c r="A512" s="92"/>
    </row>
    <row r="513" spans="1:1" x14ac:dyDescent="0.25">
      <c r="A513" s="92"/>
    </row>
    <row r="514" spans="1:1" x14ac:dyDescent="0.25">
      <c r="A514" s="92"/>
    </row>
    <row r="515" spans="1:1" x14ac:dyDescent="0.25">
      <c r="A515" s="92"/>
    </row>
    <row r="516" spans="1:1" x14ac:dyDescent="0.25">
      <c r="A516" s="92"/>
    </row>
    <row r="517" spans="1:1" x14ac:dyDescent="0.25">
      <c r="A517" s="92"/>
    </row>
    <row r="518" spans="1:1" x14ac:dyDescent="0.25">
      <c r="A518" s="92"/>
    </row>
    <row r="519" spans="1:1" x14ac:dyDescent="0.25">
      <c r="A519" s="92"/>
    </row>
    <row r="520" spans="1:1" x14ac:dyDescent="0.25">
      <c r="A520" s="92"/>
    </row>
    <row r="521" spans="1:1" x14ac:dyDescent="0.25">
      <c r="A521" s="92"/>
    </row>
    <row r="522" spans="1:1" x14ac:dyDescent="0.25">
      <c r="A522" s="92"/>
    </row>
    <row r="523" spans="1:1" x14ac:dyDescent="0.25">
      <c r="A523" s="92"/>
    </row>
    <row r="524" spans="1:1" x14ac:dyDescent="0.25">
      <c r="A524" s="92"/>
    </row>
    <row r="525" spans="1:1" x14ac:dyDescent="0.25">
      <c r="A525" s="92"/>
    </row>
    <row r="526" spans="1:1" x14ac:dyDescent="0.25">
      <c r="A526" s="92"/>
    </row>
    <row r="527" spans="1:1" x14ac:dyDescent="0.25">
      <c r="A527" s="92"/>
    </row>
    <row r="528" spans="1:1" x14ac:dyDescent="0.25">
      <c r="A528" s="92"/>
    </row>
    <row r="529" spans="1:1" x14ac:dyDescent="0.25">
      <c r="A529" s="92"/>
    </row>
    <row r="530" spans="1:1" x14ac:dyDescent="0.25">
      <c r="A530" s="92"/>
    </row>
    <row r="531" spans="1:1" x14ac:dyDescent="0.25">
      <c r="A531" s="92"/>
    </row>
    <row r="532" spans="1:1" x14ac:dyDescent="0.25">
      <c r="A532" s="92"/>
    </row>
    <row r="533" spans="1:1" x14ac:dyDescent="0.25">
      <c r="A533" s="92"/>
    </row>
    <row r="534" spans="1:1" x14ac:dyDescent="0.25">
      <c r="A534" s="92"/>
    </row>
    <row r="535" spans="1:1" x14ac:dyDescent="0.25">
      <c r="A535" s="92"/>
    </row>
    <row r="536" spans="1:1" x14ac:dyDescent="0.25">
      <c r="A536" s="92"/>
    </row>
    <row r="537" spans="1:1" x14ac:dyDescent="0.25">
      <c r="A537" s="92"/>
    </row>
    <row r="538" spans="1:1" x14ac:dyDescent="0.25">
      <c r="A538" s="92"/>
    </row>
    <row r="539" spans="1:1" x14ac:dyDescent="0.25">
      <c r="A539" s="92"/>
    </row>
    <row r="540" spans="1:1" x14ac:dyDescent="0.25">
      <c r="A540" s="92"/>
    </row>
    <row r="541" spans="1:1" x14ac:dyDescent="0.25">
      <c r="A541" s="92"/>
    </row>
    <row r="542" spans="1:1" x14ac:dyDescent="0.25">
      <c r="A542" s="92"/>
    </row>
    <row r="543" spans="1:1" x14ac:dyDescent="0.25">
      <c r="A543" s="92"/>
    </row>
    <row r="544" spans="1:1" x14ac:dyDescent="0.25">
      <c r="A544" s="92"/>
    </row>
    <row r="545" spans="1:1" x14ac:dyDescent="0.25">
      <c r="A545" s="92"/>
    </row>
    <row r="546" spans="1:1" x14ac:dyDescent="0.25">
      <c r="A546" s="92"/>
    </row>
    <row r="547" spans="1:1" x14ac:dyDescent="0.25">
      <c r="A547" s="92"/>
    </row>
    <row r="548" spans="1:1" x14ac:dyDescent="0.25">
      <c r="A548" s="92"/>
    </row>
    <row r="549" spans="1:1" x14ac:dyDescent="0.25">
      <c r="A549" s="92"/>
    </row>
    <row r="550" spans="1:1" x14ac:dyDescent="0.25">
      <c r="A550" s="92"/>
    </row>
    <row r="551" spans="1:1" x14ac:dyDescent="0.25">
      <c r="A551" s="92"/>
    </row>
    <row r="552" spans="1:1" x14ac:dyDescent="0.25">
      <c r="A552" s="92"/>
    </row>
    <row r="553" spans="1:1" x14ac:dyDescent="0.25">
      <c r="A553" s="92"/>
    </row>
    <row r="554" spans="1:1" x14ac:dyDescent="0.25">
      <c r="A554" s="92"/>
    </row>
    <row r="555" spans="1:1" x14ac:dyDescent="0.25">
      <c r="A555" s="92"/>
    </row>
    <row r="556" spans="1:1" x14ac:dyDescent="0.25">
      <c r="A556" s="92"/>
    </row>
    <row r="557" spans="1:1" x14ac:dyDescent="0.25">
      <c r="A557" s="92"/>
    </row>
    <row r="558" spans="1:1" x14ac:dyDescent="0.25">
      <c r="A558" s="92"/>
    </row>
    <row r="559" spans="1:1" x14ac:dyDescent="0.25">
      <c r="A559" s="92"/>
    </row>
    <row r="560" spans="1:1" x14ac:dyDescent="0.25">
      <c r="A560" s="92"/>
    </row>
    <row r="561" spans="1:1" x14ac:dyDescent="0.25">
      <c r="A561" s="92"/>
    </row>
    <row r="562" spans="1:1" x14ac:dyDescent="0.25">
      <c r="A562" s="92"/>
    </row>
    <row r="563" spans="1:1" x14ac:dyDescent="0.25">
      <c r="A563" s="92"/>
    </row>
    <row r="564" spans="1:1" x14ac:dyDescent="0.25">
      <c r="A564" s="92"/>
    </row>
    <row r="565" spans="1:1" x14ac:dyDescent="0.25">
      <c r="A565" s="92"/>
    </row>
    <row r="566" spans="1:1" x14ac:dyDescent="0.25">
      <c r="A566" s="92"/>
    </row>
    <row r="567" spans="1:1" x14ac:dyDescent="0.25">
      <c r="A567" s="92"/>
    </row>
    <row r="568" spans="1:1" x14ac:dyDescent="0.25">
      <c r="A568" s="92"/>
    </row>
    <row r="569" spans="1:1" x14ac:dyDescent="0.25">
      <c r="A569" s="92"/>
    </row>
    <row r="570" spans="1:1" x14ac:dyDescent="0.25">
      <c r="A570" s="92"/>
    </row>
    <row r="571" spans="1:1" x14ac:dyDescent="0.25">
      <c r="A571" s="92"/>
    </row>
    <row r="572" spans="1:1" x14ac:dyDescent="0.25">
      <c r="A572" s="92"/>
    </row>
    <row r="573" spans="1:1" x14ac:dyDescent="0.25">
      <c r="A573" s="92"/>
    </row>
    <row r="574" spans="1:1" x14ac:dyDescent="0.25">
      <c r="A574" s="92"/>
    </row>
    <row r="575" spans="1:1" x14ac:dyDescent="0.25">
      <c r="A575" s="92"/>
    </row>
    <row r="576" spans="1:1" x14ac:dyDescent="0.25">
      <c r="A576" s="92"/>
    </row>
    <row r="577" spans="1:1" x14ac:dyDescent="0.25">
      <c r="A577" s="92"/>
    </row>
    <row r="578" spans="1:1" x14ac:dyDescent="0.25">
      <c r="A578" s="92"/>
    </row>
    <row r="579" spans="1:1" x14ac:dyDescent="0.25">
      <c r="A579" s="92"/>
    </row>
    <row r="580" spans="1:1" x14ac:dyDescent="0.25">
      <c r="A580" s="92"/>
    </row>
    <row r="581" spans="1:1" x14ac:dyDescent="0.25">
      <c r="A581" s="92"/>
    </row>
    <row r="582" spans="1:1" x14ac:dyDescent="0.25">
      <c r="A582" s="92"/>
    </row>
    <row r="583" spans="1:1" x14ac:dyDescent="0.25">
      <c r="A583" s="92"/>
    </row>
    <row r="584" spans="1:1" x14ac:dyDescent="0.25">
      <c r="A584" s="92"/>
    </row>
    <row r="585" spans="1:1" x14ac:dyDescent="0.25">
      <c r="A585" s="92"/>
    </row>
    <row r="586" spans="1:1" x14ac:dyDescent="0.25">
      <c r="A586" s="92"/>
    </row>
    <row r="587" spans="1:1" x14ac:dyDescent="0.25">
      <c r="A587" s="92"/>
    </row>
    <row r="588" spans="1:1" x14ac:dyDescent="0.25">
      <c r="A588" s="92"/>
    </row>
    <row r="589" spans="1:1" x14ac:dyDescent="0.25">
      <c r="A589" s="92"/>
    </row>
    <row r="590" spans="1:1" x14ac:dyDescent="0.25">
      <c r="A590" s="92"/>
    </row>
    <row r="591" spans="1:1" x14ac:dyDescent="0.25">
      <c r="A591" s="92"/>
    </row>
    <row r="592" spans="1:1" x14ac:dyDescent="0.25">
      <c r="A592" s="92"/>
    </row>
    <row r="593" spans="1:1" x14ac:dyDescent="0.25">
      <c r="A593" s="92"/>
    </row>
    <row r="594" spans="1:1" x14ac:dyDescent="0.25">
      <c r="A594" s="92"/>
    </row>
    <row r="595" spans="1:1" x14ac:dyDescent="0.25">
      <c r="A595" s="92"/>
    </row>
    <row r="596" spans="1:1" x14ac:dyDescent="0.25">
      <c r="A596" s="92"/>
    </row>
    <row r="597" spans="1:1" x14ac:dyDescent="0.25">
      <c r="A597" s="92"/>
    </row>
    <row r="598" spans="1:1" x14ac:dyDescent="0.25">
      <c r="A598" s="92"/>
    </row>
    <row r="599" spans="1:1" x14ac:dyDescent="0.25">
      <c r="A599" s="92"/>
    </row>
    <row r="600" spans="1:1" x14ac:dyDescent="0.25">
      <c r="A600" s="92"/>
    </row>
    <row r="601" spans="1:1" x14ac:dyDescent="0.25">
      <c r="A601" s="92"/>
    </row>
    <row r="602" spans="1:1" x14ac:dyDescent="0.25">
      <c r="A602" s="92"/>
    </row>
    <row r="603" spans="1:1" x14ac:dyDescent="0.25">
      <c r="A603" s="92"/>
    </row>
    <row r="604" spans="1:1" x14ac:dyDescent="0.25">
      <c r="A604" s="92"/>
    </row>
    <row r="605" spans="1:1" x14ac:dyDescent="0.25">
      <c r="A605" s="92"/>
    </row>
    <row r="606" spans="1:1" x14ac:dyDescent="0.25">
      <c r="A606" s="92"/>
    </row>
    <row r="607" spans="1:1" x14ac:dyDescent="0.25">
      <c r="A607" s="92"/>
    </row>
    <row r="608" spans="1:1" x14ac:dyDescent="0.25">
      <c r="A608" s="92"/>
    </row>
    <row r="609" spans="1:1" x14ac:dyDescent="0.25">
      <c r="A609" s="92"/>
    </row>
    <row r="610" spans="1:1" x14ac:dyDescent="0.25">
      <c r="A610" s="92"/>
    </row>
    <row r="611" spans="1:1" x14ac:dyDescent="0.25">
      <c r="A611" s="92"/>
    </row>
    <row r="612" spans="1:1" x14ac:dyDescent="0.25">
      <c r="A612" s="92"/>
    </row>
    <row r="613" spans="1:1" x14ac:dyDescent="0.25">
      <c r="A613" s="92"/>
    </row>
    <row r="614" spans="1:1" x14ac:dyDescent="0.25">
      <c r="A614" s="92"/>
    </row>
    <row r="615" spans="1:1" x14ac:dyDescent="0.25">
      <c r="A615" s="92"/>
    </row>
    <row r="616" spans="1:1" x14ac:dyDescent="0.25">
      <c r="A616" s="92"/>
    </row>
    <row r="617" spans="1:1" x14ac:dyDescent="0.25">
      <c r="A617" s="92"/>
    </row>
    <row r="618" spans="1:1" x14ac:dyDescent="0.25">
      <c r="A618" s="92"/>
    </row>
    <row r="619" spans="1:1" x14ac:dyDescent="0.25">
      <c r="A619" s="92"/>
    </row>
    <row r="620" spans="1:1" x14ac:dyDescent="0.25">
      <c r="A620" s="92"/>
    </row>
  </sheetData>
  <mergeCells count="22">
    <mergeCell ref="B14:C14"/>
    <mergeCell ref="B15:C16"/>
    <mergeCell ref="B53:F53"/>
    <mergeCell ref="B74:G74"/>
    <mergeCell ref="B94:G94"/>
    <mergeCell ref="B11:C12"/>
    <mergeCell ref="B2:C2"/>
    <mergeCell ref="B3:C4"/>
    <mergeCell ref="B6:C6"/>
    <mergeCell ref="B7:C8"/>
    <mergeCell ref="B10:C10"/>
    <mergeCell ref="Q2:R2"/>
    <mergeCell ref="Q3:Q4"/>
    <mergeCell ref="R3:R4"/>
    <mergeCell ref="Q5:Q6"/>
    <mergeCell ref="R5:R6"/>
    <mergeCell ref="Q7:Q8"/>
    <mergeCell ref="R7:R8"/>
    <mergeCell ref="Q9:Q10"/>
    <mergeCell ref="R9:R10"/>
    <mergeCell ref="Q11:Q12"/>
    <mergeCell ref="R11:R12"/>
  </mergeCells>
  <conditionalFormatting sqref="C50:I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1" r:id="rId4" name="CommandButton5">
          <controlPr defaultSize="0" print="0" autoLine="0" r:id="rId5">
            <anchor moveWithCells="1">
              <from>
                <xdr:col>17</xdr:col>
                <xdr:colOff>161925</xdr:colOff>
                <xdr:row>2</xdr:row>
                <xdr:rowOff>66675</xdr:rowOff>
              </from>
              <to>
                <xdr:col>17</xdr:col>
                <xdr:colOff>1495425</xdr:colOff>
                <xdr:row>3</xdr:row>
                <xdr:rowOff>152400</xdr:rowOff>
              </to>
            </anchor>
          </controlPr>
        </control>
      </mc:Choice>
      <mc:Fallback>
        <control shapeId="10251" r:id="rId4" name="CommandButton5"/>
      </mc:Fallback>
    </mc:AlternateContent>
    <mc:AlternateContent xmlns:mc="http://schemas.openxmlformats.org/markup-compatibility/2006">
      <mc:Choice Requires="x14">
        <control shapeId="10252" r:id="rId6" name="CommandButton1">
          <controlPr defaultSize="0" print="0" autoLine="0" r:id="rId7">
            <anchor moveWithCells="1">
              <from>
                <xdr:col>17</xdr:col>
                <xdr:colOff>161925</xdr:colOff>
                <xdr:row>4</xdr:row>
                <xdr:rowOff>66675</xdr:rowOff>
              </from>
              <to>
                <xdr:col>17</xdr:col>
                <xdr:colOff>1495425</xdr:colOff>
                <xdr:row>5</xdr:row>
                <xdr:rowOff>152400</xdr:rowOff>
              </to>
            </anchor>
          </controlPr>
        </control>
      </mc:Choice>
      <mc:Fallback>
        <control shapeId="10252" r:id="rId6" name="CommandButton1"/>
      </mc:Fallback>
    </mc:AlternateContent>
    <mc:AlternateContent xmlns:mc="http://schemas.openxmlformats.org/markup-compatibility/2006">
      <mc:Choice Requires="x14">
        <control shapeId="10253" r:id="rId8" name="CommandButton2">
          <controlPr defaultSize="0" print="0" autoLine="0" r:id="rId9">
            <anchor moveWithCells="1">
              <from>
                <xdr:col>17</xdr:col>
                <xdr:colOff>161925</xdr:colOff>
                <xdr:row>6</xdr:row>
                <xdr:rowOff>66675</xdr:rowOff>
              </from>
              <to>
                <xdr:col>17</xdr:col>
                <xdr:colOff>1495425</xdr:colOff>
                <xdr:row>7</xdr:row>
                <xdr:rowOff>152400</xdr:rowOff>
              </to>
            </anchor>
          </controlPr>
        </control>
      </mc:Choice>
      <mc:Fallback>
        <control shapeId="10253" r:id="rId8" name="CommandButton2"/>
      </mc:Fallback>
    </mc:AlternateContent>
    <mc:AlternateContent xmlns:mc="http://schemas.openxmlformats.org/markup-compatibility/2006">
      <mc:Choice Requires="x14">
        <control shapeId="10254" r:id="rId10" name="CommandButton3">
          <controlPr defaultSize="0" print="0" autoLine="0" r:id="rId11">
            <anchor moveWithCells="1">
              <from>
                <xdr:col>17</xdr:col>
                <xdr:colOff>161925</xdr:colOff>
                <xdr:row>8</xdr:row>
                <xdr:rowOff>66675</xdr:rowOff>
              </from>
              <to>
                <xdr:col>17</xdr:col>
                <xdr:colOff>1495425</xdr:colOff>
                <xdr:row>9</xdr:row>
                <xdr:rowOff>152400</xdr:rowOff>
              </to>
            </anchor>
          </controlPr>
        </control>
      </mc:Choice>
      <mc:Fallback>
        <control shapeId="10254" r:id="rId10" name="CommandButton3"/>
      </mc:Fallback>
    </mc:AlternateContent>
    <mc:AlternateContent xmlns:mc="http://schemas.openxmlformats.org/markup-compatibility/2006">
      <mc:Choice Requires="x14">
        <control shapeId="10255" r:id="rId12" name="CommandButton4">
          <controlPr defaultSize="0" print="0" autoLine="0" r:id="rId13">
            <anchor moveWithCells="1">
              <from>
                <xdr:col>17</xdr:col>
                <xdr:colOff>161925</xdr:colOff>
                <xdr:row>10</xdr:row>
                <xdr:rowOff>66675</xdr:rowOff>
              </from>
              <to>
                <xdr:col>17</xdr:col>
                <xdr:colOff>1495425</xdr:colOff>
                <xdr:row>11</xdr:row>
                <xdr:rowOff>152400</xdr:rowOff>
              </to>
            </anchor>
          </controlPr>
        </control>
      </mc:Choice>
      <mc:Fallback>
        <control shapeId="10255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5A7A6-4467-4F9B-BEA0-534AE8391403}">
  <sheetPr codeName="Sheet7"/>
  <dimension ref="B1:AB3472"/>
  <sheetViews>
    <sheetView workbookViewId="0">
      <selection activeCell="H33" sqref="H33"/>
    </sheetView>
  </sheetViews>
  <sheetFormatPr defaultRowHeight="12.75" x14ac:dyDescent="0.25"/>
  <cols>
    <col min="1" max="1" width="2.28515625" style="130" customWidth="1"/>
    <col min="2" max="3" width="16.7109375" style="130" customWidth="1"/>
    <col min="4" max="4" width="9.140625" style="130"/>
    <col min="5" max="5" width="16.7109375" style="130" customWidth="1"/>
    <col min="6" max="6" width="12.85546875" style="130" customWidth="1"/>
    <col min="7" max="7" width="9.140625" style="130"/>
    <col min="8" max="8" width="31.5703125" style="130" bestFit="1" customWidth="1"/>
    <col min="9" max="9" width="15.7109375" style="130" customWidth="1"/>
    <col min="10" max="10" width="9.140625" style="130"/>
    <col min="11" max="11" width="21.7109375" style="130" bestFit="1" customWidth="1"/>
    <col min="12" max="12" width="19" style="130" customWidth="1"/>
    <col min="13" max="16384" width="9.140625" style="130"/>
  </cols>
  <sheetData>
    <row r="1" spans="2:28" ht="13.5" thickBot="1" x14ac:dyDescent="0.3"/>
    <row r="2" spans="2:28" ht="13.5" thickBot="1" x14ac:dyDescent="0.3">
      <c r="B2" s="196" t="s">
        <v>49</v>
      </c>
      <c r="C2" s="197"/>
      <c r="E2" s="131"/>
      <c r="F2" s="131"/>
    </row>
    <row r="3" spans="2:28" ht="13.5" thickBot="1" x14ac:dyDescent="0.3">
      <c r="B3" s="132" t="s">
        <v>48</v>
      </c>
      <c r="C3" s="133" t="s">
        <v>14</v>
      </c>
      <c r="E3" s="134" t="s">
        <v>14</v>
      </c>
      <c r="F3" s="135" t="s">
        <v>78</v>
      </c>
      <c r="H3" s="136" t="s">
        <v>79</v>
      </c>
      <c r="I3" s="135" t="s">
        <v>78</v>
      </c>
      <c r="K3" s="136" t="s">
        <v>80</v>
      </c>
      <c r="L3" s="136" t="s">
        <v>78</v>
      </c>
      <c r="AB3" s="130">
        <v>7</v>
      </c>
    </row>
    <row r="4" spans="2:28" x14ac:dyDescent="0.25">
      <c r="B4" s="137" t="s">
        <v>69</v>
      </c>
      <c r="C4" s="138" t="s">
        <v>72</v>
      </c>
      <c r="F4" s="139"/>
      <c r="H4" s="140"/>
      <c r="I4" s="141"/>
      <c r="L4" s="142"/>
    </row>
    <row r="5" spans="2:28" ht="15" x14ac:dyDescent="0.25">
      <c r="B5" s="137" t="s">
        <v>70</v>
      </c>
      <c r="C5" s="138" t="s">
        <v>73</v>
      </c>
      <c r="E5"/>
      <c r="F5" s="143"/>
      <c r="H5"/>
      <c r="L5" s="142"/>
    </row>
    <row r="6" spans="2:28" ht="15" x14ac:dyDescent="0.25">
      <c r="B6" s="137" t="s">
        <v>34</v>
      </c>
      <c r="C6" s="138" t="s">
        <v>40</v>
      </c>
      <c r="E6"/>
      <c r="F6" s="143"/>
      <c r="H6"/>
      <c r="L6" s="142"/>
    </row>
    <row r="7" spans="2:28" ht="15" x14ac:dyDescent="0.25">
      <c r="B7" s="137" t="s">
        <v>35</v>
      </c>
      <c r="C7" s="138" t="s">
        <v>41</v>
      </c>
      <c r="E7"/>
      <c r="F7" s="143"/>
      <c r="H7"/>
      <c r="L7" s="142"/>
    </row>
    <row r="8" spans="2:28" ht="15" x14ac:dyDescent="0.25">
      <c r="B8" s="137" t="s">
        <v>36</v>
      </c>
      <c r="C8" s="138" t="s">
        <v>42</v>
      </c>
      <c r="E8"/>
      <c r="H8"/>
      <c r="L8" s="142"/>
    </row>
    <row r="9" spans="2:28" ht="15" x14ac:dyDescent="0.25">
      <c r="B9" s="137" t="s">
        <v>37</v>
      </c>
      <c r="C9" s="138" t="s">
        <v>43</v>
      </c>
      <c r="E9"/>
      <c r="H9"/>
    </row>
    <row r="10" spans="2:28" ht="14.25" customHeight="1" x14ac:dyDescent="0.25">
      <c r="B10" s="137" t="s">
        <v>38</v>
      </c>
      <c r="C10" s="138" t="s">
        <v>44</v>
      </c>
      <c r="E10"/>
      <c r="H10"/>
    </row>
    <row r="11" spans="2:28" ht="15" x14ac:dyDescent="0.25">
      <c r="B11" s="137" t="s">
        <v>71</v>
      </c>
      <c r="C11" s="138" t="s">
        <v>74</v>
      </c>
      <c r="E11"/>
      <c r="H11"/>
    </row>
    <row r="12" spans="2:28" ht="15" x14ac:dyDescent="0.25">
      <c r="B12" s="137"/>
      <c r="C12" s="138"/>
      <c r="E12"/>
      <c r="H12"/>
    </row>
    <row r="13" spans="2:28" ht="15" x14ac:dyDescent="0.25">
      <c r="B13" s="137"/>
      <c r="C13" s="138"/>
      <c r="E13"/>
      <c r="H13"/>
    </row>
    <row r="14" spans="2:28" ht="15" x14ac:dyDescent="0.25">
      <c r="B14" s="137"/>
      <c r="C14" s="138"/>
      <c r="E14"/>
      <c r="F14"/>
      <c r="H14"/>
    </row>
    <row r="15" spans="2:28" ht="15" x14ac:dyDescent="0.25">
      <c r="B15" s="137"/>
      <c r="C15" s="138"/>
      <c r="E15"/>
      <c r="F15"/>
      <c r="H15"/>
    </row>
    <row r="16" spans="2:28" ht="15" x14ac:dyDescent="0.25">
      <c r="B16" s="137"/>
      <c r="C16" s="138"/>
      <c r="E16"/>
      <c r="F16"/>
      <c r="H16"/>
    </row>
    <row r="17" spans="2:8" ht="15" x14ac:dyDescent="0.25">
      <c r="B17" s="137"/>
      <c r="C17" s="138"/>
      <c r="E17"/>
      <c r="F17"/>
      <c r="H17"/>
    </row>
    <row r="18" spans="2:8" ht="15" x14ac:dyDescent="0.25">
      <c r="B18" s="137"/>
      <c r="C18" s="138"/>
      <c r="E18"/>
      <c r="F18"/>
      <c r="H18"/>
    </row>
    <row r="19" spans="2:8" ht="15.75" thickBot="1" x14ac:dyDescent="0.3">
      <c r="B19" s="144"/>
      <c r="C19" s="145"/>
      <c r="E19"/>
      <c r="F19"/>
      <c r="H19"/>
    </row>
    <row r="20" spans="2:8" ht="15" x14ac:dyDescent="0.25">
      <c r="E20"/>
      <c r="F20"/>
      <c r="H20"/>
    </row>
    <row r="21" spans="2:8" ht="15" x14ac:dyDescent="0.25">
      <c r="E21"/>
      <c r="F21"/>
      <c r="H21"/>
    </row>
    <row r="22" spans="2:8" ht="15" x14ac:dyDescent="0.25">
      <c r="B22" s="130" t="s">
        <v>57</v>
      </c>
      <c r="E22"/>
      <c r="F22"/>
      <c r="H22"/>
    </row>
    <row r="23" spans="2:8" ht="15" x14ac:dyDescent="0.25">
      <c r="B23" s="130" t="s">
        <v>92</v>
      </c>
      <c r="E23"/>
      <c r="F23"/>
      <c r="H23"/>
    </row>
    <row r="24" spans="2:8" ht="15" x14ac:dyDescent="0.25">
      <c r="B24" s="130" t="s">
        <v>93</v>
      </c>
      <c r="E24"/>
      <c r="F24"/>
      <c r="H24"/>
    </row>
    <row r="25" spans="2:8" ht="15" x14ac:dyDescent="0.25">
      <c r="B25" s="130" t="s">
        <v>94</v>
      </c>
      <c r="C25" s="146"/>
      <c r="E25"/>
      <c r="F25"/>
      <c r="H25"/>
    </row>
    <row r="26" spans="2:8" ht="15" x14ac:dyDescent="0.25">
      <c r="B26" s="130" t="s">
        <v>95</v>
      </c>
      <c r="C26" s="146"/>
      <c r="E26"/>
      <c r="F26"/>
      <c r="H26"/>
    </row>
    <row r="27" spans="2:8" ht="15" x14ac:dyDescent="0.25">
      <c r="E27"/>
      <c r="F27"/>
      <c r="H27"/>
    </row>
    <row r="28" spans="2:8" ht="15" x14ac:dyDescent="0.25">
      <c r="E28"/>
      <c r="F28"/>
      <c r="H28"/>
    </row>
    <row r="29" spans="2:8" ht="15" x14ac:dyDescent="0.25">
      <c r="E29"/>
      <c r="F29"/>
      <c r="H29"/>
    </row>
    <row r="30" spans="2:8" ht="15" x14ac:dyDescent="0.25">
      <c r="E30"/>
      <c r="F30"/>
      <c r="H30"/>
    </row>
    <row r="31" spans="2:8" ht="15" x14ac:dyDescent="0.25">
      <c r="E31"/>
      <c r="F31"/>
      <c r="H31"/>
    </row>
    <row r="32" spans="2:8" ht="15" x14ac:dyDescent="0.25">
      <c r="E32"/>
      <c r="F32"/>
      <c r="H32"/>
    </row>
    <row r="33" spans="5:8" ht="15" x14ac:dyDescent="0.25">
      <c r="E33"/>
      <c r="F33"/>
      <c r="H33"/>
    </row>
    <row r="34" spans="5:8" ht="15" x14ac:dyDescent="0.25">
      <c r="E34"/>
      <c r="F34"/>
      <c r="H34"/>
    </row>
    <row r="35" spans="5:8" ht="15" x14ac:dyDescent="0.25">
      <c r="E35"/>
      <c r="F35"/>
      <c r="H35"/>
    </row>
    <row r="36" spans="5:8" ht="15" x14ac:dyDescent="0.25">
      <c r="E36"/>
      <c r="F36"/>
      <c r="H36"/>
    </row>
    <row r="37" spans="5:8" ht="15" x14ac:dyDescent="0.25">
      <c r="E37"/>
      <c r="F37"/>
      <c r="H37"/>
    </row>
    <row r="38" spans="5:8" ht="15" x14ac:dyDescent="0.25">
      <c r="E38"/>
      <c r="F38"/>
      <c r="H38"/>
    </row>
    <row r="39" spans="5:8" ht="15" x14ac:dyDescent="0.25">
      <c r="E39"/>
      <c r="F39"/>
      <c r="H39"/>
    </row>
    <row r="40" spans="5:8" ht="15" x14ac:dyDescent="0.25">
      <c r="E40"/>
      <c r="F40"/>
      <c r="H40"/>
    </row>
    <row r="41" spans="5:8" ht="15" x14ac:dyDescent="0.25">
      <c r="E41"/>
      <c r="F41"/>
      <c r="H41"/>
    </row>
    <row r="42" spans="5:8" ht="15" x14ac:dyDescent="0.25">
      <c r="E42"/>
      <c r="F42"/>
      <c r="H42"/>
    </row>
    <row r="43" spans="5:8" ht="15" x14ac:dyDescent="0.25">
      <c r="E43"/>
      <c r="F43"/>
      <c r="H43"/>
    </row>
    <row r="44" spans="5:8" ht="15" x14ac:dyDescent="0.25">
      <c r="E44"/>
      <c r="F44"/>
      <c r="H44"/>
    </row>
    <row r="45" spans="5:8" ht="15" x14ac:dyDescent="0.25">
      <c r="E45"/>
      <c r="F45"/>
      <c r="H45"/>
    </row>
    <row r="46" spans="5:8" ht="15" x14ac:dyDescent="0.25">
      <c r="E46"/>
      <c r="F46"/>
      <c r="H46"/>
    </row>
    <row r="47" spans="5:8" ht="15" x14ac:dyDescent="0.25">
      <c r="E47"/>
      <c r="F47"/>
      <c r="H47"/>
    </row>
    <row r="48" spans="5:8" ht="15" x14ac:dyDescent="0.25">
      <c r="E48"/>
      <c r="F48"/>
      <c r="H48"/>
    </row>
    <row r="49" spans="5:8" ht="15" x14ac:dyDescent="0.25">
      <c r="E49"/>
      <c r="F49"/>
      <c r="H49"/>
    </row>
    <row r="50" spans="5:8" ht="15" x14ac:dyDescent="0.25">
      <c r="E50"/>
      <c r="F50"/>
      <c r="H50"/>
    </row>
    <row r="51" spans="5:8" ht="15" x14ac:dyDescent="0.25">
      <c r="E51"/>
      <c r="F51"/>
      <c r="H51"/>
    </row>
    <row r="52" spans="5:8" ht="15" x14ac:dyDescent="0.25">
      <c r="E52"/>
      <c r="F52"/>
      <c r="H52"/>
    </row>
    <row r="53" spans="5:8" ht="15" x14ac:dyDescent="0.25">
      <c r="E53"/>
      <c r="F53"/>
      <c r="H53"/>
    </row>
    <row r="54" spans="5:8" ht="15" x14ac:dyDescent="0.25">
      <c r="E54"/>
      <c r="F54"/>
      <c r="H54"/>
    </row>
    <row r="55" spans="5:8" ht="15" x14ac:dyDescent="0.25">
      <c r="E55"/>
      <c r="F55"/>
      <c r="H55"/>
    </row>
    <row r="56" spans="5:8" ht="15" x14ac:dyDescent="0.25">
      <c r="E56"/>
      <c r="F56"/>
      <c r="H56"/>
    </row>
    <row r="57" spans="5:8" ht="15" x14ac:dyDescent="0.25">
      <c r="E57"/>
      <c r="F57"/>
      <c r="H57"/>
    </row>
    <row r="58" spans="5:8" ht="15" x14ac:dyDescent="0.25">
      <c r="E58"/>
      <c r="F58"/>
      <c r="H58"/>
    </row>
    <row r="59" spans="5:8" ht="15" x14ac:dyDescent="0.25">
      <c r="E59"/>
      <c r="F59"/>
      <c r="H59"/>
    </row>
    <row r="60" spans="5:8" ht="15" x14ac:dyDescent="0.25">
      <c r="E60"/>
      <c r="F60"/>
      <c r="H60"/>
    </row>
    <row r="61" spans="5:8" ht="15" x14ac:dyDescent="0.25">
      <c r="E61"/>
      <c r="F61"/>
      <c r="H61"/>
    </row>
    <row r="62" spans="5:8" ht="15" x14ac:dyDescent="0.25">
      <c r="E62"/>
      <c r="F62"/>
      <c r="H62"/>
    </row>
    <row r="63" spans="5:8" ht="15" x14ac:dyDescent="0.25">
      <c r="E63"/>
      <c r="F63"/>
      <c r="H63"/>
    </row>
    <row r="64" spans="5:8" ht="15" x14ac:dyDescent="0.25">
      <c r="E64"/>
      <c r="F64"/>
      <c r="H64"/>
    </row>
    <row r="65" spans="5:8" ht="15" x14ac:dyDescent="0.25">
      <c r="E65"/>
      <c r="F65"/>
      <c r="H65"/>
    </row>
    <row r="66" spans="5:8" ht="15" x14ac:dyDescent="0.25">
      <c r="E66"/>
      <c r="F66"/>
      <c r="H66"/>
    </row>
    <row r="67" spans="5:8" ht="15" x14ac:dyDescent="0.25">
      <c r="E67"/>
      <c r="F67"/>
      <c r="H67"/>
    </row>
    <row r="68" spans="5:8" ht="15" x14ac:dyDescent="0.25">
      <c r="E68"/>
      <c r="F68"/>
      <c r="H68"/>
    </row>
    <row r="69" spans="5:8" ht="15" x14ac:dyDescent="0.25">
      <c r="E69"/>
      <c r="F69"/>
      <c r="H69"/>
    </row>
    <row r="70" spans="5:8" ht="15" x14ac:dyDescent="0.25">
      <c r="E70"/>
      <c r="F70"/>
      <c r="H70"/>
    </row>
    <row r="71" spans="5:8" ht="15" x14ac:dyDescent="0.25">
      <c r="E71"/>
      <c r="F71"/>
      <c r="H71"/>
    </row>
    <row r="72" spans="5:8" ht="15" x14ac:dyDescent="0.25">
      <c r="E72"/>
      <c r="F72"/>
      <c r="H72"/>
    </row>
    <row r="73" spans="5:8" ht="15" x14ac:dyDescent="0.25">
      <c r="E73"/>
      <c r="F73"/>
      <c r="H73"/>
    </row>
    <row r="74" spans="5:8" ht="15" x14ac:dyDescent="0.25">
      <c r="E74"/>
      <c r="F74"/>
      <c r="H74"/>
    </row>
    <row r="75" spans="5:8" ht="15" x14ac:dyDescent="0.25">
      <c r="E75"/>
      <c r="F75"/>
      <c r="H75"/>
    </row>
    <row r="76" spans="5:8" ht="15" x14ac:dyDescent="0.25">
      <c r="E76"/>
      <c r="F76"/>
      <c r="H76"/>
    </row>
    <row r="77" spans="5:8" ht="15" x14ac:dyDescent="0.25">
      <c r="E77"/>
      <c r="F77"/>
      <c r="H77"/>
    </row>
    <row r="78" spans="5:8" ht="15" x14ac:dyDescent="0.25">
      <c r="E78"/>
      <c r="F78"/>
      <c r="H78"/>
    </row>
    <row r="79" spans="5:8" ht="15" x14ac:dyDescent="0.25">
      <c r="E79"/>
      <c r="F79"/>
      <c r="H79"/>
    </row>
    <row r="80" spans="5:8" ht="15" x14ac:dyDescent="0.25">
      <c r="E80"/>
      <c r="F80"/>
      <c r="H80"/>
    </row>
    <row r="81" spans="5:8" ht="15" x14ac:dyDescent="0.25">
      <c r="E81"/>
      <c r="F81"/>
      <c r="H81"/>
    </row>
    <row r="82" spans="5:8" ht="15" x14ac:dyDescent="0.25">
      <c r="E82"/>
      <c r="F82"/>
      <c r="H82"/>
    </row>
    <row r="83" spans="5:8" ht="15" x14ac:dyDescent="0.25">
      <c r="E83"/>
      <c r="F83"/>
      <c r="H83"/>
    </row>
    <row r="84" spans="5:8" ht="15" x14ac:dyDescent="0.25">
      <c r="E84"/>
      <c r="F84"/>
      <c r="H84"/>
    </row>
    <row r="85" spans="5:8" ht="15" x14ac:dyDescent="0.25">
      <c r="E85"/>
      <c r="F85"/>
      <c r="H85"/>
    </row>
    <row r="86" spans="5:8" ht="15" x14ac:dyDescent="0.25">
      <c r="E86"/>
      <c r="F86"/>
      <c r="H86"/>
    </row>
    <row r="87" spans="5:8" ht="15" x14ac:dyDescent="0.25">
      <c r="E87"/>
      <c r="F87"/>
      <c r="H87"/>
    </row>
    <row r="88" spans="5:8" ht="15" x14ac:dyDescent="0.25">
      <c r="E88"/>
      <c r="F88"/>
      <c r="H88"/>
    </row>
    <row r="89" spans="5:8" ht="15" x14ac:dyDescent="0.25">
      <c r="E89"/>
      <c r="F89"/>
      <c r="H89"/>
    </row>
    <row r="90" spans="5:8" ht="15" x14ac:dyDescent="0.25">
      <c r="E90"/>
      <c r="F90"/>
      <c r="H90"/>
    </row>
    <row r="91" spans="5:8" ht="15" x14ac:dyDescent="0.25">
      <c r="E91"/>
      <c r="F91"/>
      <c r="H91"/>
    </row>
    <row r="92" spans="5:8" ht="15" x14ac:dyDescent="0.25">
      <c r="E92"/>
      <c r="F92"/>
      <c r="H92"/>
    </row>
    <row r="93" spans="5:8" ht="15" x14ac:dyDescent="0.25">
      <c r="E93"/>
      <c r="F93"/>
      <c r="H93"/>
    </row>
    <row r="94" spans="5:8" ht="15" x14ac:dyDescent="0.25">
      <c r="E94"/>
      <c r="F94"/>
      <c r="H94"/>
    </row>
    <row r="95" spans="5:8" ht="15" x14ac:dyDescent="0.25">
      <c r="E95"/>
      <c r="F95"/>
      <c r="H95"/>
    </row>
    <row r="96" spans="5:8" ht="15" x14ac:dyDescent="0.25">
      <c r="E96"/>
      <c r="F96"/>
      <c r="H96"/>
    </row>
    <row r="97" spans="5:8" ht="15" x14ac:dyDescent="0.25">
      <c r="E97"/>
      <c r="F97"/>
      <c r="H97"/>
    </row>
    <row r="98" spans="5:8" ht="15" x14ac:dyDescent="0.25">
      <c r="E98"/>
      <c r="F98"/>
      <c r="H98"/>
    </row>
    <row r="99" spans="5:8" ht="15" x14ac:dyDescent="0.25">
      <c r="E99"/>
      <c r="F99"/>
      <c r="H99"/>
    </row>
    <row r="100" spans="5:8" ht="15" x14ac:dyDescent="0.25">
      <c r="E100"/>
      <c r="F100"/>
      <c r="H100"/>
    </row>
    <row r="101" spans="5:8" ht="15" x14ac:dyDescent="0.25">
      <c r="E101"/>
      <c r="F101"/>
      <c r="H101"/>
    </row>
    <row r="102" spans="5:8" ht="15" x14ac:dyDescent="0.25">
      <c r="E102"/>
      <c r="F102"/>
      <c r="H102"/>
    </row>
    <row r="103" spans="5:8" ht="15" x14ac:dyDescent="0.25">
      <c r="E103"/>
      <c r="F103"/>
      <c r="H103"/>
    </row>
    <row r="104" spans="5:8" ht="15" x14ac:dyDescent="0.25">
      <c r="E104"/>
      <c r="F104"/>
      <c r="H104"/>
    </row>
    <row r="105" spans="5:8" ht="15" x14ac:dyDescent="0.25">
      <c r="E105"/>
      <c r="F105"/>
      <c r="H105"/>
    </row>
    <row r="106" spans="5:8" ht="15" x14ac:dyDescent="0.25">
      <c r="E106"/>
      <c r="F106"/>
      <c r="H106"/>
    </row>
    <row r="107" spans="5:8" ht="15" x14ac:dyDescent="0.25">
      <c r="E107"/>
      <c r="F107"/>
      <c r="H107"/>
    </row>
    <row r="108" spans="5:8" ht="15" x14ac:dyDescent="0.25">
      <c r="E108"/>
      <c r="F108"/>
      <c r="H108"/>
    </row>
    <row r="109" spans="5:8" ht="15" x14ac:dyDescent="0.25">
      <c r="E109"/>
      <c r="F109"/>
      <c r="H109"/>
    </row>
    <row r="110" spans="5:8" ht="15" x14ac:dyDescent="0.25">
      <c r="E110"/>
      <c r="F110"/>
      <c r="H110"/>
    </row>
    <row r="111" spans="5:8" ht="15" x14ac:dyDescent="0.25">
      <c r="E111"/>
      <c r="F111"/>
      <c r="H111"/>
    </row>
    <row r="112" spans="5:8" ht="15" x14ac:dyDescent="0.25">
      <c r="E112"/>
      <c r="F112"/>
      <c r="H112"/>
    </row>
    <row r="113" spans="5:8" ht="15" x14ac:dyDescent="0.25">
      <c r="E113"/>
      <c r="F113"/>
      <c r="H113"/>
    </row>
    <row r="114" spans="5:8" ht="15" x14ac:dyDescent="0.25">
      <c r="E114"/>
      <c r="F114"/>
      <c r="H114"/>
    </row>
    <row r="115" spans="5:8" ht="15" x14ac:dyDescent="0.25">
      <c r="E115"/>
      <c r="F115"/>
      <c r="H115"/>
    </row>
    <row r="116" spans="5:8" ht="15" x14ac:dyDescent="0.25">
      <c r="E116"/>
      <c r="F116"/>
      <c r="H116"/>
    </row>
    <row r="117" spans="5:8" ht="15" x14ac:dyDescent="0.25">
      <c r="E117"/>
      <c r="F117"/>
      <c r="H117"/>
    </row>
    <row r="118" spans="5:8" ht="15" x14ac:dyDescent="0.25">
      <c r="E118"/>
      <c r="F118"/>
      <c r="H118"/>
    </row>
    <row r="119" spans="5:8" ht="15" x14ac:dyDescent="0.25">
      <c r="E119"/>
      <c r="F119"/>
      <c r="H119"/>
    </row>
    <row r="120" spans="5:8" ht="15" x14ac:dyDescent="0.25">
      <c r="E120"/>
      <c r="F120"/>
      <c r="H120"/>
    </row>
    <row r="121" spans="5:8" ht="15" x14ac:dyDescent="0.25">
      <c r="E121"/>
      <c r="F121"/>
      <c r="H121"/>
    </row>
    <row r="122" spans="5:8" ht="15" x14ac:dyDescent="0.25">
      <c r="E122"/>
      <c r="F122"/>
      <c r="H122"/>
    </row>
    <row r="123" spans="5:8" ht="15" x14ac:dyDescent="0.25">
      <c r="E123"/>
      <c r="F123"/>
      <c r="H123"/>
    </row>
    <row r="124" spans="5:8" ht="15" x14ac:dyDescent="0.25">
      <c r="E124"/>
      <c r="F124"/>
      <c r="H124"/>
    </row>
    <row r="125" spans="5:8" ht="15" x14ac:dyDescent="0.25">
      <c r="E125"/>
      <c r="F125"/>
      <c r="H125"/>
    </row>
    <row r="126" spans="5:8" ht="15" x14ac:dyDescent="0.25">
      <c r="E126"/>
      <c r="F126"/>
      <c r="H126"/>
    </row>
    <row r="127" spans="5:8" ht="15" x14ac:dyDescent="0.25">
      <c r="E127"/>
      <c r="F127"/>
      <c r="H127"/>
    </row>
    <row r="128" spans="5:8" ht="15" x14ac:dyDescent="0.25">
      <c r="E128"/>
      <c r="F128"/>
      <c r="H128"/>
    </row>
    <row r="129" spans="5:8" ht="15" x14ac:dyDescent="0.25">
      <c r="E129"/>
      <c r="F129"/>
      <c r="H129"/>
    </row>
    <row r="130" spans="5:8" ht="15" x14ac:dyDescent="0.25">
      <c r="E130"/>
      <c r="F130"/>
      <c r="H130"/>
    </row>
    <row r="131" spans="5:8" ht="15" x14ac:dyDescent="0.25">
      <c r="E131"/>
      <c r="F131"/>
      <c r="H131"/>
    </row>
    <row r="132" spans="5:8" ht="15" x14ac:dyDescent="0.25">
      <c r="E132"/>
      <c r="F132"/>
      <c r="H132"/>
    </row>
    <row r="133" spans="5:8" ht="15" x14ac:dyDescent="0.25">
      <c r="E133"/>
      <c r="F133"/>
      <c r="H133"/>
    </row>
    <row r="134" spans="5:8" ht="15" x14ac:dyDescent="0.25">
      <c r="E134"/>
      <c r="F134"/>
      <c r="H134"/>
    </row>
    <row r="135" spans="5:8" ht="15" x14ac:dyDescent="0.25">
      <c r="E135"/>
      <c r="F135"/>
      <c r="H135"/>
    </row>
    <row r="136" spans="5:8" ht="15" x14ac:dyDescent="0.25">
      <c r="E136"/>
      <c r="F136"/>
      <c r="H136"/>
    </row>
    <row r="137" spans="5:8" ht="15" x14ac:dyDescent="0.25">
      <c r="E137"/>
      <c r="F137"/>
      <c r="H137"/>
    </row>
    <row r="138" spans="5:8" ht="15" x14ac:dyDescent="0.25">
      <c r="E138"/>
      <c r="F138"/>
      <c r="H138"/>
    </row>
    <row r="139" spans="5:8" ht="15" x14ac:dyDescent="0.25">
      <c r="E139"/>
      <c r="F139"/>
      <c r="H139"/>
    </row>
    <row r="140" spans="5:8" ht="15" x14ac:dyDescent="0.25">
      <c r="E140"/>
      <c r="F140"/>
      <c r="H140"/>
    </row>
    <row r="141" spans="5:8" ht="15" x14ac:dyDescent="0.25">
      <c r="E141"/>
      <c r="F141"/>
      <c r="H141"/>
    </row>
    <row r="142" spans="5:8" ht="15" x14ac:dyDescent="0.25">
      <c r="E142"/>
      <c r="F142"/>
      <c r="H142"/>
    </row>
    <row r="143" spans="5:8" ht="15" x14ac:dyDescent="0.25">
      <c r="E143"/>
      <c r="F143"/>
      <c r="H143"/>
    </row>
    <row r="144" spans="5:8" ht="15" x14ac:dyDescent="0.25">
      <c r="E144"/>
      <c r="F144"/>
      <c r="H144"/>
    </row>
    <row r="145" spans="5:8" ht="15" x14ac:dyDescent="0.25">
      <c r="E145"/>
      <c r="F145"/>
      <c r="H145"/>
    </row>
    <row r="146" spans="5:8" ht="15" x14ac:dyDescent="0.25">
      <c r="E146"/>
      <c r="F146"/>
      <c r="H146"/>
    </row>
    <row r="147" spans="5:8" ht="15" x14ac:dyDescent="0.25">
      <c r="E147"/>
      <c r="F147"/>
      <c r="H147"/>
    </row>
    <row r="148" spans="5:8" ht="15" x14ac:dyDescent="0.25">
      <c r="E148"/>
      <c r="F148"/>
      <c r="H148"/>
    </row>
    <row r="149" spans="5:8" ht="15" x14ac:dyDescent="0.25">
      <c r="E149"/>
      <c r="F149"/>
      <c r="H149"/>
    </row>
    <row r="150" spans="5:8" ht="15" x14ac:dyDescent="0.25">
      <c r="E150"/>
      <c r="F150"/>
      <c r="H150"/>
    </row>
    <row r="151" spans="5:8" ht="15" x14ac:dyDescent="0.25">
      <c r="E151"/>
      <c r="F151"/>
      <c r="H151"/>
    </row>
    <row r="152" spans="5:8" ht="15" x14ac:dyDescent="0.25">
      <c r="E152"/>
      <c r="F152"/>
      <c r="H152"/>
    </row>
    <row r="153" spans="5:8" ht="15" x14ac:dyDescent="0.25">
      <c r="E153"/>
      <c r="F153"/>
      <c r="H153"/>
    </row>
    <row r="154" spans="5:8" ht="15" x14ac:dyDescent="0.25">
      <c r="E154"/>
      <c r="F154"/>
      <c r="H154"/>
    </row>
    <row r="155" spans="5:8" ht="15" x14ac:dyDescent="0.25">
      <c r="E155"/>
      <c r="F155"/>
      <c r="H155"/>
    </row>
    <row r="156" spans="5:8" ht="15" x14ac:dyDescent="0.25">
      <c r="E156"/>
      <c r="F156"/>
      <c r="H156"/>
    </row>
    <row r="157" spans="5:8" ht="15" x14ac:dyDescent="0.25">
      <c r="E157"/>
      <c r="F157"/>
      <c r="H157"/>
    </row>
    <row r="158" spans="5:8" ht="15" x14ac:dyDescent="0.25">
      <c r="E158"/>
      <c r="F158"/>
      <c r="H158"/>
    </row>
    <row r="159" spans="5:8" ht="15" x14ac:dyDescent="0.25">
      <c r="E159"/>
      <c r="F159"/>
      <c r="H159"/>
    </row>
    <row r="160" spans="5:8" ht="15" x14ac:dyDescent="0.25">
      <c r="E160"/>
      <c r="F160"/>
      <c r="H160"/>
    </row>
    <row r="161" spans="5:8" ht="15" x14ac:dyDescent="0.25">
      <c r="E161"/>
      <c r="F161"/>
      <c r="H161"/>
    </row>
    <row r="162" spans="5:8" ht="15" x14ac:dyDescent="0.25">
      <c r="E162"/>
      <c r="F162"/>
      <c r="H162"/>
    </row>
    <row r="163" spans="5:8" ht="15" x14ac:dyDescent="0.25">
      <c r="E163"/>
      <c r="F163"/>
      <c r="H163"/>
    </row>
    <row r="164" spans="5:8" ht="15" x14ac:dyDescent="0.25">
      <c r="E164"/>
      <c r="F164"/>
      <c r="H164"/>
    </row>
    <row r="165" spans="5:8" ht="15" x14ac:dyDescent="0.25">
      <c r="E165"/>
      <c r="F165"/>
      <c r="H165"/>
    </row>
    <row r="166" spans="5:8" ht="15" x14ac:dyDescent="0.25">
      <c r="E166"/>
      <c r="F166"/>
      <c r="H166"/>
    </row>
    <row r="167" spans="5:8" ht="15" x14ac:dyDescent="0.25">
      <c r="E167"/>
      <c r="F167"/>
      <c r="H167"/>
    </row>
    <row r="168" spans="5:8" ht="15" x14ac:dyDescent="0.25">
      <c r="E168"/>
      <c r="F168"/>
      <c r="H168"/>
    </row>
    <row r="169" spans="5:8" ht="15" x14ac:dyDescent="0.25">
      <c r="E169"/>
      <c r="F169"/>
      <c r="H169"/>
    </row>
    <row r="170" spans="5:8" ht="15" x14ac:dyDescent="0.25">
      <c r="E170"/>
      <c r="F170"/>
      <c r="H170"/>
    </row>
    <row r="171" spans="5:8" ht="15" x14ac:dyDescent="0.25">
      <c r="E171"/>
      <c r="F171"/>
      <c r="H171"/>
    </row>
    <row r="172" spans="5:8" ht="15" x14ac:dyDescent="0.25">
      <c r="E172"/>
      <c r="F172"/>
      <c r="H172"/>
    </row>
    <row r="173" spans="5:8" ht="15" x14ac:dyDescent="0.25">
      <c r="E173"/>
      <c r="F173"/>
      <c r="H173"/>
    </row>
    <row r="174" spans="5:8" ht="15" x14ac:dyDescent="0.25">
      <c r="E174"/>
      <c r="F174"/>
      <c r="H174"/>
    </row>
    <row r="175" spans="5:8" ht="15" x14ac:dyDescent="0.25">
      <c r="E175"/>
      <c r="F175"/>
      <c r="H175"/>
    </row>
    <row r="176" spans="5:8" ht="15" x14ac:dyDescent="0.25">
      <c r="E176"/>
      <c r="F176"/>
      <c r="H176"/>
    </row>
    <row r="177" spans="5:8" ht="15" x14ac:dyDescent="0.25">
      <c r="E177"/>
      <c r="F177"/>
      <c r="H177"/>
    </row>
    <row r="178" spans="5:8" ht="15" x14ac:dyDescent="0.25">
      <c r="E178"/>
      <c r="F178"/>
      <c r="H178"/>
    </row>
    <row r="179" spans="5:8" ht="15" x14ac:dyDescent="0.25">
      <c r="E179"/>
      <c r="F179"/>
      <c r="H179"/>
    </row>
    <row r="180" spans="5:8" ht="15" x14ac:dyDescent="0.25">
      <c r="E180"/>
      <c r="F180"/>
      <c r="H180"/>
    </row>
    <row r="181" spans="5:8" ht="15" x14ac:dyDescent="0.25">
      <c r="E181"/>
      <c r="F181"/>
      <c r="H181"/>
    </row>
    <row r="182" spans="5:8" ht="15" x14ac:dyDescent="0.25">
      <c r="E182"/>
      <c r="F182"/>
      <c r="H182"/>
    </row>
    <row r="183" spans="5:8" ht="15" x14ac:dyDescent="0.25">
      <c r="E183"/>
      <c r="F183"/>
      <c r="H183"/>
    </row>
    <row r="184" spans="5:8" ht="15" x14ac:dyDescent="0.25">
      <c r="E184"/>
      <c r="F184"/>
      <c r="H184"/>
    </row>
    <row r="185" spans="5:8" ht="15" x14ac:dyDescent="0.25">
      <c r="E185"/>
      <c r="F185"/>
      <c r="H185"/>
    </row>
    <row r="186" spans="5:8" ht="15" x14ac:dyDescent="0.25">
      <c r="E186"/>
      <c r="F186"/>
      <c r="H186"/>
    </row>
    <row r="187" spans="5:8" ht="15" x14ac:dyDescent="0.25">
      <c r="E187"/>
      <c r="F187"/>
      <c r="H187"/>
    </row>
    <row r="188" spans="5:8" ht="15" x14ac:dyDescent="0.25">
      <c r="E188"/>
      <c r="F188"/>
      <c r="H188"/>
    </row>
    <row r="189" spans="5:8" ht="15" x14ac:dyDescent="0.25">
      <c r="E189"/>
      <c r="F189"/>
      <c r="H189"/>
    </row>
    <row r="190" spans="5:8" ht="15" x14ac:dyDescent="0.25">
      <c r="E190"/>
      <c r="F190"/>
      <c r="H190"/>
    </row>
    <row r="191" spans="5:8" ht="15" x14ac:dyDescent="0.25">
      <c r="E191"/>
      <c r="F191"/>
      <c r="H191"/>
    </row>
    <row r="192" spans="5:8" ht="15" x14ac:dyDescent="0.25">
      <c r="E192"/>
      <c r="F192"/>
      <c r="H192"/>
    </row>
    <row r="193" spans="5:8" ht="15" x14ac:dyDescent="0.25">
      <c r="E193"/>
      <c r="F193"/>
      <c r="H193"/>
    </row>
    <row r="194" spans="5:8" ht="15" x14ac:dyDescent="0.25">
      <c r="E194"/>
      <c r="F194"/>
      <c r="H194"/>
    </row>
    <row r="195" spans="5:8" ht="15" x14ac:dyDescent="0.25">
      <c r="E195"/>
      <c r="F195"/>
      <c r="H195"/>
    </row>
    <row r="196" spans="5:8" ht="15" x14ac:dyDescent="0.25">
      <c r="E196"/>
      <c r="F196"/>
      <c r="H196"/>
    </row>
    <row r="197" spans="5:8" ht="15" x14ac:dyDescent="0.25">
      <c r="E197"/>
      <c r="F197"/>
      <c r="H197"/>
    </row>
    <row r="198" spans="5:8" ht="15" x14ac:dyDescent="0.25">
      <c r="E198"/>
      <c r="F198"/>
      <c r="H198"/>
    </row>
    <row r="199" spans="5:8" ht="15" x14ac:dyDescent="0.25">
      <c r="E199"/>
      <c r="F199"/>
      <c r="H199"/>
    </row>
    <row r="200" spans="5:8" ht="15" x14ac:dyDescent="0.25">
      <c r="E200"/>
      <c r="F200"/>
      <c r="H200"/>
    </row>
    <row r="201" spans="5:8" ht="15" x14ac:dyDescent="0.25">
      <c r="E201"/>
      <c r="F201"/>
      <c r="H201"/>
    </row>
    <row r="202" spans="5:8" ht="15" x14ac:dyDescent="0.25">
      <c r="E202"/>
      <c r="F202"/>
      <c r="H202"/>
    </row>
    <row r="203" spans="5:8" ht="15" x14ac:dyDescent="0.25">
      <c r="E203"/>
      <c r="F203"/>
      <c r="H203"/>
    </row>
    <row r="204" spans="5:8" ht="15" x14ac:dyDescent="0.25">
      <c r="E204"/>
      <c r="F204"/>
      <c r="H204"/>
    </row>
    <row r="205" spans="5:8" ht="15" x14ac:dyDescent="0.25">
      <c r="E205"/>
      <c r="F205"/>
      <c r="H205"/>
    </row>
    <row r="206" spans="5:8" ht="15" x14ac:dyDescent="0.25">
      <c r="E206"/>
      <c r="F206"/>
      <c r="H206"/>
    </row>
    <row r="207" spans="5:8" ht="15" x14ac:dyDescent="0.25">
      <c r="E207"/>
      <c r="F207"/>
      <c r="H207"/>
    </row>
    <row r="208" spans="5:8" ht="15" x14ac:dyDescent="0.25">
      <c r="E208"/>
      <c r="F208"/>
      <c r="H208"/>
    </row>
    <row r="209" spans="5:8" ht="15" x14ac:dyDescent="0.25">
      <c r="E209"/>
      <c r="F209"/>
      <c r="H209"/>
    </row>
    <row r="210" spans="5:8" ht="15" x14ac:dyDescent="0.25">
      <c r="E210"/>
      <c r="F210"/>
      <c r="H210"/>
    </row>
    <row r="211" spans="5:8" ht="15" x14ac:dyDescent="0.25">
      <c r="E211"/>
      <c r="F211"/>
      <c r="H211"/>
    </row>
    <row r="212" spans="5:8" ht="15" x14ac:dyDescent="0.25">
      <c r="E212"/>
      <c r="F212"/>
      <c r="H212"/>
    </row>
    <row r="213" spans="5:8" ht="15" x14ac:dyDescent="0.25">
      <c r="E213"/>
      <c r="F213"/>
      <c r="H213"/>
    </row>
    <row r="214" spans="5:8" ht="15" x14ac:dyDescent="0.25">
      <c r="E214"/>
      <c r="F214"/>
      <c r="H214"/>
    </row>
    <row r="215" spans="5:8" ht="15" x14ac:dyDescent="0.25">
      <c r="E215"/>
      <c r="F215"/>
      <c r="H215"/>
    </row>
    <row r="216" spans="5:8" ht="15" x14ac:dyDescent="0.25">
      <c r="E216"/>
      <c r="F216"/>
      <c r="H216"/>
    </row>
    <row r="217" spans="5:8" ht="15" x14ac:dyDescent="0.25">
      <c r="E217"/>
      <c r="F217"/>
      <c r="H217"/>
    </row>
    <row r="218" spans="5:8" ht="15" x14ac:dyDescent="0.25">
      <c r="E218"/>
      <c r="F218"/>
      <c r="H218"/>
    </row>
    <row r="219" spans="5:8" ht="15" x14ac:dyDescent="0.25">
      <c r="E219"/>
      <c r="F219"/>
      <c r="H219"/>
    </row>
    <row r="220" spans="5:8" ht="15" x14ac:dyDescent="0.25">
      <c r="E220"/>
      <c r="F220"/>
      <c r="H220"/>
    </row>
    <row r="221" spans="5:8" ht="15" x14ac:dyDescent="0.25">
      <c r="E221"/>
      <c r="F221"/>
      <c r="H221"/>
    </row>
    <row r="222" spans="5:8" ht="15" x14ac:dyDescent="0.25">
      <c r="E222"/>
      <c r="F222"/>
      <c r="H222"/>
    </row>
    <row r="223" spans="5:8" ht="15" x14ac:dyDescent="0.25">
      <c r="E223"/>
      <c r="F223"/>
      <c r="H223"/>
    </row>
    <row r="224" spans="5:8" ht="15" x14ac:dyDescent="0.25">
      <c r="E224"/>
      <c r="F224"/>
      <c r="H224"/>
    </row>
    <row r="225" spans="5:8" ht="15" x14ac:dyDescent="0.25">
      <c r="E225"/>
      <c r="F225"/>
      <c r="H225"/>
    </row>
    <row r="226" spans="5:8" ht="15" x14ac:dyDescent="0.25">
      <c r="E226"/>
      <c r="F226"/>
      <c r="H226"/>
    </row>
    <row r="227" spans="5:8" ht="15" x14ac:dyDescent="0.25">
      <c r="E227"/>
      <c r="F227"/>
      <c r="H227"/>
    </row>
    <row r="228" spans="5:8" ht="15" x14ac:dyDescent="0.25">
      <c r="E228"/>
      <c r="F228"/>
      <c r="H228"/>
    </row>
    <row r="229" spans="5:8" ht="15" x14ac:dyDescent="0.25">
      <c r="E229"/>
      <c r="F229"/>
      <c r="H229"/>
    </row>
    <row r="230" spans="5:8" ht="15" x14ac:dyDescent="0.25">
      <c r="E230"/>
      <c r="F230"/>
      <c r="H230"/>
    </row>
    <row r="231" spans="5:8" ht="15" x14ac:dyDescent="0.25">
      <c r="E231"/>
      <c r="F231"/>
      <c r="H231"/>
    </row>
    <row r="232" spans="5:8" ht="15" x14ac:dyDescent="0.25">
      <c r="E232"/>
      <c r="F232"/>
      <c r="H232"/>
    </row>
    <row r="233" spans="5:8" ht="15" x14ac:dyDescent="0.25">
      <c r="E233"/>
      <c r="F233"/>
      <c r="H233"/>
    </row>
    <row r="234" spans="5:8" ht="15" x14ac:dyDescent="0.25">
      <c r="E234"/>
      <c r="F234"/>
      <c r="H234"/>
    </row>
    <row r="235" spans="5:8" ht="15" x14ac:dyDescent="0.25">
      <c r="E235"/>
      <c r="F235"/>
      <c r="H235"/>
    </row>
    <row r="236" spans="5:8" ht="15" x14ac:dyDescent="0.25">
      <c r="E236"/>
      <c r="F236"/>
      <c r="H236"/>
    </row>
    <row r="237" spans="5:8" ht="15" x14ac:dyDescent="0.25">
      <c r="E237"/>
      <c r="F237"/>
      <c r="H237"/>
    </row>
    <row r="238" spans="5:8" ht="15" x14ac:dyDescent="0.25">
      <c r="E238"/>
      <c r="F238"/>
      <c r="H238"/>
    </row>
    <row r="239" spans="5:8" ht="15" x14ac:dyDescent="0.25">
      <c r="E239"/>
      <c r="F239"/>
      <c r="H239"/>
    </row>
    <row r="240" spans="5:8" ht="15" x14ac:dyDescent="0.25">
      <c r="E240"/>
      <c r="F240"/>
      <c r="H240"/>
    </row>
    <row r="241" spans="5:8" ht="15" x14ac:dyDescent="0.25">
      <c r="E241"/>
      <c r="F241"/>
      <c r="H241"/>
    </row>
    <row r="242" spans="5:8" ht="15" x14ac:dyDescent="0.25">
      <c r="E242"/>
      <c r="F242"/>
      <c r="H242"/>
    </row>
    <row r="243" spans="5:8" ht="15" x14ac:dyDescent="0.25">
      <c r="E243"/>
      <c r="F243"/>
      <c r="H243"/>
    </row>
    <row r="244" spans="5:8" ht="15" x14ac:dyDescent="0.25">
      <c r="E244"/>
      <c r="F244"/>
      <c r="H244"/>
    </row>
    <row r="245" spans="5:8" ht="15" x14ac:dyDescent="0.25">
      <c r="E245"/>
      <c r="F245"/>
      <c r="H245"/>
    </row>
    <row r="246" spans="5:8" ht="15" x14ac:dyDescent="0.25">
      <c r="E246"/>
      <c r="F246"/>
      <c r="H246"/>
    </row>
    <row r="247" spans="5:8" ht="15" x14ac:dyDescent="0.25">
      <c r="E247"/>
      <c r="F247"/>
      <c r="H247"/>
    </row>
    <row r="248" spans="5:8" ht="15" x14ac:dyDescent="0.25">
      <c r="E248"/>
      <c r="F248"/>
      <c r="H248"/>
    </row>
    <row r="249" spans="5:8" ht="15" x14ac:dyDescent="0.25">
      <c r="E249"/>
      <c r="F249"/>
      <c r="H249"/>
    </row>
    <row r="250" spans="5:8" ht="15" x14ac:dyDescent="0.25">
      <c r="E250"/>
      <c r="F250"/>
      <c r="H250"/>
    </row>
    <row r="251" spans="5:8" ht="15" x14ac:dyDescent="0.25">
      <c r="E251"/>
      <c r="F251"/>
      <c r="H251"/>
    </row>
    <row r="252" spans="5:8" ht="15" x14ac:dyDescent="0.25">
      <c r="E252"/>
      <c r="F252"/>
      <c r="H252"/>
    </row>
    <row r="253" spans="5:8" ht="15" x14ac:dyDescent="0.25">
      <c r="E253"/>
      <c r="F253"/>
      <c r="H253"/>
    </row>
    <row r="254" spans="5:8" ht="15" x14ac:dyDescent="0.25">
      <c r="E254"/>
      <c r="F254"/>
      <c r="H254"/>
    </row>
    <row r="255" spans="5:8" ht="15" x14ac:dyDescent="0.25">
      <c r="E255"/>
      <c r="F255"/>
      <c r="H255"/>
    </row>
    <row r="256" spans="5:8" ht="15" x14ac:dyDescent="0.25">
      <c r="E256"/>
      <c r="F256"/>
      <c r="H256"/>
    </row>
    <row r="257" spans="5:8" ht="15" x14ac:dyDescent="0.25">
      <c r="E257"/>
      <c r="F257"/>
      <c r="H257"/>
    </row>
    <row r="258" spans="5:8" ht="15" x14ac:dyDescent="0.25">
      <c r="E258"/>
      <c r="F258"/>
      <c r="H258"/>
    </row>
    <row r="259" spans="5:8" ht="15" x14ac:dyDescent="0.25">
      <c r="E259"/>
      <c r="F259"/>
      <c r="H259"/>
    </row>
    <row r="260" spans="5:8" ht="15" x14ac:dyDescent="0.25">
      <c r="E260"/>
      <c r="F260"/>
      <c r="H260"/>
    </row>
    <row r="261" spans="5:8" ht="15" x14ac:dyDescent="0.25">
      <c r="E261"/>
      <c r="F261"/>
      <c r="H261"/>
    </row>
    <row r="262" spans="5:8" ht="15" x14ac:dyDescent="0.25">
      <c r="E262"/>
      <c r="F262"/>
      <c r="H262"/>
    </row>
    <row r="263" spans="5:8" ht="15" x14ac:dyDescent="0.25">
      <c r="E263"/>
      <c r="F263"/>
      <c r="H263"/>
    </row>
    <row r="264" spans="5:8" ht="15" x14ac:dyDescent="0.25">
      <c r="E264"/>
      <c r="F264"/>
      <c r="H264"/>
    </row>
    <row r="265" spans="5:8" ht="15" x14ac:dyDescent="0.25">
      <c r="E265"/>
      <c r="F265"/>
      <c r="H265"/>
    </row>
    <row r="266" spans="5:8" ht="15" x14ac:dyDescent="0.25">
      <c r="E266"/>
      <c r="F266"/>
      <c r="H266"/>
    </row>
    <row r="267" spans="5:8" ht="15" x14ac:dyDescent="0.25">
      <c r="E267"/>
      <c r="F267"/>
      <c r="H267"/>
    </row>
    <row r="268" spans="5:8" ht="15" x14ac:dyDescent="0.25">
      <c r="E268"/>
      <c r="F268"/>
      <c r="H268"/>
    </row>
    <row r="269" spans="5:8" ht="15" x14ac:dyDescent="0.25">
      <c r="E269"/>
      <c r="F269"/>
      <c r="H269"/>
    </row>
    <row r="270" spans="5:8" ht="15" x14ac:dyDescent="0.25">
      <c r="E270"/>
      <c r="F270"/>
      <c r="H270"/>
    </row>
    <row r="271" spans="5:8" ht="15" x14ac:dyDescent="0.25">
      <c r="E271"/>
      <c r="F271"/>
      <c r="H271"/>
    </row>
    <row r="272" spans="5:8" ht="15" x14ac:dyDescent="0.25">
      <c r="E272"/>
      <c r="F272"/>
      <c r="H272"/>
    </row>
    <row r="273" spans="5:8" ht="15" x14ac:dyDescent="0.25">
      <c r="E273"/>
      <c r="F273"/>
      <c r="H273"/>
    </row>
    <row r="274" spans="5:8" ht="15" x14ac:dyDescent="0.25">
      <c r="E274"/>
      <c r="F274"/>
      <c r="H274"/>
    </row>
    <row r="275" spans="5:8" ht="15" x14ac:dyDescent="0.25">
      <c r="E275"/>
      <c r="F275"/>
      <c r="H275"/>
    </row>
    <row r="276" spans="5:8" ht="15" x14ac:dyDescent="0.25">
      <c r="E276"/>
      <c r="F276"/>
      <c r="H276"/>
    </row>
    <row r="277" spans="5:8" ht="15" x14ac:dyDescent="0.25">
      <c r="E277"/>
      <c r="F277"/>
      <c r="H277"/>
    </row>
    <row r="278" spans="5:8" ht="15" x14ac:dyDescent="0.25">
      <c r="E278"/>
      <c r="F278"/>
      <c r="H278"/>
    </row>
    <row r="279" spans="5:8" ht="15" x14ac:dyDescent="0.25">
      <c r="E279"/>
      <c r="F279"/>
      <c r="H279"/>
    </row>
    <row r="280" spans="5:8" ht="15" x14ac:dyDescent="0.25">
      <c r="E280"/>
      <c r="F280"/>
      <c r="H280"/>
    </row>
    <row r="281" spans="5:8" ht="15" x14ac:dyDescent="0.25">
      <c r="E281"/>
      <c r="F281"/>
      <c r="H281"/>
    </row>
    <row r="282" spans="5:8" ht="15" x14ac:dyDescent="0.25">
      <c r="E282"/>
      <c r="F282"/>
      <c r="H282"/>
    </row>
    <row r="283" spans="5:8" ht="15" x14ac:dyDescent="0.25">
      <c r="E283"/>
      <c r="F283"/>
      <c r="H283"/>
    </row>
    <row r="284" spans="5:8" ht="15" x14ac:dyDescent="0.25">
      <c r="E284"/>
      <c r="F284"/>
      <c r="H284"/>
    </row>
    <row r="285" spans="5:8" ht="15" x14ac:dyDescent="0.25">
      <c r="E285"/>
      <c r="F285"/>
      <c r="H285"/>
    </row>
    <row r="286" spans="5:8" ht="15" x14ac:dyDescent="0.25">
      <c r="E286"/>
      <c r="F286"/>
      <c r="H286"/>
    </row>
    <row r="287" spans="5:8" ht="15" x14ac:dyDescent="0.25">
      <c r="E287"/>
      <c r="F287"/>
      <c r="H287"/>
    </row>
    <row r="288" spans="5:8" ht="15" x14ac:dyDescent="0.25">
      <c r="E288"/>
      <c r="F288"/>
      <c r="H288"/>
    </row>
    <row r="289" spans="5:8" ht="15" x14ac:dyDescent="0.25">
      <c r="E289"/>
      <c r="F289"/>
      <c r="H289"/>
    </row>
    <row r="290" spans="5:8" ht="15" x14ac:dyDescent="0.25">
      <c r="E290"/>
      <c r="F290"/>
      <c r="H290"/>
    </row>
    <row r="291" spans="5:8" ht="15" x14ac:dyDescent="0.25">
      <c r="E291"/>
      <c r="F291"/>
      <c r="H291"/>
    </row>
    <row r="292" spans="5:8" ht="15" x14ac:dyDescent="0.25">
      <c r="E292"/>
      <c r="F292"/>
      <c r="H292"/>
    </row>
    <row r="293" spans="5:8" ht="15" x14ac:dyDescent="0.25">
      <c r="E293"/>
      <c r="F293"/>
      <c r="H293"/>
    </row>
    <row r="294" spans="5:8" ht="15" x14ac:dyDescent="0.25">
      <c r="E294"/>
      <c r="F294"/>
      <c r="H294"/>
    </row>
    <row r="295" spans="5:8" ht="15" x14ac:dyDescent="0.25">
      <c r="E295"/>
      <c r="F295"/>
      <c r="H295"/>
    </row>
    <row r="296" spans="5:8" ht="15" x14ac:dyDescent="0.25">
      <c r="E296"/>
      <c r="F296"/>
      <c r="H296"/>
    </row>
    <row r="297" spans="5:8" ht="15" x14ac:dyDescent="0.25">
      <c r="E297"/>
      <c r="F297"/>
      <c r="H297"/>
    </row>
    <row r="298" spans="5:8" ht="15" x14ac:dyDescent="0.25">
      <c r="E298"/>
      <c r="F298"/>
      <c r="H298"/>
    </row>
    <row r="299" spans="5:8" ht="15" x14ac:dyDescent="0.25">
      <c r="E299"/>
      <c r="F299"/>
      <c r="H299"/>
    </row>
    <row r="300" spans="5:8" ht="15" x14ac:dyDescent="0.25">
      <c r="E300"/>
      <c r="F300"/>
      <c r="H300"/>
    </row>
    <row r="301" spans="5:8" ht="15" x14ac:dyDescent="0.25">
      <c r="E301"/>
      <c r="F301"/>
      <c r="H301"/>
    </row>
    <row r="302" spans="5:8" ht="15" x14ac:dyDescent="0.25">
      <c r="E302"/>
      <c r="F302"/>
      <c r="H302"/>
    </row>
    <row r="303" spans="5:8" ht="15" x14ac:dyDescent="0.25">
      <c r="E303"/>
      <c r="F303"/>
      <c r="H303"/>
    </row>
    <row r="304" spans="5:8" ht="15" x14ac:dyDescent="0.25">
      <c r="E304"/>
      <c r="F304"/>
      <c r="H304"/>
    </row>
    <row r="305" spans="5:8" ht="15" x14ac:dyDescent="0.25">
      <c r="E305"/>
      <c r="F305"/>
      <c r="H305"/>
    </row>
    <row r="306" spans="5:8" ht="15" x14ac:dyDescent="0.25">
      <c r="E306"/>
      <c r="F306"/>
      <c r="H306"/>
    </row>
    <row r="307" spans="5:8" ht="15" x14ac:dyDescent="0.25">
      <c r="E307"/>
      <c r="F307"/>
      <c r="H307"/>
    </row>
    <row r="308" spans="5:8" ht="15" x14ac:dyDescent="0.25">
      <c r="E308"/>
      <c r="F308"/>
      <c r="H308"/>
    </row>
    <row r="309" spans="5:8" ht="15" x14ac:dyDescent="0.25">
      <c r="E309"/>
      <c r="F309"/>
      <c r="H309"/>
    </row>
    <row r="310" spans="5:8" ht="15" x14ac:dyDescent="0.25">
      <c r="E310"/>
      <c r="F310"/>
      <c r="H310"/>
    </row>
    <row r="311" spans="5:8" ht="15" x14ac:dyDescent="0.25">
      <c r="E311"/>
      <c r="F311"/>
      <c r="H311"/>
    </row>
    <row r="312" spans="5:8" ht="15" x14ac:dyDescent="0.25">
      <c r="E312"/>
      <c r="F312"/>
      <c r="H312"/>
    </row>
    <row r="313" spans="5:8" ht="15" x14ac:dyDescent="0.25">
      <c r="E313"/>
      <c r="F313"/>
      <c r="H313"/>
    </row>
    <row r="314" spans="5:8" ht="15" x14ac:dyDescent="0.25">
      <c r="E314"/>
      <c r="F314"/>
      <c r="H314"/>
    </row>
    <row r="315" spans="5:8" ht="15" x14ac:dyDescent="0.25">
      <c r="E315"/>
      <c r="F315"/>
      <c r="H315"/>
    </row>
    <row r="316" spans="5:8" ht="15" x14ac:dyDescent="0.25">
      <c r="E316"/>
      <c r="F316"/>
      <c r="H316"/>
    </row>
    <row r="317" spans="5:8" ht="15" x14ac:dyDescent="0.25">
      <c r="E317"/>
      <c r="F317"/>
      <c r="H317"/>
    </row>
    <row r="318" spans="5:8" ht="15" x14ac:dyDescent="0.25">
      <c r="E318"/>
      <c r="F318"/>
      <c r="H318"/>
    </row>
    <row r="319" spans="5:8" ht="15" x14ac:dyDescent="0.25">
      <c r="E319"/>
      <c r="F319"/>
      <c r="H319"/>
    </row>
    <row r="320" spans="5:8" ht="15" x14ac:dyDescent="0.25">
      <c r="E320"/>
      <c r="F320"/>
      <c r="H320"/>
    </row>
    <row r="321" spans="5:8" ht="15" x14ac:dyDescent="0.25">
      <c r="E321"/>
      <c r="F321"/>
      <c r="H321"/>
    </row>
    <row r="322" spans="5:8" ht="15" x14ac:dyDescent="0.25">
      <c r="E322"/>
      <c r="F322"/>
      <c r="H322"/>
    </row>
    <row r="323" spans="5:8" ht="15" x14ac:dyDescent="0.25">
      <c r="E323"/>
      <c r="F323"/>
      <c r="H323"/>
    </row>
    <row r="324" spans="5:8" ht="15" x14ac:dyDescent="0.25">
      <c r="E324"/>
      <c r="F324"/>
      <c r="H324"/>
    </row>
    <row r="325" spans="5:8" ht="15" x14ac:dyDescent="0.25">
      <c r="E325"/>
      <c r="F325"/>
      <c r="H325"/>
    </row>
    <row r="326" spans="5:8" ht="15" x14ac:dyDescent="0.25">
      <c r="E326"/>
      <c r="F326"/>
      <c r="H326"/>
    </row>
    <row r="327" spans="5:8" ht="15" x14ac:dyDescent="0.25">
      <c r="E327"/>
      <c r="F327"/>
      <c r="H327"/>
    </row>
    <row r="328" spans="5:8" ht="15" x14ac:dyDescent="0.25">
      <c r="E328"/>
      <c r="F328"/>
      <c r="H328"/>
    </row>
    <row r="329" spans="5:8" ht="15" x14ac:dyDescent="0.25">
      <c r="E329"/>
      <c r="F329"/>
      <c r="H329"/>
    </row>
    <row r="330" spans="5:8" ht="15" x14ac:dyDescent="0.25">
      <c r="E330"/>
      <c r="F330"/>
      <c r="H330"/>
    </row>
    <row r="331" spans="5:8" ht="15" x14ac:dyDescent="0.25">
      <c r="E331"/>
      <c r="F331"/>
      <c r="H331"/>
    </row>
    <row r="332" spans="5:8" ht="15" x14ac:dyDescent="0.25">
      <c r="E332"/>
      <c r="F332"/>
      <c r="H332"/>
    </row>
    <row r="333" spans="5:8" ht="15" x14ac:dyDescent="0.25">
      <c r="E333"/>
      <c r="F333"/>
      <c r="H333"/>
    </row>
    <row r="334" spans="5:8" ht="15" x14ac:dyDescent="0.25">
      <c r="E334"/>
      <c r="F334"/>
      <c r="H334"/>
    </row>
    <row r="335" spans="5:8" ht="15" x14ac:dyDescent="0.25">
      <c r="E335"/>
      <c r="F335"/>
      <c r="H335"/>
    </row>
    <row r="336" spans="5:8" ht="15" x14ac:dyDescent="0.25">
      <c r="E336"/>
      <c r="F336"/>
      <c r="H336"/>
    </row>
    <row r="337" spans="5:8" ht="15" x14ac:dyDescent="0.25">
      <c r="E337"/>
      <c r="F337"/>
      <c r="H337"/>
    </row>
    <row r="338" spans="5:8" ht="15" x14ac:dyDescent="0.25">
      <c r="E338"/>
      <c r="F338"/>
      <c r="H338"/>
    </row>
    <row r="339" spans="5:8" ht="15" x14ac:dyDescent="0.25">
      <c r="E339"/>
      <c r="F339"/>
      <c r="H339"/>
    </row>
    <row r="340" spans="5:8" ht="15" x14ac:dyDescent="0.25">
      <c r="E340"/>
      <c r="F340"/>
      <c r="H340"/>
    </row>
    <row r="341" spans="5:8" ht="15" x14ac:dyDescent="0.25">
      <c r="E341"/>
      <c r="F341"/>
      <c r="H341"/>
    </row>
    <row r="342" spans="5:8" ht="15" x14ac:dyDescent="0.25">
      <c r="E342"/>
      <c r="F342"/>
      <c r="H342"/>
    </row>
    <row r="343" spans="5:8" ht="15" x14ac:dyDescent="0.25">
      <c r="E343"/>
      <c r="F343"/>
      <c r="H343"/>
    </row>
    <row r="344" spans="5:8" ht="15" x14ac:dyDescent="0.25">
      <c r="E344"/>
      <c r="F344"/>
      <c r="H344"/>
    </row>
    <row r="345" spans="5:8" ht="15" x14ac:dyDescent="0.25">
      <c r="E345"/>
      <c r="F345"/>
      <c r="H345"/>
    </row>
    <row r="346" spans="5:8" ht="15" x14ac:dyDescent="0.25">
      <c r="E346"/>
      <c r="F346"/>
      <c r="H346"/>
    </row>
    <row r="347" spans="5:8" ht="15" x14ac:dyDescent="0.25">
      <c r="E347"/>
      <c r="F347"/>
      <c r="H347"/>
    </row>
    <row r="348" spans="5:8" ht="15" x14ac:dyDescent="0.25">
      <c r="E348"/>
      <c r="F348"/>
      <c r="H348"/>
    </row>
    <row r="349" spans="5:8" ht="15" x14ac:dyDescent="0.25">
      <c r="E349"/>
      <c r="F349"/>
      <c r="H349"/>
    </row>
    <row r="350" spans="5:8" ht="15" x14ac:dyDescent="0.25">
      <c r="E350"/>
      <c r="F350"/>
      <c r="H350"/>
    </row>
    <row r="351" spans="5:8" ht="15" x14ac:dyDescent="0.25">
      <c r="E351"/>
      <c r="F351"/>
      <c r="H351"/>
    </row>
    <row r="352" spans="5:8" ht="15" x14ac:dyDescent="0.25">
      <c r="E352"/>
      <c r="F352"/>
      <c r="H352"/>
    </row>
    <row r="353" spans="5:8" ht="15" x14ac:dyDescent="0.25">
      <c r="E353"/>
      <c r="F353"/>
      <c r="H353"/>
    </row>
    <row r="354" spans="5:8" ht="15" x14ac:dyDescent="0.25">
      <c r="E354"/>
      <c r="F354"/>
      <c r="H354"/>
    </row>
    <row r="355" spans="5:8" ht="15" x14ac:dyDescent="0.25">
      <c r="E355"/>
      <c r="F355"/>
      <c r="H355"/>
    </row>
    <row r="356" spans="5:8" ht="15" x14ac:dyDescent="0.25">
      <c r="E356"/>
      <c r="F356"/>
      <c r="H356"/>
    </row>
    <row r="357" spans="5:8" ht="15" x14ac:dyDescent="0.25">
      <c r="E357"/>
      <c r="F357"/>
      <c r="H357"/>
    </row>
    <row r="358" spans="5:8" ht="15" x14ac:dyDescent="0.25">
      <c r="E358"/>
      <c r="F358"/>
      <c r="H358"/>
    </row>
    <row r="359" spans="5:8" ht="15" x14ac:dyDescent="0.25">
      <c r="E359"/>
      <c r="F359"/>
      <c r="H359"/>
    </row>
    <row r="360" spans="5:8" ht="15" x14ac:dyDescent="0.25">
      <c r="E360"/>
      <c r="F360"/>
      <c r="H360"/>
    </row>
    <row r="361" spans="5:8" ht="15" x14ac:dyDescent="0.25">
      <c r="E361"/>
      <c r="F361"/>
      <c r="H361"/>
    </row>
    <row r="362" spans="5:8" ht="15" x14ac:dyDescent="0.25">
      <c r="E362"/>
      <c r="F362"/>
      <c r="H362"/>
    </row>
    <row r="363" spans="5:8" ht="15" x14ac:dyDescent="0.25">
      <c r="E363"/>
      <c r="F363"/>
      <c r="H363"/>
    </row>
    <row r="364" spans="5:8" ht="15" x14ac:dyDescent="0.25">
      <c r="E364"/>
      <c r="F364"/>
      <c r="H364"/>
    </row>
    <row r="365" spans="5:8" ht="15" x14ac:dyDescent="0.25">
      <c r="E365"/>
      <c r="F365"/>
      <c r="H365"/>
    </row>
    <row r="366" spans="5:8" ht="15" x14ac:dyDescent="0.25">
      <c r="E366"/>
      <c r="F366"/>
      <c r="H366"/>
    </row>
    <row r="367" spans="5:8" ht="15" x14ac:dyDescent="0.25">
      <c r="E367"/>
      <c r="F367"/>
      <c r="H367"/>
    </row>
    <row r="368" spans="5:8" ht="15" x14ac:dyDescent="0.25">
      <c r="E368"/>
      <c r="F368"/>
      <c r="H368"/>
    </row>
    <row r="369" spans="5:8" ht="15" x14ac:dyDescent="0.25">
      <c r="E369"/>
      <c r="F369"/>
      <c r="H369"/>
    </row>
    <row r="370" spans="5:8" ht="15" x14ac:dyDescent="0.25">
      <c r="E370"/>
      <c r="F370"/>
      <c r="H370"/>
    </row>
    <row r="371" spans="5:8" ht="15" x14ac:dyDescent="0.25">
      <c r="E371"/>
      <c r="F371"/>
      <c r="H371"/>
    </row>
    <row r="372" spans="5:8" ht="15" x14ac:dyDescent="0.25">
      <c r="E372"/>
      <c r="F372"/>
      <c r="H372"/>
    </row>
    <row r="373" spans="5:8" ht="15" x14ac:dyDescent="0.25">
      <c r="E373"/>
      <c r="F373"/>
      <c r="H373"/>
    </row>
    <row r="374" spans="5:8" ht="15" x14ac:dyDescent="0.25">
      <c r="E374"/>
      <c r="F374"/>
      <c r="H374"/>
    </row>
    <row r="375" spans="5:8" ht="15" x14ac:dyDescent="0.25">
      <c r="E375"/>
      <c r="F375"/>
      <c r="H375"/>
    </row>
    <row r="376" spans="5:8" ht="15" x14ac:dyDescent="0.25">
      <c r="E376"/>
      <c r="F376"/>
      <c r="H376"/>
    </row>
    <row r="377" spans="5:8" ht="15" x14ac:dyDescent="0.25">
      <c r="E377"/>
      <c r="F377"/>
      <c r="H377"/>
    </row>
    <row r="378" spans="5:8" ht="15" x14ac:dyDescent="0.25">
      <c r="E378"/>
      <c r="F378"/>
      <c r="H378"/>
    </row>
    <row r="379" spans="5:8" ht="15" x14ac:dyDescent="0.25">
      <c r="E379"/>
      <c r="F379"/>
      <c r="H379"/>
    </row>
    <row r="380" spans="5:8" ht="15" x14ac:dyDescent="0.25">
      <c r="E380"/>
      <c r="F380"/>
      <c r="H380"/>
    </row>
    <row r="381" spans="5:8" ht="15" x14ac:dyDescent="0.25">
      <c r="E381"/>
      <c r="F381"/>
      <c r="H381"/>
    </row>
    <row r="382" spans="5:8" ht="15" x14ac:dyDescent="0.25">
      <c r="E382"/>
      <c r="F382"/>
      <c r="H382"/>
    </row>
    <row r="383" spans="5:8" ht="15" x14ac:dyDescent="0.25">
      <c r="E383"/>
      <c r="F383"/>
      <c r="H383"/>
    </row>
    <row r="384" spans="5:8" ht="15" x14ac:dyDescent="0.25">
      <c r="E384"/>
      <c r="F384"/>
      <c r="H384"/>
    </row>
    <row r="385" spans="5:8" ht="15" x14ac:dyDescent="0.25">
      <c r="E385"/>
      <c r="F385"/>
      <c r="H385"/>
    </row>
    <row r="386" spans="5:8" ht="15" x14ac:dyDescent="0.25">
      <c r="E386"/>
      <c r="F386"/>
      <c r="H386"/>
    </row>
    <row r="387" spans="5:8" ht="15" x14ac:dyDescent="0.25">
      <c r="E387"/>
      <c r="F387"/>
      <c r="H387"/>
    </row>
    <row r="388" spans="5:8" ht="15" x14ac:dyDescent="0.25">
      <c r="E388"/>
      <c r="F388"/>
      <c r="H388"/>
    </row>
    <row r="389" spans="5:8" ht="15" x14ac:dyDescent="0.25">
      <c r="E389"/>
      <c r="F389"/>
      <c r="H389"/>
    </row>
    <row r="390" spans="5:8" ht="15" x14ac:dyDescent="0.25">
      <c r="E390"/>
      <c r="F390"/>
      <c r="H390"/>
    </row>
    <row r="391" spans="5:8" ht="15" x14ac:dyDescent="0.25">
      <c r="E391"/>
      <c r="F391"/>
      <c r="H391"/>
    </row>
    <row r="392" spans="5:8" ht="15" x14ac:dyDescent="0.25">
      <c r="E392"/>
      <c r="F392"/>
      <c r="H392"/>
    </row>
    <row r="393" spans="5:8" ht="15" x14ac:dyDescent="0.25">
      <c r="E393"/>
      <c r="F393"/>
      <c r="H393"/>
    </row>
    <row r="394" spans="5:8" ht="15" x14ac:dyDescent="0.25">
      <c r="E394"/>
      <c r="F394"/>
      <c r="H394"/>
    </row>
    <row r="395" spans="5:8" ht="15" x14ac:dyDescent="0.25">
      <c r="E395"/>
      <c r="F395"/>
      <c r="H395"/>
    </row>
    <row r="396" spans="5:8" ht="15" x14ac:dyDescent="0.25">
      <c r="E396"/>
      <c r="F396"/>
      <c r="H396"/>
    </row>
    <row r="397" spans="5:8" ht="15" x14ac:dyDescent="0.25">
      <c r="E397"/>
      <c r="F397"/>
      <c r="H397"/>
    </row>
    <row r="398" spans="5:8" ht="15" x14ac:dyDescent="0.25">
      <c r="E398"/>
      <c r="F398"/>
      <c r="H398"/>
    </row>
    <row r="399" spans="5:8" ht="15" x14ac:dyDescent="0.25">
      <c r="E399"/>
      <c r="F399"/>
      <c r="H399"/>
    </row>
    <row r="400" spans="5:8" ht="15" x14ac:dyDescent="0.25">
      <c r="E400"/>
      <c r="F400"/>
      <c r="H400"/>
    </row>
    <row r="401" spans="5:8" ht="15" x14ac:dyDescent="0.25">
      <c r="E401"/>
      <c r="F401"/>
      <c r="H401"/>
    </row>
    <row r="402" spans="5:8" ht="15" x14ac:dyDescent="0.25">
      <c r="E402"/>
      <c r="F402"/>
      <c r="H402"/>
    </row>
    <row r="403" spans="5:8" ht="15" x14ac:dyDescent="0.25">
      <c r="E403"/>
      <c r="F403"/>
      <c r="H403"/>
    </row>
    <row r="404" spans="5:8" ht="15" x14ac:dyDescent="0.25">
      <c r="E404"/>
      <c r="F404"/>
      <c r="H404"/>
    </row>
    <row r="405" spans="5:8" ht="15" x14ac:dyDescent="0.25">
      <c r="E405"/>
      <c r="F405"/>
      <c r="H405"/>
    </row>
    <row r="406" spans="5:8" ht="15" x14ac:dyDescent="0.25">
      <c r="E406"/>
      <c r="F406"/>
      <c r="H406"/>
    </row>
    <row r="407" spans="5:8" ht="15" x14ac:dyDescent="0.25">
      <c r="E407"/>
      <c r="F407"/>
      <c r="H407"/>
    </row>
    <row r="408" spans="5:8" ht="15" x14ac:dyDescent="0.25">
      <c r="E408"/>
      <c r="F408"/>
      <c r="H408"/>
    </row>
    <row r="409" spans="5:8" ht="15" x14ac:dyDescent="0.25">
      <c r="E409"/>
      <c r="F409"/>
      <c r="H409"/>
    </row>
    <row r="410" spans="5:8" ht="15" x14ac:dyDescent="0.25">
      <c r="E410"/>
      <c r="F410"/>
      <c r="H410"/>
    </row>
    <row r="411" spans="5:8" ht="15" x14ac:dyDescent="0.25">
      <c r="E411"/>
      <c r="F411"/>
      <c r="H411"/>
    </row>
    <row r="412" spans="5:8" ht="15" x14ac:dyDescent="0.25">
      <c r="E412"/>
      <c r="F412"/>
      <c r="H412"/>
    </row>
    <row r="413" spans="5:8" ht="15" x14ac:dyDescent="0.25">
      <c r="E413"/>
      <c r="F413"/>
      <c r="H413"/>
    </row>
    <row r="414" spans="5:8" ht="15" x14ac:dyDescent="0.25">
      <c r="E414"/>
      <c r="F414"/>
      <c r="H414"/>
    </row>
    <row r="415" spans="5:8" ht="15" x14ac:dyDescent="0.25">
      <c r="E415"/>
      <c r="F415"/>
      <c r="H415"/>
    </row>
    <row r="416" spans="5:8" ht="15" x14ac:dyDescent="0.25">
      <c r="E416"/>
      <c r="F416"/>
      <c r="H416"/>
    </row>
    <row r="417" spans="5:8" ht="15" x14ac:dyDescent="0.25">
      <c r="E417"/>
      <c r="F417"/>
      <c r="H417"/>
    </row>
    <row r="418" spans="5:8" ht="15" x14ac:dyDescent="0.25">
      <c r="E418"/>
      <c r="F418"/>
      <c r="H418"/>
    </row>
    <row r="419" spans="5:8" ht="15" x14ac:dyDescent="0.25">
      <c r="E419"/>
      <c r="F419"/>
      <c r="H419"/>
    </row>
    <row r="420" spans="5:8" ht="15" x14ac:dyDescent="0.25">
      <c r="E420"/>
      <c r="F420"/>
      <c r="H420"/>
    </row>
    <row r="421" spans="5:8" ht="15" x14ac:dyDescent="0.25">
      <c r="E421"/>
      <c r="F421"/>
      <c r="H421"/>
    </row>
    <row r="422" spans="5:8" ht="15" x14ac:dyDescent="0.25">
      <c r="E422"/>
      <c r="F422"/>
      <c r="H422"/>
    </row>
    <row r="423" spans="5:8" ht="15" x14ac:dyDescent="0.25">
      <c r="E423"/>
      <c r="F423"/>
      <c r="H423"/>
    </row>
    <row r="424" spans="5:8" ht="15" x14ac:dyDescent="0.25">
      <c r="E424"/>
      <c r="F424"/>
      <c r="H424"/>
    </row>
    <row r="425" spans="5:8" ht="15" x14ac:dyDescent="0.25">
      <c r="E425"/>
      <c r="F425"/>
      <c r="H425"/>
    </row>
    <row r="426" spans="5:8" ht="15" x14ac:dyDescent="0.25">
      <c r="E426"/>
      <c r="F426"/>
      <c r="H426"/>
    </row>
    <row r="427" spans="5:8" ht="15" x14ac:dyDescent="0.25">
      <c r="E427"/>
      <c r="F427"/>
      <c r="H427"/>
    </row>
    <row r="428" spans="5:8" ht="15" x14ac:dyDescent="0.25">
      <c r="E428"/>
      <c r="F428"/>
      <c r="H428"/>
    </row>
    <row r="429" spans="5:8" ht="15" x14ac:dyDescent="0.25">
      <c r="E429"/>
      <c r="F429"/>
      <c r="H429"/>
    </row>
    <row r="430" spans="5:8" ht="15" x14ac:dyDescent="0.25">
      <c r="E430"/>
      <c r="F430"/>
      <c r="H430"/>
    </row>
    <row r="431" spans="5:8" ht="15" x14ac:dyDescent="0.25">
      <c r="E431"/>
      <c r="F431"/>
      <c r="H431"/>
    </row>
    <row r="432" spans="5:8" ht="15" x14ac:dyDescent="0.25">
      <c r="E432"/>
      <c r="F432"/>
      <c r="H432"/>
    </row>
    <row r="433" spans="5:8" ht="15" x14ac:dyDescent="0.25">
      <c r="E433"/>
      <c r="F433"/>
      <c r="H433"/>
    </row>
    <row r="434" spans="5:8" ht="15" x14ac:dyDescent="0.25">
      <c r="E434"/>
      <c r="F434"/>
      <c r="H434"/>
    </row>
    <row r="435" spans="5:8" ht="15" x14ac:dyDescent="0.25">
      <c r="E435"/>
      <c r="F435"/>
      <c r="H435"/>
    </row>
    <row r="436" spans="5:8" ht="15" x14ac:dyDescent="0.25">
      <c r="E436"/>
      <c r="F436"/>
      <c r="H436"/>
    </row>
    <row r="437" spans="5:8" ht="15" x14ac:dyDescent="0.25">
      <c r="E437"/>
      <c r="F437"/>
      <c r="H437"/>
    </row>
    <row r="438" spans="5:8" ht="15" x14ac:dyDescent="0.25">
      <c r="E438"/>
      <c r="F438"/>
      <c r="H438"/>
    </row>
    <row r="439" spans="5:8" ht="15" x14ac:dyDescent="0.25">
      <c r="E439"/>
      <c r="F439"/>
      <c r="H439"/>
    </row>
    <row r="440" spans="5:8" ht="15" x14ac:dyDescent="0.25">
      <c r="E440"/>
      <c r="F440"/>
      <c r="H440"/>
    </row>
    <row r="441" spans="5:8" ht="15" x14ac:dyDescent="0.25">
      <c r="E441"/>
      <c r="F441"/>
      <c r="H441"/>
    </row>
    <row r="442" spans="5:8" ht="15" x14ac:dyDescent="0.25">
      <c r="E442"/>
      <c r="F442"/>
      <c r="H442"/>
    </row>
    <row r="443" spans="5:8" ht="15" x14ac:dyDescent="0.25">
      <c r="E443"/>
      <c r="F443"/>
      <c r="H443"/>
    </row>
    <row r="444" spans="5:8" ht="15" x14ac:dyDescent="0.25">
      <c r="E444"/>
      <c r="F444"/>
      <c r="H444"/>
    </row>
    <row r="445" spans="5:8" ht="15" x14ac:dyDescent="0.25">
      <c r="E445"/>
      <c r="F445"/>
      <c r="H445"/>
    </row>
    <row r="446" spans="5:8" ht="15" x14ac:dyDescent="0.25">
      <c r="E446"/>
      <c r="F446"/>
      <c r="H446"/>
    </row>
    <row r="447" spans="5:8" ht="15" x14ac:dyDescent="0.25">
      <c r="E447"/>
      <c r="F447"/>
      <c r="H447"/>
    </row>
    <row r="448" spans="5:8" ht="15" x14ac:dyDescent="0.25">
      <c r="E448"/>
      <c r="F448"/>
      <c r="H448"/>
    </row>
    <row r="449" spans="5:8" ht="15" x14ac:dyDescent="0.25">
      <c r="E449"/>
      <c r="F449"/>
      <c r="H449"/>
    </row>
    <row r="450" spans="5:8" ht="15" x14ac:dyDescent="0.25">
      <c r="E450"/>
      <c r="F450"/>
      <c r="H450"/>
    </row>
    <row r="451" spans="5:8" ht="15" x14ac:dyDescent="0.25">
      <c r="E451"/>
      <c r="F451"/>
      <c r="H451"/>
    </row>
    <row r="452" spans="5:8" ht="15" x14ac:dyDescent="0.25">
      <c r="E452"/>
      <c r="F452"/>
      <c r="H452"/>
    </row>
    <row r="453" spans="5:8" ht="15" x14ac:dyDescent="0.25">
      <c r="E453"/>
      <c r="F453"/>
      <c r="H453"/>
    </row>
    <row r="454" spans="5:8" ht="15" x14ac:dyDescent="0.25">
      <c r="E454"/>
      <c r="F454"/>
      <c r="H454"/>
    </row>
    <row r="455" spans="5:8" ht="15" x14ac:dyDescent="0.25">
      <c r="E455"/>
      <c r="H455"/>
    </row>
    <row r="456" spans="5:8" ht="15" x14ac:dyDescent="0.25">
      <c r="E456"/>
      <c r="H456"/>
    </row>
    <row r="457" spans="5:8" ht="15" x14ac:dyDescent="0.25">
      <c r="E457"/>
      <c r="H457"/>
    </row>
    <row r="458" spans="5:8" ht="15" x14ac:dyDescent="0.25">
      <c r="E458"/>
      <c r="H458"/>
    </row>
    <row r="459" spans="5:8" ht="15" x14ac:dyDescent="0.25">
      <c r="E459"/>
      <c r="H459"/>
    </row>
    <row r="460" spans="5:8" ht="15" x14ac:dyDescent="0.25">
      <c r="E460"/>
      <c r="H460"/>
    </row>
    <row r="461" spans="5:8" ht="15" x14ac:dyDescent="0.25">
      <c r="E461"/>
      <c r="H461"/>
    </row>
    <row r="462" spans="5:8" ht="15" x14ac:dyDescent="0.25">
      <c r="E462"/>
      <c r="H462"/>
    </row>
    <row r="463" spans="5:8" ht="15" x14ac:dyDescent="0.25">
      <c r="E463"/>
      <c r="H463"/>
    </row>
    <row r="464" spans="5:8" ht="15" x14ac:dyDescent="0.25">
      <c r="E464"/>
      <c r="H464"/>
    </row>
    <row r="465" spans="5:8" ht="15" x14ac:dyDescent="0.25">
      <c r="E465"/>
      <c r="H465"/>
    </row>
    <row r="466" spans="5:8" ht="15" x14ac:dyDescent="0.25">
      <c r="E466"/>
      <c r="H466"/>
    </row>
    <row r="467" spans="5:8" ht="15" x14ac:dyDescent="0.25">
      <c r="E467"/>
      <c r="H467"/>
    </row>
    <row r="468" spans="5:8" ht="15" x14ac:dyDescent="0.25">
      <c r="E468"/>
      <c r="H468"/>
    </row>
    <row r="469" spans="5:8" ht="15" x14ac:dyDescent="0.25">
      <c r="E469"/>
      <c r="H469"/>
    </row>
    <row r="470" spans="5:8" ht="15" x14ac:dyDescent="0.25">
      <c r="E470"/>
      <c r="H470"/>
    </row>
    <row r="471" spans="5:8" ht="15" x14ac:dyDescent="0.25">
      <c r="E471"/>
      <c r="H471"/>
    </row>
    <row r="472" spans="5:8" ht="15" x14ac:dyDescent="0.25">
      <c r="E472"/>
      <c r="H472"/>
    </row>
    <row r="473" spans="5:8" ht="15" x14ac:dyDescent="0.25">
      <c r="E473"/>
      <c r="H473"/>
    </row>
    <row r="474" spans="5:8" ht="15" x14ac:dyDescent="0.25">
      <c r="E474"/>
      <c r="H474"/>
    </row>
    <row r="475" spans="5:8" ht="15" x14ac:dyDescent="0.25">
      <c r="E475"/>
      <c r="H475"/>
    </row>
    <row r="476" spans="5:8" ht="15" x14ac:dyDescent="0.25">
      <c r="E476"/>
      <c r="H476"/>
    </row>
    <row r="477" spans="5:8" ht="15" x14ac:dyDescent="0.25">
      <c r="E477"/>
      <c r="H477"/>
    </row>
    <row r="478" spans="5:8" ht="15" x14ac:dyDescent="0.25">
      <c r="E478"/>
      <c r="H478"/>
    </row>
    <row r="479" spans="5:8" ht="15" x14ac:dyDescent="0.25">
      <c r="E479"/>
      <c r="H479"/>
    </row>
    <row r="480" spans="5:8" ht="15" x14ac:dyDescent="0.25">
      <c r="E480"/>
      <c r="H480"/>
    </row>
    <row r="481" spans="5:8" ht="15" x14ac:dyDescent="0.25">
      <c r="E481"/>
      <c r="H481"/>
    </row>
    <row r="482" spans="5:8" ht="15" x14ac:dyDescent="0.25">
      <c r="E482"/>
      <c r="H482"/>
    </row>
    <row r="483" spans="5:8" ht="15" x14ac:dyDescent="0.25">
      <c r="E483"/>
      <c r="H483"/>
    </row>
    <row r="484" spans="5:8" ht="15" x14ac:dyDescent="0.25">
      <c r="E484"/>
      <c r="H484"/>
    </row>
    <row r="485" spans="5:8" ht="15" x14ac:dyDescent="0.25">
      <c r="E485"/>
      <c r="H485"/>
    </row>
    <row r="486" spans="5:8" ht="15" x14ac:dyDescent="0.25">
      <c r="E486"/>
      <c r="H486"/>
    </row>
    <row r="487" spans="5:8" ht="15" x14ac:dyDescent="0.25">
      <c r="E487"/>
      <c r="H487"/>
    </row>
    <row r="488" spans="5:8" ht="15" x14ac:dyDescent="0.25">
      <c r="E488"/>
      <c r="H488"/>
    </row>
    <row r="489" spans="5:8" ht="15" x14ac:dyDescent="0.25">
      <c r="E489"/>
      <c r="H489"/>
    </row>
    <row r="490" spans="5:8" ht="15" x14ac:dyDescent="0.25">
      <c r="E490"/>
      <c r="H490"/>
    </row>
    <row r="491" spans="5:8" ht="15" x14ac:dyDescent="0.25">
      <c r="E491"/>
      <c r="H491"/>
    </row>
    <row r="492" spans="5:8" ht="15" x14ac:dyDescent="0.25">
      <c r="E492"/>
      <c r="H492"/>
    </row>
    <row r="493" spans="5:8" ht="15" x14ac:dyDescent="0.25">
      <c r="E493"/>
      <c r="H493"/>
    </row>
    <row r="494" spans="5:8" ht="15" x14ac:dyDescent="0.25">
      <c r="E494"/>
      <c r="H494"/>
    </row>
    <row r="495" spans="5:8" ht="15" x14ac:dyDescent="0.25">
      <c r="E495"/>
      <c r="H495"/>
    </row>
    <row r="496" spans="5:8" ht="15" x14ac:dyDescent="0.25">
      <c r="E496"/>
      <c r="H496"/>
    </row>
    <row r="497" spans="5:8" ht="15" x14ac:dyDescent="0.25">
      <c r="E497"/>
      <c r="H497"/>
    </row>
    <row r="498" spans="5:8" ht="15" x14ac:dyDescent="0.25">
      <c r="E498"/>
      <c r="H498"/>
    </row>
    <row r="499" spans="5:8" ht="15" x14ac:dyDescent="0.25">
      <c r="E499"/>
      <c r="H499"/>
    </row>
    <row r="500" spans="5:8" ht="15" x14ac:dyDescent="0.25">
      <c r="E500"/>
      <c r="H500"/>
    </row>
    <row r="501" spans="5:8" ht="15" x14ac:dyDescent="0.25">
      <c r="E501"/>
      <c r="H501"/>
    </row>
    <row r="502" spans="5:8" ht="15" x14ac:dyDescent="0.25">
      <c r="E502"/>
      <c r="H502"/>
    </row>
    <row r="503" spans="5:8" ht="15" x14ac:dyDescent="0.25">
      <c r="E503"/>
      <c r="H503"/>
    </row>
    <row r="504" spans="5:8" ht="15" x14ac:dyDescent="0.25">
      <c r="E504"/>
      <c r="H504"/>
    </row>
    <row r="505" spans="5:8" ht="15" x14ac:dyDescent="0.25">
      <c r="E505"/>
      <c r="H505"/>
    </row>
    <row r="506" spans="5:8" ht="15" x14ac:dyDescent="0.25">
      <c r="E506"/>
      <c r="H506"/>
    </row>
    <row r="507" spans="5:8" ht="15" x14ac:dyDescent="0.25">
      <c r="E507"/>
      <c r="H507"/>
    </row>
    <row r="508" spans="5:8" ht="15" x14ac:dyDescent="0.25">
      <c r="E508"/>
      <c r="H508"/>
    </row>
    <row r="509" spans="5:8" ht="15" x14ac:dyDescent="0.25">
      <c r="E509"/>
      <c r="H509"/>
    </row>
    <row r="510" spans="5:8" ht="15" x14ac:dyDescent="0.25">
      <c r="E510"/>
      <c r="H510"/>
    </row>
    <row r="511" spans="5:8" ht="15" x14ac:dyDescent="0.25">
      <c r="E511"/>
      <c r="H511"/>
    </row>
    <row r="512" spans="5:8" ht="15" x14ac:dyDescent="0.25">
      <c r="E512"/>
      <c r="H512"/>
    </row>
    <row r="513" spans="5:8" ht="15" x14ac:dyDescent="0.25">
      <c r="E513"/>
      <c r="H513"/>
    </row>
    <row r="514" spans="5:8" ht="15" x14ac:dyDescent="0.25">
      <c r="E514"/>
      <c r="H514"/>
    </row>
    <row r="515" spans="5:8" ht="15" x14ac:dyDescent="0.25">
      <c r="E515"/>
      <c r="H515"/>
    </row>
    <row r="516" spans="5:8" ht="15" x14ac:dyDescent="0.25">
      <c r="E516"/>
      <c r="H516"/>
    </row>
    <row r="517" spans="5:8" ht="15" x14ac:dyDescent="0.25">
      <c r="E517"/>
      <c r="H517"/>
    </row>
    <row r="518" spans="5:8" ht="15" x14ac:dyDescent="0.25">
      <c r="E518"/>
      <c r="H518"/>
    </row>
    <row r="519" spans="5:8" ht="15" x14ac:dyDescent="0.25">
      <c r="E519"/>
      <c r="H519"/>
    </row>
    <row r="520" spans="5:8" ht="15" x14ac:dyDescent="0.25">
      <c r="E520"/>
      <c r="H520"/>
    </row>
    <row r="521" spans="5:8" ht="15" x14ac:dyDescent="0.25">
      <c r="E521"/>
      <c r="H521"/>
    </row>
    <row r="522" spans="5:8" ht="15" x14ac:dyDescent="0.25">
      <c r="E522"/>
      <c r="H522"/>
    </row>
    <row r="523" spans="5:8" ht="15" x14ac:dyDescent="0.25">
      <c r="E523"/>
      <c r="H523"/>
    </row>
    <row r="524" spans="5:8" ht="15" x14ac:dyDescent="0.25">
      <c r="E524"/>
      <c r="H524"/>
    </row>
    <row r="525" spans="5:8" ht="15" x14ac:dyDescent="0.25">
      <c r="E525"/>
      <c r="H525"/>
    </row>
    <row r="526" spans="5:8" ht="15" x14ac:dyDescent="0.25">
      <c r="E526"/>
      <c r="H526"/>
    </row>
    <row r="527" spans="5:8" ht="15" x14ac:dyDescent="0.25">
      <c r="E527"/>
      <c r="H527"/>
    </row>
    <row r="528" spans="5:8" ht="15" x14ac:dyDescent="0.25">
      <c r="E528"/>
      <c r="H528"/>
    </row>
    <row r="529" spans="5:8" ht="15" x14ac:dyDescent="0.25">
      <c r="E529"/>
      <c r="H529"/>
    </row>
    <row r="530" spans="5:8" ht="15" x14ac:dyDescent="0.25">
      <c r="E530"/>
      <c r="H530"/>
    </row>
    <row r="531" spans="5:8" ht="15" x14ac:dyDescent="0.25">
      <c r="E531"/>
      <c r="H531"/>
    </row>
    <row r="532" spans="5:8" ht="15" x14ac:dyDescent="0.25">
      <c r="E532"/>
      <c r="H532"/>
    </row>
    <row r="533" spans="5:8" ht="15" x14ac:dyDescent="0.25">
      <c r="E533"/>
      <c r="H533"/>
    </row>
    <row r="534" spans="5:8" ht="15" x14ac:dyDescent="0.25">
      <c r="E534"/>
      <c r="H534"/>
    </row>
    <row r="535" spans="5:8" ht="15" x14ac:dyDescent="0.25">
      <c r="E535"/>
      <c r="H535"/>
    </row>
    <row r="536" spans="5:8" ht="15" x14ac:dyDescent="0.25">
      <c r="E536"/>
      <c r="H536"/>
    </row>
    <row r="537" spans="5:8" ht="15" x14ac:dyDescent="0.25">
      <c r="E537"/>
      <c r="H537"/>
    </row>
    <row r="538" spans="5:8" ht="15" x14ac:dyDescent="0.25">
      <c r="E538"/>
      <c r="H538"/>
    </row>
    <row r="539" spans="5:8" ht="15" x14ac:dyDescent="0.25">
      <c r="E539"/>
      <c r="H539"/>
    </row>
    <row r="540" spans="5:8" ht="15" x14ac:dyDescent="0.25">
      <c r="E540"/>
      <c r="H540"/>
    </row>
    <row r="541" spans="5:8" ht="15" x14ac:dyDescent="0.25">
      <c r="E541"/>
      <c r="H541"/>
    </row>
    <row r="542" spans="5:8" ht="15" x14ac:dyDescent="0.25">
      <c r="E542"/>
      <c r="H542"/>
    </row>
    <row r="543" spans="5:8" ht="15" x14ac:dyDescent="0.25">
      <c r="E543"/>
      <c r="H543"/>
    </row>
    <row r="544" spans="5:8" ht="15" x14ac:dyDescent="0.25">
      <c r="E544"/>
      <c r="H544"/>
    </row>
    <row r="545" spans="5:8" ht="15" x14ac:dyDescent="0.25">
      <c r="E545"/>
      <c r="H545"/>
    </row>
    <row r="546" spans="5:8" ht="15" x14ac:dyDescent="0.25">
      <c r="E546"/>
      <c r="H546"/>
    </row>
    <row r="547" spans="5:8" ht="15" x14ac:dyDescent="0.25">
      <c r="E547"/>
      <c r="H547"/>
    </row>
    <row r="548" spans="5:8" ht="15" x14ac:dyDescent="0.25">
      <c r="E548"/>
      <c r="H548"/>
    </row>
    <row r="549" spans="5:8" ht="15" x14ac:dyDescent="0.25">
      <c r="E549"/>
      <c r="H549"/>
    </row>
    <row r="550" spans="5:8" ht="15" x14ac:dyDescent="0.25">
      <c r="E550"/>
      <c r="H550"/>
    </row>
    <row r="551" spans="5:8" ht="15" x14ac:dyDescent="0.25">
      <c r="E551"/>
      <c r="H551"/>
    </row>
    <row r="552" spans="5:8" ht="15" x14ac:dyDescent="0.25">
      <c r="E552"/>
      <c r="H552"/>
    </row>
    <row r="553" spans="5:8" ht="15" x14ac:dyDescent="0.25">
      <c r="E553"/>
      <c r="H553"/>
    </row>
    <row r="554" spans="5:8" ht="15" x14ac:dyDescent="0.25">
      <c r="E554"/>
      <c r="H554"/>
    </row>
    <row r="555" spans="5:8" ht="15" x14ac:dyDescent="0.25">
      <c r="E555"/>
      <c r="H555"/>
    </row>
    <row r="556" spans="5:8" ht="15" x14ac:dyDescent="0.25">
      <c r="E556"/>
      <c r="H556"/>
    </row>
    <row r="557" spans="5:8" ht="15" x14ac:dyDescent="0.25">
      <c r="E557"/>
      <c r="H557"/>
    </row>
    <row r="558" spans="5:8" ht="15" x14ac:dyDescent="0.25">
      <c r="E558"/>
      <c r="H558"/>
    </row>
    <row r="559" spans="5:8" ht="15" x14ac:dyDescent="0.25">
      <c r="E559"/>
      <c r="H559"/>
    </row>
    <row r="560" spans="5:8" ht="15" x14ac:dyDescent="0.25">
      <c r="E560"/>
      <c r="H560"/>
    </row>
    <row r="561" spans="5:8" ht="15" x14ac:dyDescent="0.25">
      <c r="E561"/>
      <c r="H561"/>
    </row>
    <row r="562" spans="5:8" ht="15" x14ac:dyDescent="0.25">
      <c r="E562"/>
      <c r="H562"/>
    </row>
    <row r="563" spans="5:8" ht="15" x14ac:dyDescent="0.25">
      <c r="E563"/>
      <c r="H563"/>
    </row>
    <row r="564" spans="5:8" ht="15" x14ac:dyDescent="0.25">
      <c r="E564"/>
      <c r="H564"/>
    </row>
    <row r="565" spans="5:8" ht="15" x14ac:dyDescent="0.25">
      <c r="E565"/>
      <c r="H565"/>
    </row>
    <row r="566" spans="5:8" ht="15" x14ac:dyDescent="0.25">
      <c r="E566"/>
      <c r="H566"/>
    </row>
    <row r="567" spans="5:8" ht="15" x14ac:dyDescent="0.25">
      <c r="E567"/>
      <c r="H567"/>
    </row>
    <row r="568" spans="5:8" ht="15" x14ac:dyDescent="0.25">
      <c r="E568"/>
      <c r="H568"/>
    </row>
    <row r="569" spans="5:8" ht="15" x14ac:dyDescent="0.25">
      <c r="E569"/>
      <c r="H569"/>
    </row>
    <row r="570" spans="5:8" ht="15" x14ac:dyDescent="0.25">
      <c r="E570"/>
      <c r="H570"/>
    </row>
    <row r="571" spans="5:8" ht="15" x14ac:dyDescent="0.25">
      <c r="E571"/>
      <c r="H571"/>
    </row>
    <row r="572" spans="5:8" ht="15" x14ac:dyDescent="0.25">
      <c r="E572"/>
      <c r="H572"/>
    </row>
    <row r="573" spans="5:8" ht="15" x14ac:dyDescent="0.25">
      <c r="E573"/>
      <c r="H573"/>
    </row>
    <row r="574" spans="5:8" ht="15" x14ac:dyDescent="0.25">
      <c r="E574"/>
      <c r="H574"/>
    </row>
    <row r="575" spans="5:8" ht="15" x14ac:dyDescent="0.25">
      <c r="E575"/>
      <c r="H575"/>
    </row>
    <row r="576" spans="5:8" ht="15" x14ac:dyDescent="0.25">
      <c r="E576"/>
      <c r="H576"/>
    </row>
    <row r="577" spans="5:8" ht="15" x14ac:dyDescent="0.25">
      <c r="E577"/>
      <c r="H577"/>
    </row>
    <row r="578" spans="5:8" ht="15" x14ac:dyDescent="0.25">
      <c r="E578"/>
      <c r="H578"/>
    </row>
    <row r="579" spans="5:8" ht="15" x14ac:dyDescent="0.25">
      <c r="E579"/>
      <c r="H579"/>
    </row>
    <row r="580" spans="5:8" ht="15" x14ac:dyDescent="0.25">
      <c r="E580"/>
      <c r="H580"/>
    </row>
    <row r="581" spans="5:8" ht="15" x14ac:dyDescent="0.25">
      <c r="E581"/>
      <c r="H581"/>
    </row>
    <row r="582" spans="5:8" ht="15" x14ac:dyDescent="0.25">
      <c r="E582"/>
      <c r="H582"/>
    </row>
    <row r="583" spans="5:8" ht="15" x14ac:dyDescent="0.25">
      <c r="E583"/>
      <c r="H583"/>
    </row>
    <row r="584" spans="5:8" ht="15" x14ac:dyDescent="0.25">
      <c r="E584"/>
      <c r="H584"/>
    </row>
    <row r="585" spans="5:8" ht="15" x14ac:dyDescent="0.25">
      <c r="E585"/>
      <c r="H585"/>
    </row>
    <row r="586" spans="5:8" ht="15" x14ac:dyDescent="0.25">
      <c r="E586"/>
      <c r="H586"/>
    </row>
    <row r="587" spans="5:8" ht="15" x14ac:dyDescent="0.25">
      <c r="E587"/>
      <c r="H587"/>
    </row>
    <row r="588" spans="5:8" ht="15" x14ac:dyDescent="0.25">
      <c r="E588"/>
      <c r="H588"/>
    </row>
    <row r="589" spans="5:8" ht="15" x14ac:dyDescent="0.25">
      <c r="E589"/>
      <c r="H589"/>
    </row>
    <row r="590" spans="5:8" ht="15" x14ac:dyDescent="0.25">
      <c r="E590"/>
      <c r="H590"/>
    </row>
    <row r="591" spans="5:8" ht="15" x14ac:dyDescent="0.25">
      <c r="E591"/>
      <c r="H591"/>
    </row>
    <row r="592" spans="5:8" ht="15" x14ac:dyDescent="0.25">
      <c r="E592"/>
      <c r="H592"/>
    </row>
    <row r="593" spans="5:8" ht="15" x14ac:dyDescent="0.25">
      <c r="E593"/>
      <c r="H593"/>
    </row>
    <row r="594" spans="5:8" ht="15" x14ac:dyDescent="0.25">
      <c r="E594"/>
      <c r="H594"/>
    </row>
    <row r="595" spans="5:8" ht="15" x14ac:dyDescent="0.25">
      <c r="E595"/>
      <c r="H595"/>
    </row>
    <row r="596" spans="5:8" ht="15" x14ac:dyDescent="0.25">
      <c r="E596"/>
      <c r="H596"/>
    </row>
    <row r="597" spans="5:8" ht="15" x14ac:dyDescent="0.25">
      <c r="E597"/>
      <c r="H597"/>
    </row>
    <row r="598" spans="5:8" ht="15" x14ac:dyDescent="0.25">
      <c r="E598"/>
      <c r="H598"/>
    </row>
    <row r="599" spans="5:8" ht="15" x14ac:dyDescent="0.25">
      <c r="E599"/>
      <c r="H599"/>
    </row>
    <row r="600" spans="5:8" ht="15" x14ac:dyDescent="0.25">
      <c r="E600"/>
      <c r="H600"/>
    </row>
    <row r="601" spans="5:8" ht="15" x14ac:dyDescent="0.25">
      <c r="E601"/>
      <c r="H601"/>
    </row>
    <row r="602" spans="5:8" ht="15" x14ac:dyDescent="0.25">
      <c r="E602"/>
      <c r="H602"/>
    </row>
    <row r="603" spans="5:8" ht="15" x14ac:dyDescent="0.25">
      <c r="E603"/>
      <c r="H603"/>
    </row>
    <row r="604" spans="5:8" ht="15" x14ac:dyDescent="0.25">
      <c r="E604"/>
      <c r="H604"/>
    </row>
    <row r="605" spans="5:8" ht="15" x14ac:dyDescent="0.25">
      <c r="E605"/>
      <c r="H605"/>
    </row>
    <row r="606" spans="5:8" ht="15" x14ac:dyDescent="0.25">
      <c r="E606"/>
      <c r="H606"/>
    </row>
    <row r="607" spans="5:8" ht="15" x14ac:dyDescent="0.25">
      <c r="E607"/>
      <c r="H607"/>
    </row>
    <row r="608" spans="5:8" ht="15" x14ac:dyDescent="0.25">
      <c r="E608"/>
      <c r="H608"/>
    </row>
    <row r="609" spans="5:8" ht="15" x14ac:dyDescent="0.25">
      <c r="E609"/>
      <c r="H609"/>
    </row>
    <row r="610" spans="5:8" ht="15" x14ac:dyDescent="0.25">
      <c r="E610"/>
      <c r="H610"/>
    </row>
    <row r="611" spans="5:8" ht="15" x14ac:dyDescent="0.25">
      <c r="E611"/>
      <c r="H611"/>
    </row>
    <row r="612" spans="5:8" ht="15" x14ac:dyDescent="0.25">
      <c r="E612"/>
      <c r="H612"/>
    </row>
    <row r="613" spans="5:8" ht="15" x14ac:dyDescent="0.25">
      <c r="E613"/>
      <c r="H613"/>
    </row>
    <row r="614" spans="5:8" ht="15" x14ac:dyDescent="0.25">
      <c r="E614"/>
      <c r="H614"/>
    </row>
    <row r="615" spans="5:8" ht="15" x14ac:dyDescent="0.25">
      <c r="E615"/>
      <c r="H615"/>
    </row>
    <row r="616" spans="5:8" ht="15" x14ac:dyDescent="0.25">
      <c r="E616"/>
      <c r="H616"/>
    </row>
    <row r="617" spans="5:8" ht="15" x14ac:dyDescent="0.25">
      <c r="E617"/>
      <c r="H617"/>
    </row>
    <row r="618" spans="5:8" ht="15" x14ac:dyDescent="0.25">
      <c r="E618"/>
      <c r="H618"/>
    </row>
    <row r="619" spans="5:8" ht="15" x14ac:dyDescent="0.25">
      <c r="E619"/>
      <c r="H619"/>
    </row>
    <row r="620" spans="5:8" ht="15" x14ac:dyDescent="0.25">
      <c r="E620"/>
      <c r="H620"/>
    </row>
    <row r="621" spans="5:8" ht="15" x14ac:dyDescent="0.25">
      <c r="E621"/>
      <c r="H621"/>
    </row>
    <row r="622" spans="5:8" ht="15" x14ac:dyDescent="0.25">
      <c r="E622"/>
      <c r="H622"/>
    </row>
    <row r="623" spans="5:8" ht="15" x14ac:dyDescent="0.25">
      <c r="E623"/>
      <c r="H623"/>
    </row>
    <row r="624" spans="5:8" ht="15" x14ac:dyDescent="0.25">
      <c r="E624"/>
      <c r="H624"/>
    </row>
    <row r="625" spans="5:8" ht="15" x14ac:dyDescent="0.25">
      <c r="E625"/>
      <c r="H625"/>
    </row>
    <row r="626" spans="5:8" ht="15" x14ac:dyDescent="0.25">
      <c r="E626"/>
      <c r="H626"/>
    </row>
    <row r="627" spans="5:8" ht="15" x14ac:dyDescent="0.25">
      <c r="E627"/>
      <c r="H627"/>
    </row>
    <row r="628" spans="5:8" ht="15" x14ac:dyDescent="0.25">
      <c r="E628"/>
      <c r="H628"/>
    </row>
    <row r="629" spans="5:8" ht="15" x14ac:dyDescent="0.25">
      <c r="E629"/>
      <c r="H629"/>
    </row>
    <row r="630" spans="5:8" ht="15" x14ac:dyDescent="0.25">
      <c r="E630"/>
      <c r="H630"/>
    </row>
    <row r="631" spans="5:8" ht="15" x14ac:dyDescent="0.25">
      <c r="E631"/>
      <c r="H631"/>
    </row>
    <row r="632" spans="5:8" ht="15" x14ac:dyDescent="0.25">
      <c r="E632"/>
      <c r="H632"/>
    </row>
    <row r="633" spans="5:8" ht="15" x14ac:dyDescent="0.25">
      <c r="E633"/>
      <c r="H633"/>
    </row>
    <row r="634" spans="5:8" ht="15" x14ac:dyDescent="0.25">
      <c r="E634"/>
      <c r="H634"/>
    </row>
    <row r="635" spans="5:8" ht="15" x14ac:dyDescent="0.25">
      <c r="E635"/>
      <c r="H635"/>
    </row>
    <row r="636" spans="5:8" ht="15" x14ac:dyDescent="0.25">
      <c r="E636"/>
      <c r="H636"/>
    </row>
    <row r="637" spans="5:8" ht="15" x14ac:dyDescent="0.25">
      <c r="E637"/>
      <c r="H637"/>
    </row>
    <row r="638" spans="5:8" ht="15" x14ac:dyDescent="0.25">
      <c r="E638"/>
      <c r="H638"/>
    </row>
    <row r="639" spans="5:8" ht="15" x14ac:dyDescent="0.25">
      <c r="E639"/>
      <c r="H639"/>
    </row>
    <row r="640" spans="5:8" ht="15" x14ac:dyDescent="0.25">
      <c r="E640"/>
      <c r="H640"/>
    </row>
    <row r="641" spans="5:8" ht="15" x14ac:dyDescent="0.25">
      <c r="E641"/>
      <c r="H641"/>
    </row>
    <row r="642" spans="5:8" ht="15" x14ac:dyDescent="0.25">
      <c r="E642"/>
      <c r="H642"/>
    </row>
    <row r="643" spans="5:8" ht="15" x14ac:dyDescent="0.25">
      <c r="E643"/>
      <c r="H643"/>
    </row>
    <row r="644" spans="5:8" ht="15" x14ac:dyDescent="0.25">
      <c r="E644"/>
      <c r="H644"/>
    </row>
    <row r="645" spans="5:8" ht="15" x14ac:dyDescent="0.25">
      <c r="E645"/>
      <c r="H645"/>
    </row>
    <row r="646" spans="5:8" ht="15" x14ac:dyDescent="0.25">
      <c r="E646"/>
      <c r="H646"/>
    </row>
    <row r="647" spans="5:8" ht="15" x14ac:dyDescent="0.25">
      <c r="E647"/>
      <c r="H647"/>
    </row>
    <row r="648" spans="5:8" ht="15" x14ac:dyDescent="0.25">
      <c r="E648"/>
      <c r="H648"/>
    </row>
    <row r="649" spans="5:8" ht="15" x14ac:dyDescent="0.25">
      <c r="E649"/>
      <c r="H649"/>
    </row>
    <row r="650" spans="5:8" ht="15" x14ac:dyDescent="0.25">
      <c r="E650"/>
      <c r="H650"/>
    </row>
    <row r="651" spans="5:8" ht="15" x14ac:dyDescent="0.25">
      <c r="E651"/>
      <c r="H651"/>
    </row>
    <row r="652" spans="5:8" ht="15" x14ac:dyDescent="0.25">
      <c r="E652"/>
      <c r="H652"/>
    </row>
    <row r="653" spans="5:8" ht="15" x14ac:dyDescent="0.25">
      <c r="E653"/>
      <c r="H653"/>
    </row>
    <row r="654" spans="5:8" ht="15" x14ac:dyDescent="0.25">
      <c r="E654"/>
      <c r="H654"/>
    </row>
    <row r="655" spans="5:8" ht="15" x14ac:dyDescent="0.25">
      <c r="E655"/>
      <c r="H655"/>
    </row>
    <row r="656" spans="5:8" ht="15" x14ac:dyDescent="0.25">
      <c r="E656"/>
      <c r="H656"/>
    </row>
    <row r="657" spans="5:8" ht="15" x14ac:dyDescent="0.25">
      <c r="E657"/>
      <c r="H657"/>
    </row>
    <row r="658" spans="5:8" ht="15" x14ac:dyDescent="0.25">
      <c r="E658"/>
      <c r="H658"/>
    </row>
    <row r="659" spans="5:8" ht="15" x14ac:dyDescent="0.25">
      <c r="E659"/>
      <c r="H659"/>
    </row>
    <row r="660" spans="5:8" ht="15" x14ac:dyDescent="0.25">
      <c r="E660"/>
      <c r="H660"/>
    </row>
    <row r="661" spans="5:8" ht="15" x14ac:dyDescent="0.25">
      <c r="E661"/>
      <c r="H661"/>
    </row>
    <row r="662" spans="5:8" ht="15" x14ac:dyDescent="0.25">
      <c r="E662"/>
      <c r="H662"/>
    </row>
    <row r="663" spans="5:8" ht="15" x14ac:dyDescent="0.25">
      <c r="E663"/>
      <c r="H663"/>
    </row>
    <row r="664" spans="5:8" ht="15" x14ac:dyDescent="0.25">
      <c r="E664"/>
      <c r="H664"/>
    </row>
    <row r="665" spans="5:8" ht="15" x14ac:dyDescent="0.25">
      <c r="E665"/>
      <c r="H665"/>
    </row>
    <row r="666" spans="5:8" ht="15" x14ac:dyDescent="0.25">
      <c r="E666"/>
      <c r="H666"/>
    </row>
    <row r="667" spans="5:8" ht="15" x14ac:dyDescent="0.25">
      <c r="E667"/>
      <c r="H667"/>
    </row>
    <row r="668" spans="5:8" ht="15" x14ac:dyDescent="0.25">
      <c r="E668"/>
      <c r="H668"/>
    </row>
    <row r="669" spans="5:8" ht="15" x14ac:dyDescent="0.25">
      <c r="E669"/>
      <c r="H669"/>
    </row>
    <row r="670" spans="5:8" ht="15" x14ac:dyDescent="0.25">
      <c r="E670"/>
      <c r="H670"/>
    </row>
    <row r="671" spans="5:8" ht="15" x14ac:dyDescent="0.25">
      <c r="E671"/>
      <c r="H671"/>
    </row>
    <row r="672" spans="5:8" ht="15" x14ac:dyDescent="0.25">
      <c r="E672"/>
      <c r="H672"/>
    </row>
    <row r="673" spans="5:8" ht="15" x14ac:dyDescent="0.25">
      <c r="E673"/>
      <c r="H673"/>
    </row>
    <row r="674" spans="5:8" ht="15" x14ac:dyDescent="0.25">
      <c r="E674"/>
      <c r="H674"/>
    </row>
    <row r="675" spans="5:8" ht="15" x14ac:dyDescent="0.25">
      <c r="E675"/>
      <c r="H675"/>
    </row>
    <row r="676" spans="5:8" ht="15" x14ac:dyDescent="0.25">
      <c r="E676"/>
      <c r="H676"/>
    </row>
    <row r="677" spans="5:8" ht="15" x14ac:dyDescent="0.25">
      <c r="E677"/>
      <c r="H677"/>
    </row>
    <row r="678" spans="5:8" ht="15" x14ac:dyDescent="0.25">
      <c r="E678"/>
      <c r="H678"/>
    </row>
    <row r="679" spans="5:8" ht="15" x14ac:dyDescent="0.25">
      <c r="E679"/>
      <c r="H679"/>
    </row>
    <row r="680" spans="5:8" ht="15" x14ac:dyDescent="0.25">
      <c r="E680"/>
      <c r="H680"/>
    </row>
    <row r="681" spans="5:8" ht="15" x14ac:dyDescent="0.25">
      <c r="E681"/>
      <c r="H681"/>
    </row>
    <row r="682" spans="5:8" ht="15" x14ac:dyDescent="0.25">
      <c r="E682"/>
      <c r="H682"/>
    </row>
    <row r="683" spans="5:8" ht="15" x14ac:dyDescent="0.25">
      <c r="E683"/>
      <c r="H683"/>
    </row>
    <row r="684" spans="5:8" ht="15" x14ac:dyDescent="0.25">
      <c r="E684"/>
      <c r="H684"/>
    </row>
    <row r="685" spans="5:8" ht="15" x14ac:dyDescent="0.25">
      <c r="E685"/>
      <c r="H685"/>
    </row>
    <row r="686" spans="5:8" ht="15" x14ac:dyDescent="0.25">
      <c r="E686"/>
      <c r="H686"/>
    </row>
    <row r="687" spans="5:8" ht="15" x14ac:dyDescent="0.25">
      <c r="E687"/>
      <c r="H687"/>
    </row>
    <row r="688" spans="5:8" ht="15" x14ac:dyDescent="0.25">
      <c r="E688"/>
      <c r="H688"/>
    </row>
    <row r="689" spans="5:8" ht="15" x14ac:dyDescent="0.25">
      <c r="E689"/>
      <c r="H689"/>
    </row>
    <row r="690" spans="5:8" ht="15" x14ac:dyDescent="0.25">
      <c r="E690"/>
      <c r="H690"/>
    </row>
    <row r="691" spans="5:8" ht="15" x14ac:dyDescent="0.25">
      <c r="E691"/>
      <c r="H691"/>
    </row>
    <row r="692" spans="5:8" ht="15" x14ac:dyDescent="0.25">
      <c r="E692"/>
      <c r="H692"/>
    </row>
    <row r="693" spans="5:8" ht="15" x14ac:dyDescent="0.25">
      <c r="E693"/>
      <c r="H693"/>
    </row>
    <row r="694" spans="5:8" ht="15" x14ac:dyDescent="0.25">
      <c r="E694"/>
      <c r="H694"/>
    </row>
    <row r="695" spans="5:8" ht="15" x14ac:dyDescent="0.25">
      <c r="E695"/>
      <c r="H695"/>
    </row>
    <row r="696" spans="5:8" ht="15" x14ac:dyDescent="0.25">
      <c r="E696"/>
      <c r="H696"/>
    </row>
    <row r="697" spans="5:8" ht="15" x14ac:dyDescent="0.25">
      <c r="E697"/>
      <c r="H697"/>
    </row>
    <row r="698" spans="5:8" ht="15" x14ac:dyDescent="0.25">
      <c r="E698"/>
      <c r="H698"/>
    </row>
    <row r="699" spans="5:8" ht="15" x14ac:dyDescent="0.25">
      <c r="E699"/>
      <c r="H699"/>
    </row>
    <row r="700" spans="5:8" ht="15" x14ac:dyDescent="0.25">
      <c r="E700"/>
      <c r="H700"/>
    </row>
    <row r="701" spans="5:8" ht="15" x14ac:dyDescent="0.25">
      <c r="E701"/>
      <c r="H701"/>
    </row>
    <row r="702" spans="5:8" ht="15" x14ac:dyDescent="0.25">
      <c r="E702"/>
      <c r="H702"/>
    </row>
    <row r="703" spans="5:8" ht="15" x14ac:dyDescent="0.25">
      <c r="E703"/>
      <c r="H703"/>
    </row>
    <row r="704" spans="5:8" ht="15" x14ac:dyDescent="0.25">
      <c r="E704"/>
      <c r="H704"/>
    </row>
    <row r="705" spans="5:8" ht="15" x14ac:dyDescent="0.25">
      <c r="E705"/>
      <c r="H705"/>
    </row>
    <row r="706" spans="5:8" ht="15" x14ac:dyDescent="0.25">
      <c r="E706"/>
      <c r="H706"/>
    </row>
    <row r="707" spans="5:8" ht="15" x14ac:dyDescent="0.25">
      <c r="E707"/>
      <c r="H707"/>
    </row>
    <row r="708" spans="5:8" ht="15" x14ac:dyDescent="0.25">
      <c r="E708"/>
      <c r="H708"/>
    </row>
    <row r="709" spans="5:8" ht="15" x14ac:dyDescent="0.25">
      <c r="E709"/>
      <c r="H709"/>
    </row>
    <row r="710" spans="5:8" ht="15" x14ac:dyDescent="0.25">
      <c r="E710"/>
      <c r="H710"/>
    </row>
    <row r="711" spans="5:8" ht="15" x14ac:dyDescent="0.25">
      <c r="E711"/>
      <c r="H711"/>
    </row>
    <row r="712" spans="5:8" ht="15" x14ac:dyDescent="0.25">
      <c r="E712"/>
      <c r="H712"/>
    </row>
    <row r="713" spans="5:8" ht="15" x14ac:dyDescent="0.25">
      <c r="E713"/>
      <c r="H713"/>
    </row>
    <row r="714" spans="5:8" ht="15" x14ac:dyDescent="0.25">
      <c r="E714"/>
      <c r="H714"/>
    </row>
    <row r="715" spans="5:8" ht="15" x14ac:dyDescent="0.25">
      <c r="E715"/>
      <c r="H715"/>
    </row>
    <row r="716" spans="5:8" ht="15" x14ac:dyDescent="0.25">
      <c r="E716"/>
      <c r="H716"/>
    </row>
    <row r="717" spans="5:8" ht="15" x14ac:dyDescent="0.25">
      <c r="E717"/>
      <c r="H717"/>
    </row>
    <row r="718" spans="5:8" ht="15" x14ac:dyDescent="0.25">
      <c r="E718"/>
      <c r="H718"/>
    </row>
    <row r="719" spans="5:8" ht="15" x14ac:dyDescent="0.25">
      <c r="E719"/>
      <c r="H719"/>
    </row>
    <row r="720" spans="5:8" ht="15" x14ac:dyDescent="0.25">
      <c r="E720"/>
      <c r="H720"/>
    </row>
    <row r="721" spans="5:8" ht="15" x14ac:dyDescent="0.25">
      <c r="E721"/>
      <c r="H721"/>
    </row>
    <row r="722" spans="5:8" ht="15" x14ac:dyDescent="0.25">
      <c r="E722"/>
      <c r="H722"/>
    </row>
    <row r="723" spans="5:8" ht="15" x14ac:dyDescent="0.25">
      <c r="E723"/>
      <c r="H723"/>
    </row>
    <row r="724" spans="5:8" ht="15" x14ac:dyDescent="0.25">
      <c r="E724"/>
      <c r="H724"/>
    </row>
    <row r="725" spans="5:8" ht="15" x14ac:dyDescent="0.25">
      <c r="E725"/>
      <c r="H725"/>
    </row>
    <row r="726" spans="5:8" ht="15" x14ac:dyDescent="0.25">
      <c r="E726"/>
      <c r="H726"/>
    </row>
    <row r="727" spans="5:8" ht="15" x14ac:dyDescent="0.25">
      <c r="E727"/>
      <c r="H727"/>
    </row>
    <row r="728" spans="5:8" ht="15" x14ac:dyDescent="0.25">
      <c r="E728"/>
      <c r="H728"/>
    </row>
    <row r="729" spans="5:8" ht="15" x14ac:dyDescent="0.25">
      <c r="E729"/>
      <c r="H729"/>
    </row>
    <row r="730" spans="5:8" ht="15" x14ac:dyDescent="0.25">
      <c r="E730"/>
      <c r="H730"/>
    </row>
    <row r="731" spans="5:8" ht="15" x14ac:dyDescent="0.25">
      <c r="E731"/>
      <c r="H731"/>
    </row>
    <row r="732" spans="5:8" ht="15" x14ac:dyDescent="0.25">
      <c r="E732"/>
      <c r="H732"/>
    </row>
    <row r="733" spans="5:8" ht="15" x14ac:dyDescent="0.25">
      <c r="E733"/>
      <c r="H733"/>
    </row>
    <row r="734" spans="5:8" ht="15" x14ac:dyDescent="0.25">
      <c r="E734"/>
      <c r="H734"/>
    </row>
    <row r="735" spans="5:8" ht="15" x14ac:dyDescent="0.25">
      <c r="E735"/>
      <c r="H735"/>
    </row>
    <row r="736" spans="5:8" ht="15" x14ac:dyDescent="0.25">
      <c r="E736"/>
      <c r="H736"/>
    </row>
    <row r="737" spans="5:8" ht="15" x14ac:dyDescent="0.25">
      <c r="E737"/>
      <c r="H737"/>
    </row>
    <row r="738" spans="5:8" ht="15" x14ac:dyDescent="0.25">
      <c r="E738"/>
      <c r="H738"/>
    </row>
    <row r="739" spans="5:8" ht="15" x14ac:dyDescent="0.25">
      <c r="E739"/>
      <c r="H739"/>
    </row>
    <row r="740" spans="5:8" ht="15" x14ac:dyDescent="0.25">
      <c r="E740"/>
      <c r="H740"/>
    </row>
    <row r="741" spans="5:8" ht="15" x14ac:dyDescent="0.25">
      <c r="E741"/>
      <c r="H741"/>
    </row>
    <row r="742" spans="5:8" ht="15" x14ac:dyDescent="0.25">
      <c r="E742"/>
      <c r="H742"/>
    </row>
    <row r="743" spans="5:8" ht="15" x14ac:dyDescent="0.25">
      <c r="E743"/>
      <c r="H743"/>
    </row>
    <row r="744" spans="5:8" ht="15" x14ac:dyDescent="0.25">
      <c r="E744"/>
      <c r="H744"/>
    </row>
    <row r="745" spans="5:8" ht="15" x14ac:dyDescent="0.25">
      <c r="E745"/>
      <c r="H745"/>
    </row>
    <row r="746" spans="5:8" ht="15" x14ac:dyDescent="0.25">
      <c r="E746"/>
      <c r="H746"/>
    </row>
    <row r="747" spans="5:8" ht="15" x14ac:dyDescent="0.25">
      <c r="E747"/>
      <c r="H747"/>
    </row>
    <row r="748" spans="5:8" ht="15" x14ac:dyDescent="0.25">
      <c r="E748"/>
      <c r="H748"/>
    </row>
    <row r="749" spans="5:8" ht="15" x14ac:dyDescent="0.25">
      <c r="E749"/>
      <c r="H749"/>
    </row>
    <row r="750" spans="5:8" ht="15" x14ac:dyDescent="0.25">
      <c r="E750"/>
      <c r="H750"/>
    </row>
    <row r="751" spans="5:8" ht="15" x14ac:dyDescent="0.25">
      <c r="E751"/>
      <c r="H751"/>
    </row>
    <row r="752" spans="5:8" ht="15" x14ac:dyDescent="0.25">
      <c r="E752"/>
      <c r="H752"/>
    </row>
    <row r="753" spans="5:8" ht="15" x14ac:dyDescent="0.25">
      <c r="E753"/>
      <c r="H753"/>
    </row>
    <row r="754" spans="5:8" ht="15" x14ac:dyDescent="0.25">
      <c r="E754"/>
      <c r="H754"/>
    </row>
    <row r="755" spans="5:8" ht="15" x14ac:dyDescent="0.25">
      <c r="E755"/>
      <c r="H755"/>
    </row>
    <row r="756" spans="5:8" ht="15" x14ac:dyDescent="0.25">
      <c r="E756"/>
      <c r="H756"/>
    </row>
    <row r="757" spans="5:8" ht="15" x14ac:dyDescent="0.25">
      <c r="E757"/>
      <c r="H757"/>
    </row>
    <row r="758" spans="5:8" ht="15" x14ac:dyDescent="0.25">
      <c r="E758"/>
      <c r="H758"/>
    </row>
    <row r="759" spans="5:8" ht="15" x14ac:dyDescent="0.25">
      <c r="E759"/>
      <c r="H759"/>
    </row>
    <row r="760" spans="5:8" ht="15" x14ac:dyDescent="0.25">
      <c r="E760"/>
      <c r="H760"/>
    </row>
    <row r="761" spans="5:8" ht="15" x14ac:dyDescent="0.25">
      <c r="E761"/>
      <c r="H761"/>
    </row>
    <row r="762" spans="5:8" ht="15" x14ac:dyDescent="0.25">
      <c r="E762"/>
      <c r="H762"/>
    </row>
    <row r="763" spans="5:8" ht="15" x14ac:dyDescent="0.25">
      <c r="E763"/>
      <c r="H763"/>
    </row>
    <row r="764" spans="5:8" ht="15" x14ac:dyDescent="0.25">
      <c r="E764"/>
      <c r="H764"/>
    </row>
    <row r="765" spans="5:8" ht="15" x14ac:dyDescent="0.25">
      <c r="E765"/>
      <c r="H765"/>
    </row>
    <row r="766" spans="5:8" ht="15" x14ac:dyDescent="0.25">
      <c r="E766"/>
      <c r="H766"/>
    </row>
    <row r="767" spans="5:8" ht="15" x14ac:dyDescent="0.25">
      <c r="E767"/>
      <c r="H767"/>
    </row>
    <row r="768" spans="5:8" ht="15" x14ac:dyDescent="0.25">
      <c r="E768"/>
      <c r="H768"/>
    </row>
    <row r="769" spans="5:8" ht="15" x14ac:dyDescent="0.25">
      <c r="E769"/>
      <c r="H769"/>
    </row>
    <row r="770" spans="5:8" ht="15" x14ac:dyDescent="0.25">
      <c r="E770"/>
      <c r="H770"/>
    </row>
    <row r="771" spans="5:8" ht="15" x14ac:dyDescent="0.25">
      <c r="E771"/>
      <c r="H771"/>
    </row>
    <row r="772" spans="5:8" ht="15" x14ac:dyDescent="0.25">
      <c r="E772"/>
      <c r="H772"/>
    </row>
    <row r="773" spans="5:8" ht="15" x14ac:dyDescent="0.25">
      <c r="E773"/>
      <c r="H773"/>
    </row>
    <row r="774" spans="5:8" ht="15" x14ac:dyDescent="0.25">
      <c r="E774"/>
      <c r="H774"/>
    </row>
    <row r="775" spans="5:8" ht="15" x14ac:dyDescent="0.25">
      <c r="E775"/>
      <c r="H775"/>
    </row>
    <row r="776" spans="5:8" ht="15" x14ac:dyDescent="0.25">
      <c r="E776"/>
      <c r="H776"/>
    </row>
    <row r="777" spans="5:8" ht="15" x14ac:dyDescent="0.25">
      <c r="E777"/>
      <c r="H777"/>
    </row>
    <row r="778" spans="5:8" ht="15" x14ac:dyDescent="0.25">
      <c r="E778"/>
      <c r="H778"/>
    </row>
    <row r="779" spans="5:8" ht="15" x14ac:dyDescent="0.25">
      <c r="E779"/>
      <c r="H779"/>
    </row>
    <row r="780" spans="5:8" ht="15" x14ac:dyDescent="0.25">
      <c r="E780"/>
      <c r="H780"/>
    </row>
    <row r="781" spans="5:8" ht="15" x14ac:dyDescent="0.25">
      <c r="E781"/>
      <c r="H781"/>
    </row>
    <row r="782" spans="5:8" ht="15" x14ac:dyDescent="0.25">
      <c r="E782"/>
      <c r="H782"/>
    </row>
    <row r="783" spans="5:8" ht="15" x14ac:dyDescent="0.25">
      <c r="E783"/>
      <c r="H783"/>
    </row>
    <row r="784" spans="5:8" ht="15" x14ac:dyDescent="0.25">
      <c r="E784"/>
      <c r="H784"/>
    </row>
    <row r="785" spans="5:8" ht="15" x14ac:dyDescent="0.25">
      <c r="E785"/>
      <c r="H785"/>
    </row>
    <row r="786" spans="5:8" ht="15" x14ac:dyDescent="0.25">
      <c r="E786"/>
      <c r="H786"/>
    </row>
    <row r="787" spans="5:8" ht="15" x14ac:dyDescent="0.25">
      <c r="E787"/>
      <c r="H787"/>
    </row>
    <row r="788" spans="5:8" ht="15" x14ac:dyDescent="0.25">
      <c r="E788"/>
      <c r="H788"/>
    </row>
    <row r="789" spans="5:8" ht="15" x14ac:dyDescent="0.25">
      <c r="E789"/>
      <c r="H789"/>
    </row>
    <row r="790" spans="5:8" ht="15" x14ac:dyDescent="0.25">
      <c r="E790"/>
      <c r="H790"/>
    </row>
    <row r="791" spans="5:8" ht="15" x14ac:dyDescent="0.25">
      <c r="E791"/>
      <c r="H791"/>
    </row>
    <row r="792" spans="5:8" ht="15" x14ac:dyDescent="0.25">
      <c r="E792"/>
      <c r="H792"/>
    </row>
    <row r="793" spans="5:8" ht="15" x14ac:dyDescent="0.25">
      <c r="E793"/>
      <c r="H793"/>
    </row>
    <row r="794" spans="5:8" ht="15" x14ac:dyDescent="0.25">
      <c r="E794"/>
      <c r="H794"/>
    </row>
    <row r="795" spans="5:8" ht="15" x14ac:dyDescent="0.25">
      <c r="E795"/>
      <c r="H795"/>
    </row>
    <row r="796" spans="5:8" ht="15" x14ac:dyDescent="0.25">
      <c r="E796"/>
      <c r="H796"/>
    </row>
    <row r="797" spans="5:8" ht="15" x14ac:dyDescent="0.25">
      <c r="E797"/>
      <c r="H797"/>
    </row>
    <row r="798" spans="5:8" ht="15" x14ac:dyDescent="0.25">
      <c r="E798"/>
      <c r="H798"/>
    </row>
    <row r="799" spans="5:8" ht="15" x14ac:dyDescent="0.25">
      <c r="E799"/>
      <c r="H799"/>
    </row>
    <row r="800" spans="5:8" ht="15" x14ac:dyDescent="0.25">
      <c r="E800"/>
      <c r="H800"/>
    </row>
    <row r="801" spans="5:8" ht="15" x14ac:dyDescent="0.25">
      <c r="E801"/>
      <c r="H801"/>
    </row>
    <row r="802" spans="5:8" ht="15" x14ac:dyDescent="0.25">
      <c r="E802"/>
      <c r="H802"/>
    </row>
    <row r="803" spans="5:8" ht="15" x14ac:dyDescent="0.25">
      <c r="E803"/>
      <c r="H803"/>
    </row>
    <row r="804" spans="5:8" ht="15" x14ac:dyDescent="0.25">
      <c r="E804"/>
      <c r="H804"/>
    </row>
    <row r="805" spans="5:8" ht="15" x14ac:dyDescent="0.25">
      <c r="E805"/>
      <c r="H805"/>
    </row>
    <row r="806" spans="5:8" ht="15" x14ac:dyDescent="0.25">
      <c r="E806"/>
      <c r="H806"/>
    </row>
    <row r="807" spans="5:8" ht="15" x14ac:dyDescent="0.25">
      <c r="E807"/>
      <c r="H807"/>
    </row>
    <row r="808" spans="5:8" ht="15" x14ac:dyDescent="0.25">
      <c r="E808"/>
      <c r="H808"/>
    </row>
    <row r="809" spans="5:8" ht="15" x14ac:dyDescent="0.25">
      <c r="E809"/>
      <c r="H809"/>
    </row>
    <row r="810" spans="5:8" ht="15" x14ac:dyDescent="0.25">
      <c r="E810"/>
      <c r="H810"/>
    </row>
    <row r="811" spans="5:8" ht="15" x14ac:dyDescent="0.25">
      <c r="E811"/>
      <c r="H811"/>
    </row>
    <row r="812" spans="5:8" ht="15" x14ac:dyDescent="0.25">
      <c r="E812"/>
      <c r="H812"/>
    </row>
    <row r="813" spans="5:8" ht="15" x14ac:dyDescent="0.25">
      <c r="E813"/>
      <c r="H813"/>
    </row>
    <row r="814" spans="5:8" ht="15" x14ac:dyDescent="0.25">
      <c r="E814"/>
      <c r="H814"/>
    </row>
    <row r="815" spans="5:8" ht="15" x14ac:dyDescent="0.25">
      <c r="E815"/>
      <c r="H815"/>
    </row>
    <row r="816" spans="5:8" ht="15" x14ac:dyDescent="0.25">
      <c r="E816"/>
      <c r="H816"/>
    </row>
    <row r="817" spans="5:8" ht="15" x14ac:dyDescent="0.25">
      <c r="E817"/>
      <c r="H817"/>
    </row>
    <row r="818" spans="5:8" ht="15" x14ac:dyDescent="0.25">
      <c r="E818"/>
      <c r="H818"/>
    </row>
    <row r="819" spans="5:8" ht="15" x14ac:dyDescent="0.25">
      <c r="E819"/>
      <c r="H819"/>
    </row>
    <row r="820" spans="5:8" ht="15" x14ac:dyDescent="0.25">
      <c r="E820"/>
      <c r="H820"/>
    </row>
    <row r="821" spans="5:8" ht="15" x14ac:dyDescent="0.25">
      <c r="E821"/>
      <c r="H821"/>
    </row>
    <row r="822" spans="5:8" ht="15" x14ac:dyDescent="0.25">
      <c r="E822"/>
      <c r="H822"/>
    </row>
    <row r="823" spans="5:8" ht="15" x14ac:dyDescent="0.25">
      <c r="E823"/>
      <c r="H823"/>
    </row>
    <row r="824" spans="5:8" ht="15" x14ac:dyDescent="0.25">
      <c r="E824"/>
      <c r="H824"/>
    </row>
    <row r="825" spans="5:8" ht="15" x14ac:dyDescent="0.25">
      <c r="E825"/>
      <c r="H825"/>
    </row>
    <row r="826" spans="5:8" ht="15" x14ac:dyDescent="0.25">
      <c r="E826"/>
      <c r="H826"/>
    </row>
    <row r="827" spans="5:8" ht="15" x14ac:dyDescent="0.25">
      <c r="E827"/>
      <c r="H827"/>
    </row>
    <row r="828" spans="5:8" ht="15" x14ac:dyDescent="0.25">
      <c r="E828"/>
      <c r="H828"/>
    </row>
    <row r="829" spans="5:8" ht="15" x14ac:dyDescent="0.25">
      <c r="E829"/>
      <c r="H829"/>
    </row>
    <row r="830" spans="5:8" ht="15" x14ac:dyDescent="0.25">
      <c r="E830"/>
      <c r="H830"/>
    </row>
    <row r="831" spans="5:8" ht="15" x14ac:dyDescent="0.25">
      <c r="E831"/>
      <c r="H831"/>
    </row>
    <row r="832" spans="5:8" ht="15" x14ac:dyDescent="0.25">
      <c r="E832"/>
      <c r="H832"/>
    </row>
    <row r="833" spans="5:8" ht="15" x14ac:dyDescent="0.25">
      <c r="E833"/>
      <c r="H833"/>
    </row>
    <row r="834" spans="5:8" ht="15" x14ac:dyDescent="0.25">
      <c r="E834"/>
      <c r="H834"/>
    </row>
    <row r="835" spans="5:8" ht="15" x14ac:dyDescent="0.25">
      <c r="E835"/>
      <c r="H835"/>
    </row>
    <row r="836" spans="5:8" ht="15" x14ac:dyDescent="0.25">
      <c r="E836"/>
      <c r="H836"/>
    </row>
    <row r="837" spans="5:8" ht="15" x14ac:dyDescent="0.25">
      <c r="E837"/>
      <c r="H837"/>
    </row>
    <row r="838" spans="5:8" ht="15" x14ac:dyDescent="0.25">
      <c r="E838"/>
      <c r="H838"/>
    </row>
    <row r="839" spans="5:8" ht="15" x14ac:dyDescent="0.25">
      <c r="E839"/>
      <c r="H839"/>
    </row>
    <row r="840" spans="5:8" ht="15" x14ac:dyDescent="0.25">
      <c r="E840"/>
      <c r="H840"/>
    </row>
    <row r="841" spans="5:8" ht="15" x14ac:dyDescent="0.25">
      <c r="E841"/>
      <c r="H841"/>
    </row>
    <row r="842" spans="5:8" ht="15" x14ac:dyDescent="0.25">
      <c r="E842"/>
      <c r="H842"/>
    </row>
    <row r="843" spans="5:8" ht="15" x14ac:dyDescent="0.25">
      <c r="E843"/>
      <c r="H843"/>
    </row>
    <row r="844" spans="5:8" ht="15" x14ac:dyDescent="0.25">
      <c r="E844"/>
      <c r="H844"/>
    </row>
    <row r="845" spans="5:8" ht="15" x14ac:dyDescent="0.25">
      <c r="E845"/>
      <c r="H845"/>
    </row>
    <row r="846" spans="5:8" ht="15" x14ac:dyDescent="0.25">
      <c r="E846"/>
      <c r="H846"/>
    </row>
    <row r="847" spans="5:8" ht="15" x14ac:dyDescent="0.25">
      <c r="E847"/>
      <c r="H847"/>
    </row>
    <row r="848" spans="5:8" ht="15" x14ac:dyDescent="0.25">
      <c r="E848"/>
      <c r="H848"/>
    </row>
    <row r="849" spans="5:8" ht="15" x14ac:dyDescent="0.25">
      <c r="E849"/>
      <c r="H849"/>
    </row>
    <row r="850" spans="5:8" ht="15" x14ac:dyDescent="0.25">
      <c r="E850"/>
      <c r="H850"/>
    </row>
    <row r="851" spans="5:8" ht="15" x14ac:dyDescent="0.25">
      <c r="E851"/>
      <c r="H851"/>
    </row>
    <row r="852" spans="5:8" ht="15" x14ac:dyDescent="0.25">
      <c r="E852"/>
      <c r="H852"/>
    </row>
    <row r="853" spans="5:8" ht="15" x14ac:dyDescent="0.25">
      <c r="E853"/>
      <c r="H853"/>
    </row>
    <row r="854" spans="5:8" ht="15" x14ac:dyDescent="0.25">
      <c r="E854"/>
      <c r="H854"/>
    </row>
    <row r="855" spans="5:8" ht="15" x14ac:dyDescent="0.25">
      <c r="E855"/>
      <c r="H855"/>
    </row>
    <row r="856" spans="5:8" ht="15" x14ac:dyDescent="0.25">
      <c r="E856"/>
      <c r="H856"/>
    </row>
    <row r="857" spans="5:8" ht="15" x14ac:dyDescent="0.25">
      <c r="E857"/>
      <c r="H857"/>
    </row>
    <row r="858" spans="5:8" ht="15" x14ac:dyDescent="0.25">
      <c r="E858"/>
      <c r="H858"/>
    </row>
    <row r="859" spans="5:8" ht="15" x14ac:dyDescent="0.25">
      <c r="E859"/>
      <c r="H859"/>
    </row>
    <row r="860" spans="5:8" ht="15" x14ac:dyDescent="0.25">
      <c r="E860"/>
      <c r="H860"/>
    </row>
    <row r="861" spans="5:8" ht="15" x14ac:dyDescent="0.25">
      <c r="E861"/>
      <c r="H861"/>
    </row>
    <row r="862" spans="5:8" ht="15" x14ac:dyDescent="0.25">
      <c r="E862"/>
      <c r="H862"/>
    </row>
    <row r="863" spans="5:8" ht="15" x14ac:dyDescent="0.25">
      <c r="E863"/>
      <c r="H863"/>
    </row>
    <row r="864" spans="5:8" ht="15" x14ac:dyDescent="0.25">
      <c r="E864"/>
      <c r="H864"/>
    </row>
    <row r="865" spans="5:8" ht="15" x14ac:dyDescent="0.25">
      <c r="E865"/>
      <c r="H865"/>
    </row>
    <row r="866" spans="5:8" ht="15" x14ac:dyDescent="0.25">
      <c r="E866"/>
      <c r="H866"/>
    </row>
    <row r="867" spans="5:8" ht="15" x14ac:dyDescent="0.25">
      <c r="E867"/>
      <c r="H867"/>
    </row>
    <row r="868" spans="5:8" ht="15" x14ac:dyDescent="0.25">
      <c r="E868"/>
      <c r="H868"/>
    </row>
    <row r="869" spans="5:8" ht="15" x14ac:dyDescent="0.25">
      <c r="E869"/>
      <c r="H869"/>
    </row>
    <row r="870" spans="5:8" ht="15" x14ac:dyDescent="0.25">
      <c r="E870"/>
      <c r="H870"/>
    </row>
    <row r="871" spans="5:8" ht="15" x14ac:dyDescent="0.25">
      <c r="E871"/>
      <c r="H871"/>
    </row>
    <row r="872" spans="5:8" ht="15" x14ac:dyDescent="0.25">
      <c r="E872"/>
      <c r="H872"/>
    </row>
    <row r="873" spans="5:8" ht="15" x14ac:dyDescent="0.25">
      <c r="E873"/>
      <c r="H873"/>
    </row>
    <row r="874" spans="5:8" ht="15" x14ac:dyDescent="0.25">
      <c r="E874"/>
      <c r="H874"/>
    </row>
    <row r="875" spans="5:8" ht="15" x14ac:dyDescent="0.25">
      <c r="E875"/>
      <c r="H875"/>
    </row>
    <row r="876" spans="5:8" ht="15" x14ac:dyDescent="0.25">
      <c r="E876"/>
      <c r="H876"/>
    </row>
    <row r="877" spans="5:8" ht="15" x14ac:dyDescent="0.25">
      <c r="E877"/>
      <c r="H877"/>
    </row>
    <row r="878" spans="5:8" ht="15" x14ac:dyDescent="0.25">
      <c r="E878"/>
      <c r="H878"/>
    </row>
    <row r="879" spans="5:8" ht="15" x14ac:dyDescent="0.25">
      <c r="E879"/>
      <c r="H879"/>
    </row>
    <row r="880" spans="5:8" ht="15" x14ac:dyDescent="0.25">
      <c r="E880"/>
      <c r="H880"/>
    </row>
    <row r="881" spans="5:8" ht="15" x14ac:dyDescent="0.25">
      <c r="E881"/>
      <c r="H881"/>
    </row>
    <row r="882" spans="5:8" ht="15" x14ac:dyDescent="0.25">
      <c r="E882"/>
      <c r="H882"/>
    </row>
    <row r="883" spans="5:8" ht="15" x14ac:dyDescent="0.25">
      <c r="E883"/>
      <c r="H883"/>
    </row>
    <row r="884" spans="5:8" ht="15" x14ac:dyDescent="0.25">
      <c r="E884"/>
      <c r="H884"/>
    </row>
    <row r="885" spans="5:8" ht="15" x14ac:dyDescent="0.25">
      <c r="E885"/>
      <c r="H885"/>
    </row>
    <row r="886" spans="5:8" ht="15" x14ac:dyDescent="0.25">
      <c r="E886"/>
      <c r="H886"/>
    </row>
    <row r="887" spans="5:8" ht="15" x14ac:dyDescent="0.25">
      <c r="E887"/>
      <c r="H887"/>
    </row>
    <row r="888" spans="5:8" ht="15" x14ac:dyDescent="0.25">
      <c r="E888"/>
      <c r="H888"/>
    </row>
    <row r="889" spans="5:8" ht="15" x14ac:dyDescent="0.25">
      <c r="E889"/>
      <c r="H889"/>
    </row>
    <row r="890" spans="5:8" ht="15" x14ac:dyDescent="0.25">
      <c r="E890"/>
      <c r="H890"/>
    </row>
    <row r="891" spans="5:8" ht="15" x14ac:dyDescent="0.25">
      <c r="E891"/>
      <c r="H891"/>
    </row>
    <row r="892" spans="5:8" ht="15" x14ac:dyDescent="0.25">
      <c r="E892"/>
      <c r="H892"/>
    </row>
    <row r="893" spans="5:8" ht="15" x14ac:dyDescent="0.25">
      <c r="E893"/>
      <c r="H893"/>
    </row>
    <row r="894" spans="5:8" ht="15" x14ac:dyDescent="0.25">
      <c r="E894"/>
      <c r="H894"/>
    </row>
    <row r="895" spans="5:8" ht="15" x14ac:dyDescent="0.25">
      <c r="E895"/>
      <c r="H895"/>
    </row>
    <row r="896" spans="5:8" ht="15" x14ac:dyDescent="0.25">
      <c r="E896"/>
      <c r="H896"/>
    </row>
    <row r="897" spans="5:8" ht="15" x14ac:dyDescent="0.25">
      <c r="E897"/>
      <c r="H897"/>
    </row>
    <row r="898" spans="5:8" ht="15" x14ac:dyDescent="0.25">
      <c r="E898"/>
      <c r="H898"/>
    </row>
    <row r="899" spans="5:8" ht="15" x14ac:dyDescent="0.25">
      <c r="E899"/>
      <c r="H899"/>
    </row>
    <row r="900" spans="5:8" ht="15" x14ac:dyDescent="0.25">
      <c r="E900"/>
      <c r="H900"/>
    </row>
    <row r="901" spans="5:8" ht="15" x14ac:dyDescent="0.25">
      <c r="E901"/>
      <c r="H901"/>
    </row>
    <row r="902" spans="5:8" ht="15" x14ac:dyDescent="0.25">
      <c r="E902"/>
      <c r="H902"/>
    </row>
    <row r="903" spans="5:8" ht="15" x14ac:dyDescent="0.25">
      <c r="E903"/>
      <c r="H903"/>
    </row>
    <row r="904" spans="5:8" ht="15" x14ac:dyDescent="0.25">
      <c r="E904"/>
      <c r="H904"/>
    </row>
    <row r="905" spans="5:8" ht="15" x14ac:dyDescent="0.25">
      <c r="E905"/>
      <c r="H905"/>
    </row>
    <row r="906" spans="5:8" ht="15" x14ac:dyDescent="0.25">
      <c r="E906"/>
      <c r="H906"/>
    </row>
    <row r="907" spans="5:8" ht="15" x14ac:dyDescent="0.25">
      <c r="E907"/>
      <c r="H907"/>
    </row>
    <row r="908" spans="5:8" ht="15" x14ac:dyDescent="0.25">
      <c r="E908"/>
      <c r="H908"/>
    </row>
    <row r="909" spans="5:8" ht="15" x14ac:dyDescent="0.25">
      <c r="E909"/>
      <c r="H909"/>
    </row>
    <row r="910" spans="5:8" ht="15" x14ac:dyDescent="0.25">
      <c r="E910"/>
      <c r="H910"/>
    </row>
    <row r="911" spans="5:8" ht="15" x14ac:dyDescent="0.25">
      <c r="E911"/>
      <c r="H911"/>
    </row>
    <row r="912" spans="5:8" ht="15" x14ac:dyDescent="0.25">
      <c r="E912"/>
      <c r="H912"/>
    </row>
    <row r="913" spans="5:8" ht="15" x14ac:dyDescent="0.25">
      <c r="E913"/>
      <c r="H913"/>
    </row>
    <row r="914" spans="5:8" ht="15" x14ac:dyDescent="0.25">
      <c r="E914"/>
      <c r="H914"/>
    </row>
    <row r="915" spans="5:8" ht="15" x14ac:dyDescent="0.25">
      <c r="E915"/>
      <c r="H915"/>
    </row>
    <row r="916" spans="5:8" ht="15" x14ac:dyDescent="0.25">
      <c r="E916"/>
      <c r="H916"/>
    </row>
    <row r="917" spans="5:8" ht="15" x14ac:dyDescent="0.25">
      <c r="E917"/>
      <c r="H917"/>
    </row>
    <row r="918" spans="5:8" ht="15" x14ac:dyDescent="0.25">
      <c r="E918"/>
      <c r="H918"/>
    </row>
    <row r="919" spans="5:8" ht="15" x14ac:dyDescent="0.25">
      <c r="E919"/>
      <c r="H919"/>
    </row>
    <row r="920" spans="5:8" ht="15" x14ac:dyDescent="0.25">
      <c r="E920"/>
      <c r="H920"/>
    </row>
    <row r="921" spans="5:8" ht="15" x14ac:dyDescent="0.25">
      <c r="E921"/>
      <c r="H921"/>
    </row>
    <row r="922" spans="5:8" ht="15" x14ac:dyDescent="0.25">
      <c r="E922"/>
      <c r="H922"/>
    </row>
    <row r="923" spans="5:8" ht="15" x14ac:dyDescent="0.25">
      <c r="E923"/>
      <c r="H923"/>
    </row>
    <row r="924" spans="5:8" ht="15" x14ac:dyDescent="0.25">
      <c r="E924"/>
      <c r="H924"/>
    </row>
    <row r="925" spans="5:8" ht="15" x14ac:dyDescent="0.25">
      <c r="E925"/>
      <c r="H925"/>
    </row>
    <row r="926" spans="5:8" ht="15" x14ac:dyDescent="0.25">
      <c r="E926"/>
      <c r="H926"/>
    </row>
    <row r="927" spans="5:8" ht="15" x14ac:dyDescent="0.25">
      <c r="E927"/>
      <c r="H927"/>
    </row>
    <row r="928" spans="5:8" ht="15" x14ac:dyDescent="0.25">
      <c r="E928"/>
      <c r="H928"/>
    </row>
    <row r="929" spans="5:8" ht="15" x14ac:dyDescent="0.25">
      <c r="E929"/>
      <c r="H929"/>
    </row>
    <row r="930" spans="5:8" ht="15" x14ac:dyDescent="0.25">
      <c r="E930"/>
      <c r="H930"/>
    </row>
    <row r="931" spans="5:8" ht="15" x14ac:dyDescent="0.25">
      <c r="E931"/>
      <c r="H931"/>
    </row>
    <row r="932" spans="5:8" ht="15" x14ac:dyDescent="0.25">
      <c r="E932"/>
      <c r="H932"/>
    </row>
    <row r="933" spans="5:8" ht="15" x14ac:dyDescent="0.25">
      <c r="E933"/>
      <c r="H933"/>
    </row>
    <row r="934" spans="5:8" ht="15" x14ac:dyDescent="0.25">
      <c r="E934"/>
      <c r="H934"/>
    </row>
    <row r="935" spans="5:8" ht="15" x14ac:dyDescent="0.25">
      <c r="E935"/>
      <c r="H935"/>
    </row>
    <row r="936" spans="5:8" ht="15" x14ac:dyDescent="0.25">
      <c r="E936"/>
      <c r="H936"/>
    </row>
    <row r="937" spans="5:8" ht="15" x14ac:dyDescent="0.25">
      <c r="E937"/>
      <c r="H937"/>
    </row>
    <row r="938" spans="5:8" ht="15" x14ac:dyDescent="0.25">
      <c r="E938"/>
      <c r="H938"/>
    </row>
    <row r="939" spans="5:8" ht="15" x14ac:dyDescent="0.25">
      <c r="E939"/>
      <c r="H939"/>
    </row>
    <row r="940" spans="5:8" ht="15" x14ac:dyDescent="0.25">
      <c r="E940"/>
      <c r="H940"/>
    </row>
    <row r="941" spans="5:8" ht="15" x14ac:dyDescent="0.25">
      <c r="E941"/>
      <c r="H941"/>
    </row>
    <row r="942" spans="5:8" ht="15" x14ac:dyDescent="0.25">
      <c r="E942"/>
      <c r="H942"/>
    </row>
    <row r="943" spans="5:8" ht="15" x14ac:dyDescent="0.25">
      <c r="E943"/>
      <c r="H943"/>
    </row>
    <row r="944" spans="5:8" ht="15" x14ac:dyDescent="0.25">
      <c r="E944"/>
      <c r="H944"/>
    </row>
    <row r="945" spans="5:8" ht="15" x14ac:dyDescent="0.25">
      <c r="E945"/>
      <c r="H945"/>
    </row>
    <row r="946" spans="5:8" ht="15" x14ac:dyDescent="0.25">
      <c r="E946"/>
      <c r="H946"/>
    </row>
    <row r="947" spans="5:8" ht="15" x14ac:dyDescent="0.25">
      <c r="E947"/>
      <c r="H947"/>
    </row>
    <row r="948" spans="5:8" ht="15" x14ac:dyDescent="0.25">
      <c r="E948"/>
      <c r="H948"/>
    </row>
    <row r="949" spans="5:8" ht="15" x14ac:dyDescent="0.25">
      <c r="E949"/>
      <c r="H949"/>
    </row>
    <row r="950" spans="5:8" ht="15" x14ac:dyDescent="0.25">
      <c r="E950"/>
      <c r="H950"/>
    </row>
    <row r="951" spans="5:8" ht="15" x14ac:dyDescent="0.25">
      <c r="E951"/>
      <c r="H951"/>
    </row>
    <row r="952" spans="5:8" ht="15" x14ac:dyDescent="0.25">
      <c r="E952"/>
      <c r="H952"/>
    </row>
    <row r="953" spans="5:8" ht="15" x14ac:dyDescent="0.25">
      <c r="E953"/>
      <c r="H953"/>
    </row>
    <row r="954" spans="5:8" ht="15" x14ac:dyDescent="0.25">
      <c r="E954"/>
      <c r="H954"/>
    </row>
    <row r="955" spans="5:8" ht="15" x14ac:dyDescent="0.25">
      <c r="E955"/>
      <c r="H955"/>
    </row>
    <row r="956" spans="5:8" ht="15" x14ac:dyDescent="0.25">
      <c r="E956"/>
      <c r="H956"/>
    </row>
    <row r="957" spans="5:8" ht="15" x14ac:dyDescent="0.25">
      <c r="E957"/>
      <c r="H957"/>
    </row>
    <row r="958" spans="5:8" ht="15" x14ac:dyDescent="0.25">
      <c r="E958"/>
      <c r="H958"/>
    </row>
    <row r="959" spans="5:8" ht="15" x14ac:dyDescent="0.25">
      <c r="E959"/>
      <c r="H959"/>
    </row>
    <row r="960" spans="5:8" ht="15" x14ac:dyDescent="0.25">
      <c r="E960"/>
      <c r="H960"/>
    </row>
    <row r="961" spans="5:8" ht="15" x14ac:dyDescent="0.25">
      <c r="E961"/>
      <c r="H961"/>
    </row>
    <row r="962" spans="5:8" ht="15" x14ac:dyDescent="0.25">
      <c r="E962"/>
      <c r="H962"/>
    </row>
    <row r="963" spans="5:8" ht="15" x14ac:dyDescent="0.25">
      <c r="E963"/>
      <c r="H963"/>
    </row>
    <row r="964" spans="5:8" ht="15" x14ac:dyDescent="0.25">
      <c r="E964"/>
      <c r="H964"/>
    </row>
    <row r="965" spans="5:8" ht="15" x14ac:dyDescent="0.25">
      <c r="E965"/>
      <c r="H965"/>
    </row>
    <row r="966" spans="5:8" ht="15" x14ac:dyDescent="0.25">
      <c r="E966"/>
      <c r="H966"/>
    </row>
    <row r="967" spans="5:8" ht="15" x14ac:dyDescent="0.25">
      <c r="E967"/>
      <c r="H967"/>
    </row>
    <row r="968" spans="5:8" ht="15" x14ac:dyDescent="0.25">
      <c r="E968"/>
      <c r="H968"/>
    </row>
    <row r="969" spans="5:8" ht="15" x14ac:dyDescent="0.25">
      <c r="E969"/>
      <c r="H969"/>
    </row>
    <row r="970" spans="5:8" ht="15" x14ac:dyDescent="0.25">
      <c r="E970"/>
      <c r="H970"/>
    </row>
    <row r="971" spans="5:8" ht="15" x14ac:dyDescent="0.25">
      <c r="E971"/>
      <c r="H971"/>
    </row>
    <row r="972" spans="5:8" ht="15" x14ac:dyDescent="0.25">
      <c r="E972"/>
      <c r="H972"/>
    </row>
    <row r="973" spans="5:8" ht="15" x14ac:dyDescent="0.25">
      <c r="E973"/>
      <c r="H973"/>
    </row>
    <row r="974" spans="5:8" ht="15" x14ac:dyDescent="0.25">
      <c r="E974"/>
      <c r="H974"/>
    </row>
    <row r="975" spans="5:8" ht="15" x14ac:dyDescent="0.25">
      <c r="E975"/>
      <c r="H975"/>
    </row>
    <row r="976" spans="5:8" ht="15" x14ac:dyDescent="0.25">
      <c r="E976"/>
      <c r="H976"/>
    </row>
    <row r="977" spans="5:8" ht="15" x14ac:dyDescent="0.25">
      <c r="E977"/>
      <c r="H977"/>
    </row>
    <row r="978" spans="5:8" ht="15" x14ac:dyDescent="0.25">
      <c r="E978"/>
      <c r="H978"/>
    </row>
    <row r="979" spans="5:8" ht="15" x14ac:dyDescent="0.25">
      <c r="E979"/>
      <c r="H979"/>
    </row>
    <row r="980" spans="5:8" ht="15" x14ac:dyDescent="0.25">
      <c r="E980"/>
      <c r="H980"/>
    </row>
    <row r="981" spans="5:8" ht="15" x14ac:dyDescent="0.25">
      <c r="E981"/>
      <c r="H981"/>
    </row>
    <row r="982" spans="5:8" ht="15" x14ac:dyDescent="0.25">
      <c r="E982"/>
      <c r="H982"/>
    </row>
    <row r="983" spans="5:8" ht="15" x14ac:dyDescent="0.25">
      <c r="E983"/>
      <c r="H983"/>
    </row>
    <row r="984" spans="5:8" ht="15" x14ac:dyDescent="0.25">
      <c r="E984"/>
      <c r="H984"/>
    </row>
    <row r="985" spans="5:8" ht="15" x14ac:dyDescent="0.25">
      <c r="E985"/>
      <c r="H985"/>
    </row>
    <row r="986" spans="5:8" ht="15" x14ac:dyDescent="0.25">
      <c r="E986"/>
      <c r="H986"/>
    </row>
    <row r="987" spans="5:8" ht="15" x14ac:dyDescent="0.25">
      <c r="E987"/>
      <c r="H987"/>
    </row>
    <row r="988" spans="5:8" ht="15" x14ac:dyDescent="0.25">
      <c r="E988"/>
      <c r="H988"/>
    </row>
    <row r="989" spans="5:8" ht="15" x14ac:dyDescent="0.25">
      <c r="E989"/>
      <c r="H989"/>
    </row>
    <row r="990" spans="5:8" ht="15" x14ac:dyDescent="0.25">
      <c r="E990"/>
      <c r="H990"/>
    </row>
    <row r="991" spans="5:8" ht="15" x14ac:dyDescent="0.25">
      <c r="E991"/>
      <c r="H991"/>
    </row>
    <row r="992" spans="5:8" ht="15" x14ac:dyDescent="0.25">
      <c r="E992"/>
      <c r="H992"/>
    </row>
    <row r="993" spans="5:8" ht="15" x14ac:dyDescent="0.25">
      <c r="E993"/>
      <c r="H993"/>
    </row>
    <row r="994" spans="5:8" ht="15" x14ac:dyDescent="0.25">
      <c r="E994"/>
      <c r="H994"/>
    </row>
    <row r="995" spans="5:8" ht="15" x14ac:dyDescent="0.25">
      <c r="E995"/>
      <c r="H995"/>
    </row>
    <row r="996" spans="5:8" ht="15" x14ac:dyDescent="0.25">
      <c r="E996"/>
      <c r="H996"/>
    </row>
    <row r="997" spans="5:8" ht="15" x14ac:dyDescent="0.25">
      <c r="E997"/>
      <c r="H997"/>
    </row>
    <row r="998" spans="5:8" ht="15" x14ac:dyDescent="0.25">
      <c r="E998"/>
      <c r="H998"/>
    </row>
    <row r="999" spans="5:8" ht="15" x14ac:dyDescent="0.25">
      <c r="E999"/>
      <c r="H999"/>
    </row>
    <row r="1000" spans="5:8" ht="15" x14ac:dyDescent="0.25">
      <c r="E1000"/>
      <c r="H1000"/>
    </row>
    <row r="1001" spans="5:8" ht="15" x14ac:dyDescent="0.25">
      <c r="E1001"/>
      <c r="H1001"/>
    </row>
    <row r="1002" spans="5:8" ht="15" x14ac:dyDescent="0.25">
      <c r="E1002"/>
      <c r="H1002"/>
    </row>
    <row r="1003" spans="5:8" ht="15" x14ac:dyDescent="0.25">
      <c r="E1003"/>
      <c r="H1003"/>
    </row>
    <row r="1004" spans="5:8" ht="15" x14ac:dyDescent="0.25">
      <c r="E1004"/>
      <c r="H1004"/>
    </row>
    <row r="1005" spans="5:8" ht="15" x14ac:dyDescent="0.25">
      <c r="E1005"/>
      <c r="H1005"/>
    </row>
    <row r="1006" spans="5:8" ht="15" x14ac:dyDescent="0.25">
      <c r="E1006"/>
      <c r="H1006"/>
    </row>
    <row r="1007" spans="5:8" ht="15" x14ac:dyDescent="0.25">
      <c r="E1007"/>
      <c r="H1007"/>
    </row>
    <row r="1008" spans="5:8" ht="15" x14ac:dyDescent="0.25">
      <c r="E1008"/>
      <c r="H1008"/>
    </row>
    <row r="1009" spans="5:8" ht="15" x14ac:dyDescent="0.25">
      <c r="E1009"/>
      <c r="H1009"/>
    </row>
    <row r="1010" spans="5:8" ht="15" x14ac:dyDescent="0.25">
      <c r="E1010"/>
      <c r="H1010"/>
    </row>
    <row r="1011" spans="5:8" ht="15" x14ac:dyDescent="0.25">
      <c r="E1011"/>
      <c r="H1011"/>
    </row>
    <row r="1012" spans="5:8" ht="15" x14ac:dyDescent="0.25">
      <c r="E1012"/>
      <c r="H1012"/>
    </row>
    <row r="1013" spans="5:8" ht="15" x14ac:dyDescent="0.25">
      <c r="E1013"/>
      <c r="H1013"/>
    </row>
    <row r="1014" spans="5:8" ht="15" x14ac:dyDescent="0.25">
      <c r="E1014"/>
      <c r="H1014"/>
    </row>
    <row r="1015" spans="5:8" ht="15" x14ac:dyDescent="0.25">
      <c r="E1015"/>
      <c r="H1015"/>
    </row>
    <row r="1016" spans="5:8" ht="15" x14ac:dyDescent="0.25">
      <c r="E1016"/>
      <c r="H1016"/>
    </row>
    <row r="1017" spans="5:8" ht="15" x14ac:dyDescent="0.25">
      <c r="E1017"/>
      <c r="H1017"/>
    </row>
    <row r="1018" spans="5:8" ht="15" x14ac:dyDescent="0.25">
      <c r="E1018"/>
      <c r="H1018"/>
    </row>
    <row r="1019" spans="5:8" ht="15" x14ac:dyDescent="0.25">
      <c r="E1019"/>
      <c r="H1019"/>
    </row>
    <row r="1020" spans="5:8" ht="15" x14ac:dyDescent="0.25">
      <c r="E1020"/>
      <c r="H1020"/>
    </row>
    <row r="1021" spans="5:8" ht="15" x14ac:dyDescent="0.25">
      <c r="E1021"/>
      <c r="H1021"/>
    </row>
    <row r="1022" spans="5:8" ht="15" x14ac:dyDescent="0.25">
      <c r="E1022"/>
      <c r="H1022"/>
    </row>
    <row r="1023" spans="5:8" ht="15" x14ac:dyDescent="0.25">
      <c r="E1023"/>
      <c r="H1023"/>
    </row>
    <row r="1024" spans="5:8" ht="15" x14ac:dyDescent="0.25">
      <c r="E1024"/>
      <c r="H1024"/>
    </row>
    <row r="1025" spans="5:8" ht="15" x14ac:dyDescent="0.25">
      <c r="E1025"/>
      <c r="H1025"/>
    </row>
    <row r="1026" spans="5:8" ht="15" x14ac:dyDescent="0.25">
      <c r="E1026"/>
      <c r="H1026"/>
    </row>
    <row r="1027" spans="5:8" ht="15" x14ac:dyDescent="0.25">
      <c r="E1027"/>
      <c r="H1027"/>
    </row>
    <row r="1028" spans="5:8" ht="15" x14ac:dyDescent="0.25">
      <c r="E1028"/>
      <c r="H1028"/>
    </row>
    <row r="1029" spans="5:8" ht="15" x14ac:dyDescent="0.25">
      <c r="E1029"/>
      <c r="H1029"/>
    </row>
    <row r="1030" spans="5:8" ht="15" x14ac:dyDescent="0.25">
      <c r="E1030"/>
      <c r="H1030"/>
    </row>
    <row r="1031" spans="5:8" ht="15" x14ac:dyDescent="0.25">
      <c r="E1031"/>
      <c r="H1031"/>
    </row>
    <row r="1032" spans="5:8" ht="15" x14ac:dyDescent="0.25">
      <c r="E1032"/>
      <c r="H1032"/>
    </row>
    <row r="1033" spans="5:8" ht="15" x14ac:dyDescent="0.25">
      <c r="E1033"/>
      <c r="H1033"/>
    </row>
    <row r="1034" spans="5:8" ht="15" x14ac:dyDescent="0.25">
      <c r="E1034"/>
      <c r="H1034"/>
    </row>
    <row r="1035" spans="5:8" ht="15" x14ac:dyDescent="0.25">
      <c r="E1035"/>
      <c r="H1035"/>
    </row>
    <row r="1036" spans="5:8" ht="15" x14ac:dyDescent="0.25">
      <c r="E1036"/>
      <c r="H1036"/>
    </row>
    <row r="1037" spans="5:8" ht="15" x14ac:dyDescent="0.25">
      <c r="E1037"/>
      <c r="H1037"/>
    </row>
    <row r="1038" spans="5:8" ht="15" x14ac:dyDescent="0.25">
      <c r="E1038"/>
      <c r="H1038"/>
    </row>
    <row r="1039" spans="5:8" ht="15" x14ac:dyDescent="0.25">
      <c r="E1039"/>
      <c r="H1039"/>
    </row>
    <row r="1040" spans="5:8" ht="15" x14ac:dyDescent="0.25">
      <c r="E1040"/>
      <c r="H1040"/>
    </row>
    <row r="1041" spans="5:8" ht="15" x14ac:dyDescent="0.25">
      <c r="E1041"/>
      <c r="H1041"/>
    </row>
    <row r="1042" spans="5:8" ht="15" x14ac:dyDescent="0.25">
      <c r="E1042"/>
      <c r="H1042"/>
    </row>
    <row r="1043" spans="5:8" ht="15" x14ac:dyDescent="0.25">
      <c r="E1043"/>
      <c r="H1043"/>
    </row>
    <row r="1044" spans="5:8" ht="15" x14ac:dyDescent="0.25">
      <c r="E1044"/>
      <c r="H1044"/>
    </row>
    <row r="1045" spans="5:8" ht="15" x14ac:dyDescent="0.25">
      <c r="E1045"/>
      <c r="H1045"/>
    </row>
    <row r="1046" spans="5:8" ht="15" x14ac:dyDescent="0.25">
      <c r="E1046"/>
      <c r="H1046"/>
    </row>
    <row r="1047" spans="5:8" ht="15" x14ac:dyDescent="0.25">
      <c r="E1047"/>
      <c r="H1047"/>
    </row>
    <row r="1048" spans="5:8" ht="15" x14ac:dyDescent="0.25">
      <c r="E1048"/>
      <c r="H1048"/>
    </row>
    <row r="1049" spans="5:8" ht="15" x14ac:dyDescent="0.25">
      <c r="E1049"/>
      <c r="H1049"/>
    </row>
    <row r="1050" spans="5:8" ht="15" x14ac:dyDescent="0.25">
      <c r="E1050"/>
      <c r="H1050"/>
    </row>
    <row r="1051" spans="5:8" ht="15" x14ac:dyDescent="0.25">
      <c r="E1051"/>
      <c r="H1051"/>
    </row>
    <row r="1052" spans="5:8" ht="15" x14ac:dyDescent="0.25">
      <c r="E1052"/>
      <c r="H1052"/>
    </row>
    <row r="1053" spans="5:8" ht="15" x14ac:dyDescent="0.25">
      <c r="E1053"/>
      <c r="H1053"/>
    </row>
    <row r="1054" spans="5:8" ht="15" x14ac:dyDescent="0.25">
      <c r="E1054"/>
      <c r="H1054"/>
    </row>
    <row r="1055" spans="5:8" ht="15" x14ac:dyDescent="0.25">
      <c r="E1055"/>
      <c r="H1055"/>
    </row>
    <row r="1056" spans="5:8" ht="15" x14ac:dyDescent="0.25">
      <c r="E1056"/>
      <c r="H1056"/>
    </row>
    <row r="1057" spans="5:8" ht="15" x14ac:dyDescent="0.25">
      <c r="E1057"/>
      <c r="H1057"/>
    </row>
    <row r="1058" spans="5:8" ht="15" x14ac:dyDescent="0.25">
      <c r="E1058"/>
      <c r="H1058"/>
    </row>
    <row r="1059" spans="5:8" ht="15" x14ac:dyDescent="0.25">
      <c r="E1059"/>
      <c r="H1059"/>
    </row>
    <row r="1060" spans="5:8" ht="15" x14ac:dyDescent="0.25">
      <c r="E1060"/>
      <c r="H1060"/>
    </row>
    <row r="1061" spans="5:8" ht="15" x14ac:dyDescent="0.25">
      <c r="E1061"/>
      <c r="H1061"/>
    </row>
    <row r="1062" spans="5:8" ht="15" x14ac:dyDescent="0.25">
      <c r="E1062"/>
      <c r="H1062"/>
    </row>
    <row r="1063" spans="5:8" ht="15" x14ac:dyDescent="0.25">
      <c r="E1063"/>
      <c r="H1063"/>
    </row>
    <row r="1064" spans="5:8" ht="15" x14ac:dyDescent="0.25">
      <c r="E1064"/>
      <c r="H1064"/>
    </row>
    <row r="1065" spans="5:8" ht="15" x14ac:dyDescent="0.25">
      <c r="E1065"/>
      <c r="H1065"/>
    </row>
    <row r="1066" spans="5:8" ht="15" x14ac:dyDescent="0.25">
      <c r="E1066"/>
      <c r="H1066"/>
    </row>
    <row r="1067" spans="5:8" ht="15" x14ac:dyDescent="0.25">
      <c r="E1067"/>
      <c r="H1067"/>
    </row>
    <row r="1068" spans="5:8" ht="15" x14ac:dyDescent="0.25">
      <c r="E1068"/>
      <c r="H1068"/>
    </row>
    <row r="1069" spans="5:8" ht="15" x14ac:dyDescent="0.25">
      <c r="E1069"/>
      <c r="H1069"/>
    </row>
    <row r="1070" spans="5:8" ht="15" x14ac:dyDescent="0.25">
      <c r="E1070"/>
      <c r="H1070"/>
    </row>
    <row r="1071" spans="5:8" ht="15" x14ac:dyDescent="0.25">
      <c r="E1071"/>
      <c r="H1071"/>
    </row>
    <row r="1072" spans="5:8" ht="15" x14ac:dyDescent="0.25">
      <c r="E1072"/>
      <c r="H1072"/>
    </row>
    <row r="1073" spans="5:8" ht="15" x14ac:dyDescent="0.25">
      <c r="E1073"/>
      <c r="H1073"/>
    </row>
    <row r="1074" spans="5:8" ht="15" x14ac:dyDescent="0.25">
      <c r="E1074"/>
      <c r="H1074"/>
    </row>
    <row r="1075" spans="5:8" ht="15" x14ac:dyDescent="0.25">
      <c r="E1075"/>
      <c r="H1075"/>
    </row>
    <row r="1076" spans="5:8" ht="15" x14ac:dyDescent="0.25">
      <c r="E1076"/>
      <c r="H1076"/>
    </row>
    <row r="1077" spans="5:8" ht="15" x14ac:dyDescent="0.25">
      <c r="E1077"/>
      <c r="H1077"/>
    </row>
    <row r="1078" spans="5:8" ht="15" x14ac:dyDescent="0.25">
      <c r="E1078"/>
      <c r="H1078"/>
    </row>
    <row r="1079" spans="5:8" ht="15" x14ac:dyDescent="0.25">
      <c r="E1079"/>
      <c r="H1079"/>
    </row>
    <row r="1080" spans="5:8" ht="15" x14ac:dyDescent="0.25">
      <c r="E1080"/>
      <c r="H1080"/>
    </row>
    <row r="1081" spans="5:8" ht="15" x14ac:dyDescent="0.25">
      <c r="E1081"/>
      <c r="H1081"/>
    </row>
    <row r="1082" spans="5:8" ht="15" x14ac:dyDescent="0.25">
      <c r="E1082"/>
      <c r="H1082"/>
    </row>
    <row r="1083" spans="5:8" ht="15" x14ac:dyDescent="0.25">
      <c r="E1083"/>
      <c r="H1083"/>
    </row>
    <row r="1084" spans="5:8" ht="15" x14ac:dyDescent="0.25">
      <c r="E1084"/>
      <c r="H1084"/>
    </row>
    <row r="1085" spans="5:8" ht="15" x14ac:dyDescent="0.25">
      <c r="E1085"/>
      <c r="H1085"/>
    </row>
    <row r="1086" spans="5:8" ht="15" x14ac:dyDescent="0.25">
      <c r="E1086"/>
      <c r="H1086"/>
    </row>
    <row r="1087" spans="5:8" ht="15" x14ac:dyDescent="0.25">
      <c r="E1087"/>
      <c r="H1087"/>
    </row>
    <row r="1088" spans="5:8" ht="15" x14ac:dyDescent="0.25">
      <c r="E1088"/>
      <c r="H1088"/>
    </row>
    <row r="1089" spans="5:8" ht="15" x14ac:dyDescent="0.25">
      <c r="E1089"/>
      <c r="H1089"/>
    </row>
    <row r="1090" spans="5:8" ht="15" x14ac:dyDescent="0.25">
      <c r="E1090"/>
      <c r="H1090"/>
    </row>
    <row r="1091" spans="5:8" ht="15" x14ac:dyDescent="0.25">
      <c r="E1091"/>
      <c r="H1091"/>
    </row>
    <row r="1092" spans="5:8" ht="15" x14ac:dyDescent="0.25">
      <c r="E1092"/>
      <c r="H1092"/>
    </row>
    <row r="1093" spans="5:8" ht="15" x14ac:dyDescent="0.25">
      <c r="E1093"/>
      <c r="H1093"/>
    </row>
    <row r="1094" spans="5:8" ht="15" x14ac:dyDescent="0.25">
      <c r="E1094"/>
      <c r="H1094"/>
    </row>
    <row r="1095" spans="5:8" ht="15" x14ac:dyDescent="0.25">
      <c r="E1095"/>
      <c r="H1095"/>
    </row>
    <row r="1096" spans="5:8" ht="15" x14ac:dyDescent="0.25">
      <c r="E1096"/>
      <c r="H1096"/>
    </row>
    <row r="1097" spans="5:8" ht="15" x14ac:dyDescent="0.25">
      <c r="E1097"/>
      <c r="H1097"/>
    </row>
    <row r="1098" spans="5:8" ht="15" x14ac:dyDescent="0.25">
      <c r="E1098"/>
      <c r="H1098"/>
    </row>
    <row r="1099" spans="5:8" ht="15" x14ac:dyDescent="0.25">
      <c r="E1099"/>
      <c r="H1099"/>
    </row>
    <row r="1100" spans="5:8" ht="15" x14ac:dyDescent="0.25">
      <c r="E1100"/>
      <c r="H1100"/>
    </row>
    <row r="1101" spans="5:8" ht="15" x14ac:dyDescent="0.25">
      <c r="E1101"/>
      <c r="H1101"/>
    </row>
    <row r="1102" spans="5:8" ht="15" x14ac:dyDescent="0.25">
      <c r="E1102"/>
      <c r="H1102"/>
    </row>
    <row r="1103" spans="5:8" ht="15" x14ac:dyDescent="0.25">
      <c r="E1103"/>
      <c r="H1103"/>
    </row>
    <row r="1104" spans="5:8" ht="15" x14ac:dyDescent="0.25">
      <c r="E1104"/>
      <c r="H1104"/>
    </row>
    <row r="1105" spans="5:8" ht="15" x14ac:dyDescent="0.25">
      <c r="E1105"/>
      <c r="H1105"/>
    </row>
    <row r="1106" spans="5:8" ht="15" x14ac:dyDescent="0.25">
      <c r="E1106"/>
      <c r="H1106"/>
    </row>
    <row r="1107" spans="5:8" ht="15" x14ac:dyDescent="0.25">
      <c r="E1107"/>
      <c r="H1107"/>
    </row>
    <row r="1108" spans="5:8" ht="15" x14ac:dyDescent="0.25">
      <c r="E1108"/>
      <c r="H1108"/>
    </row>
    <row r="1109" spans="5:8" ht="15" x14ac:dyDescent="0.25">
      <c r="E1109"/>
      <c r="H1109"/>
    </row>
    <row r="1110" spans="5:8" ht="15" x14ac:dyDescent="0.25">
      <c r="E1110"/>
      <c r="H1110"/>
    </row>
    <row r="1111" spans="5:8" ht="15" x14ac:dyDescent="0.25">
      <c r="E1111"/>
      <c r="H1111"/>
    </row>
    <row r="1112" spans="5:8" ht="15" x14ac:dyDescent="0.25">
      <c r="E1112"/>
      <c r="H1112"/>
    </row>
    <row r="1113" spans="5:8" ht="15" x14ac:dyDescent="0.25">
      <c r="E1113"/>
      <c r="H1113"/>
    </row>
    <row r="1114" spans="5:8" ht="15" x14ac:dyDescent="0.25">
      <c r="E1114"/>
      <c r="H1114"/>
    </row>
    <row r="1115" spans="5:8" ht="15" x14ac:dyDescent="0.25">
      <c r="E1115"/>
      <c r="H1115"/>
    </row>
    <row r="1116" spans="5:8" ht="15" x14ac:dyDescent="0.25">
      <c r="E1116"/>
      <c r="H1116"/>
    </row>
    <row r="1117" spans="5:8" ht="15" x14ac:dyDescent="0.25">
      <c r="E1117"/>
      <c r="H1117"/>
    </row>
    <row r="1118" spans="5:8" ht="15" x14ac:dyDescent="0.25">
      <c r="E1118"/>
      <c r="H1118"/>
    </row>
    <row r="1119" spans="5:8" ht="15" x14ac:dyDescent="0.25">
      <c r="E1119"/>
      <c r="H1119"/>
    </row>
    <row r="1120" spans="5:8" ht="15" x14ac:dyDescent="0.25">
      <c r="E1120"/>
      <c r="H1120"/>
    </row>
    <row r="1121" spans="5:8" ht="15" x14ac:dyDescent="0.25">
      <c r="E1121"/>
      <c r="H1121"/>
    </row>
    <row r="1122" spans="5:8" ht="15" x14ac:dyDescent="0.25">
      <c r="E1122"/>
      <c r="H1122"/>
    </row>
    <row r="1123" spans="5:8" ht="15" x14ac:dyDescent="0.25">
      <c r="E1123"/>
      <c r="H1123"/>
    </row>
    <row r="1124" spans="5:8" ht="15" x14ac:dyDescent="0.25">
      <c r="E1124"/>
      <c r="H1124"/>
    </row>
    <row r="1125" spans="5:8" ht="15" x14ac:dyDescent="0.25">
      <c r="E1125"/>
      <c r="H1125"/>
    </row>
    <row r="1126" spans="5:8" ht="15" x14ac:dyDescent="0.25">
      <c r="E1126"/>
      <c r="H1126"/>
    </row>
    <row r="1127" spans="5:8" ht="15" x14ac:dyDescent="0.25">
      <c r="E1127"/>
      <c r="H1127"/>
    </row>
    <row r="1128" spans="5:8" ht="15" x14ac:dyDescent="0.25">
      <c r="E1128"/>
      <c r="H1128"/>
    </row>
    <row r="1129" spans="5:8" ht="15" x14ac:dyDescent="0.25">
      <c r="E1129"/>
      <c r="H1129"/>
    </row>
    <row r="1130" spans="5:8" ht="15" x14ac:dyDescent="0.25">
      <c r="E1130"/>
      <c r="H1130"/>
    </row>
    <row r="1131" spans="5:8" ht="15" x14ac:dyDescent="0.25">
      <c r="E1131"/>
      <c r="H1131"/>
    </row>
    <row r="1132" spans="5:8" ht="15" x14ac:dyDescent="0.25">
      <c r="E1132"/>
      <c r="H1132"/>
    </row>
    <row r="1133" spans="5:8" ht="15" x14ac:dyDescent="0.25">
      <c r="E1133"/>
      <c r="H1133"/>
    </row>
    <row r="1134" spans="5:8" ht="15" x14ac:dyDescent="0.25">
      <c r="E1134"/>
      <c r="H1134"/>
    </row>
    <row r="1135" spans="5:8" ht="15" x14ac:dyDescent="0.25">
      <c r="E1135"/>
      <c r="H1135"/>
    </row>
    <row r="1136" spans="5:8" ht="15" x14ac:dyDescent="0.25">
      <c r="E1136"/>
      <c r="H1136"/>
    </row>
    <row r="1137" spans="5:8" ht="15" x14ac:dyDescent="0.25">
      <c r="E1137"/>
      <c r="H1137"/>
    </row>
    <row r="1138" spans="5:8" ht="15" x14ac:dyDescent="0.25">
      <c r="E1138"/>
      <c r="H1138"/>
    </row>
    <row r="1139" spans="5:8" ht="15" x14ac:dyDescent="0.25">
      <c r="E1139"/>
      <c r="H1139"/>
    </row>
    <row r="1140" spans="5:8" ht="15" x14ac:dyDescent="0.25">
      <c r="E1140"/>
      <c r="H1140"/>
    </row>
    <row r="1141" spans="5:8" ht="15" x14ac:dyDescent="0.25">
      <c r="E1141"/>
      <c r="H1141"/>
    </row>
    <row r="1142" spans="5:8" ht="15" x14ac:dyDescent="0.25">
      <c r="E1142"/>
      <c r="H1142"/>
    </row>
    <row r="1143" spans="5:8" ht="15" x14ac:dyDescent="0.25">
      <c r="E1143"/>
      <c r="H1143"/>
    </row>
    <row r="1144" spans="5:8" ht="15" x14ac:dyDescent="0.25">
      <c r="E1144"/>
      <c r="H1144"/>
    </row>
    <row r="1145" spans="5:8" ht="15" x14ac:dyDescent="0.25">
      <c r="E1145"/>
      <c r="H1145"/>
    </row>
    <row r="1146" spans="5:8" ht="15" x14ac:dyDescent="0.25">
      <c r="E1146"/>
      <c r="H1146"/>
    </row>
    <row r="1147" spans="5:8" ht="15" x14ac:dyDescent="0.25">
      <c r="E1147"/>
      <c r="H1147"/>
    </row>
    <row r="1148" spans="5:8" ht="15" x14ac:dyDescent="0.25">
      <c r="E1148"/>
      <c r="H1148"/>
    </row>
    <row r="1149" spans="5:8" ht="15" x14ac:dyDescent="0.25">
      <c r="E1149"/>
      <c r="H1149"/>
    </row>
    <row r="1150" spans="5:8" ht="15" x14ac:dyDescent="0.25">
      <c r="E1150"/>
      <c r="H1150"/>
    </row>
    <row r="1151" spans="5:8" ht="15" x14ac:dyDescent="0.25">
      <c r="E1151"/>
      <c r="H1151"/>
    </row>
    <row r="1152" spans="5:8" ht="15" x14ac:dyDescent="0.25">
      <c r="E1152"/>
      <c r="H1152"/>
    </row>
    <row r="1153" spans="5:8" ht="15" x14ac:dyDescent="0.25">
      <c r="E1153"/>
      <c r="H1153"/>
    </row>
    <row r="1154" spans="5:8" ht="15" x14ac:dyDescent="0.25">
      <c r="E1154"/>
      <c r="H1154"/>
    </row>
    <row r="1155" spans="5:8" ht="15" x14ac:dyDescent="0.25">
      <c r="E1155"/>
      <c r="H1155"/>
    </row>
    <row r="1156" spans="5:8" ht="15" x14ac:dyDescent="0.25">
      <c r="E1156"/>
      <c r="H1156"/>
    </row>
    <row r="1157" spans="5:8" ht="15" x14ac:dyDescent="0.25">
      <c r="E1157"/>
      <c r="H1157"/>
    </row>
    <row r="1158" spans="5:8" ht="15" x14ac:dyDescent="0.25">
      <c r="E1158"/>
      <c r="H1158"/>
    </row>
    <row r="1159" spans="5:8" ht="15" x14ac:dyDescent="0.25">
      <c r="E1159"/>
      <c r="H1159"/>
    </row>
    <row r="1160" spans="5:8" ht="15" x14ac:dyDescent="0.25">
      <c r="E1160"/>
      <c r="H1160"/>
    </row>
    <row r="1161" spans="5:8" ht="15" x14ac:dyDescent="0.25">
      <c r="E1161"/>
      <c r="H1161"/>
    </row>
    <row r="1162" spans="5:8" ht="15" x14ac:dyDescent="0.25">
      <c r="E1162"/>
      <c r="H1162"/>
    </row>
    <row r="1163" spans="5:8" ht="15" x14ac:dyDescent="0.25">
      <c r="E1163"/>
      <c r="H1163"/>
    </row>
    <row r="1164" spans="5:8" ht="15" x14ac:dyDescent="0.25">
      <c r="E1164"/>
      <c r="H1164"/>
    </row>
    <row r="1165" spans="5:8" ht="15" x14ac:dyDescent="0.25">
      <c r="E1165"/>
      <c r="H1165"/>
    </row>
    <row r="1166" spans="5:8" ht="15" x14ac:dyDescent="0.25">
      <c r="E1166"/>
      <c r="H1166"/>
    </row>
    <row r="1167" spans="5:8" ht="15" x14ac:dyDescent="0.25">
      <c r="E1167"/>
      <c r="H1167"/>
    </row>
    <row r="1168" spans="5:8" ht="15" x14ac:dyDescent="0.25">
      <c r="E1168"/>
      <c r="H1168"/>
    </row>
    <row r="1169" spans="5:8" ht="15" x14ac:dyDescent="0.25">
      <c r="E1169"/>
      <c r="H1169"/>
    </row>
    <row r="1170" spans="5:8" ht="15" x14ac:dyDescent="0.25">
      <c r="E1170"/>
      <c r="H1170"/>
    </row>
    <row r="1171" spans="5:8" ht="15" x14ac:dyDescent="0.25">
      <c r="E1171"/>
      <c r="H1171"/>
    </row>
    <row r="1172" spans="5:8" ht="15" x14ac:dyDescent="0.25">
      <c r="E1172"/>
      <c r="H1172"/>
    </row>
    <row r="1173" spans="5:8" ht="15" x14ac:dyDescent="0.25">
      <c r="E1173"/>
      <c r="H1173"/>
    </row>
    <row r="1174" spans="5:8" ht="15" x14ac:dyDescent="0.25">
      <c r="E1174"/>
      <c r="H1174"/>
    </row>
    <row r="1175" spans="5:8" ht="15" x14ac:dyDescent="0.25">
      <c r="E1175"/>
      <c r="H1175"/>
    </row>
    <row r="1176" spans="5:8" ht="15" x14ac:dyDescent="0.25">
      <c r="E1176"/>
      <c r="H1176"/>
    </row>
    <row r="1177" spans="5:8" ht="15" x14ac:dyDescent="0.25">
      <c r="E1177"/>
      <c r="H1177"/>
    </row>
    <row r="1178" spans="5:8" ht="15" x14ac:dyDescent="0.25">
      <c r="E1178"/>
      <c r="H1178"/>
    </row>
    <row r="1179" spans="5:8" ht="15" x14ac:dyDescent="0.25">
      <c r="E1179"/>
      <c r="H1179"/>
    </row>
    <row r="1180" spans="5:8" ht="15" x14ac:dyDescent="0.25">
      <c r="E1180"/>
      <c r="H1180"/>
    </row>
    <row r="1181" spans="5:8" ht="15" x14ac:dyDescent="0.25">
      <c r="E1181"/>
      <c r="H1181"/>
    </row>
    <row r="1182" spans="5:8" ht="15" x14ac:dyDescent="0.25">
      <c r="E1182"/>
      <c r="H1182"/>
    </row>
    <row r="1183" spans="5:8" ht="15" x14ac:dyDescent="0.25">
      <c r="E1183"/>
      <c r="H1183"/>
    </row>
    <row r="1184" spans="5:8" ht="15" x14ac:dyDescent="0.25">
      <c r="E1184"/>
      <c r="H1184"/>
    </row>
    <row r="1185" spans="5:8" ht="15" x14ac:dyDescent="0.25">
      <c r="E1185"/>
      <c r="H1185"/>
    </row>
    <row r="1186" spans="5:8" ht="15" x14ac:dyDescent="0.25">
      <c r="E1186"/>
      <c r="H1186"/>
    </row>
    <row r="1187" spans="5:8" ht="15" x14ac:dyDescent="0.25">
      <c r="E1187"/>
      <c r="H1187"/>
    </row>
    <row r="1188" spans="5:8" ht="15" x14ac:dyDescent="0.25">
      <c r="E1188"/>
      <c r="H1188"/>
    </row>
    <row r="1189" spans="5:8" ht="15" x14ac:dyDescent="0.25">
      <c r="E1189"/>
      <c r="H1189"/>
    </row>
    <row r="1190" spans="5:8" ht="15" x14ac:dyDescent="0.25">
      <c r="E1190"/>
      <c r="H1190"/>
    </row>
    <row r="1191" spans="5:8" ht="15" x14ac:dyDescent="0.25">
      <c r="E1191"/>
      <c r="H1191"/>
    </row>
    <row r="1192" spans="5:8" ht="15" x14ac:dyDescent="0.25">
      <c r="E1192"/>
      <c r="H1192"/>
    </row>
    <row r="1193" spans="5:8" ht="15" x14ac:dyDescent="0.25">
      <c r="E1193"/>
      <c r="H1193"/>
    </row>
    <row r="1194" spans="5:8" ht="15" x14ac:dyDescent="0.25">
      <c r="E1194"/>
      <c r="H1194"/>
    </row>
    <row r="1195" spans="5:8" ht="15" x14ac:dyDescent="0.25">
      <c r="E1195"/>
      <c r="H1195"/>
    </row>
    <row r="1196" spans="5:8" ht="15" x14ac:dyDescent="0.25">
      <c r="E1196"/>
      <c r="H1196"/>
    </row>
    <row r="1197" spans="5:8" ht="15" x14ac:dyDescent="0.25">
      <c r="E1197"/>
      <c r="H1197"/>
    </row>
    <row r="1198" spans="5:8" ht="15" x14ac:dyDescent="0.25">
      <c r="E1198"/>
      <c r="H1198"/>
    </row>
    <row r="1199" spans="5:8" ht="15" x14ac:dyDescent="0.25">
      <c r="E1199"/>
      <c r="H1199"/>
    </row>
    <row r="1200" spans="5:8" ht="15" x14ac:dyDescent="0.25">
      <c r="E1200"/>
      <c r="H1200"/>
    </row>
    <row r="1201" spans="5:8" ht="15" x14ac:dyDescent="0.25">
      <c r="E1201"/>
      <c r="H1201"/>
    </row>
    <row r="1202" spans="5:8" ht="15" x14ac:dyDescent="0.25">
      <c r="E1202"/>
      <c r="H1202"/>
    </row>
    <row r="1203" spans="5:8" ht="15" x14ac:dyDescent="0.25">
      <c r="E1203"/>
      <c r="H1203"/>
    </row>
    <row r="1204" spans="5:8" ht="15" x14ac:dyDescent="0.25">
      <c r="E1204"/>
      <c r="H1204"/>
    </row>
    <row r="1205" spans="5:8" ht="15" x14ac:dyDescent="0.25">
      <c r="E1205"/>
      <c r="H1205"/>
    </row>
    <row r="1206" spans="5:8" ht="15" x14ac:dyDescent="0.25">
      <c r="E1206"/>
      <c r="H1206"/>
    </row>
    <row r="1207" spans="5:8" ht="15" x14ac:dyDescent="0.25">
      <c r="E1207"/>
      <c r="H1207"/>
    </row>
    <row r="1208" spans="5:8" ht="15" x14ac:dyDescent="0.25">
      <c r="E1208"/>
      <c r="H1208"/>
    </row>
    <row r="1209" spans="5:8" ht="15" x14ac:dyDescent="0.25">
      <c r="E1209"/>
      <c r="H1209"/>
    </row>
    <row r="1210" spans="5:8" ht="15" x14ac:dyDescent="0.25">
      <c r="E1210"/>
      <c r="H1210"/>
    </row>
    <row r="1211" spans="5:8" ht="15" x14ac:dyDescent="0.25">
      <c r="E1211"/>
      <c r="H1211"/>
    </row>
    <row r="1212" spans="5:8" ht="15" x14ac:dyDescent="0.25">
      <c r="E1212"/>
      <c r="H1212"/>
    </row>
    <row r="1213" spans="5:8" ht="15" x14ac:dyDescent="0.25">
      <c r="E1213"/>
      <c r="H1213"/>
    </row>
    <row r="1214" spans="5:8" ht="15" x14ac:dyDescent="0.25">
      <c r="E1214"/>
      <c r="H1214"/>
    </row>
    <row r="1215" spans="5:8" ht="15" x14ac:dyDescent="0.25">
      <c r="E1215"/>
      <c r="H1215"/>
    </row>
    <row r="1216" spans="5:8" ht="15" x14ac:dyDescent="0.25">
      <c r="E1216"/>
      <c r="H1216"/>
    </row>
    <row r="1217" spans="5:8" ht="15" x14ac:dyDescent="0.25">
      <c r="E1217"/>
      <c r="H1217"/>
    </row>
    <row r="1218" spans="5:8" ht="15" x14ac:dyDescent="0.25">
      <c r="E1218"/>
      <c r="H1218"/>
    </row>
    <row r="1219" spans="5:8" ht="15" x14ac:dyDescent="0.25">
      <c r="E1219"/>
      <c r="H1219"/>
    </row>
    <row r="1220" spans="5:8" ht="15" x14ac:dyDescent="0.25">
      <c r="E1220"/>
      <c r="H1220"/>
    </row>
    <row r="1221" spans="5:8" ht="15" x14ac:dyDescent="0.25">
      <c r="E1221"/>
      <c r="H1221"/>
    </row>
    <row r="1222" spans="5:8" ht="15" x14ac:dyDescent="0.25">
      <c r="E1222"/>
      <c r="H1222"/>
    </row>
    <row r="1223" spans="5:8" ht="15" x14ac:dyDescent="0.25">
      <c r="E1223"/>
      <c r="H1223"/>
    </row>
    <row r="1224" spans="5:8" ht="15" x14ac:dyDescent="0.25">
      <c r="E1224"/>
      <c r="H1224"/>
    </row>
    <row r="1225" spans="5:8" ht="15" x14ac:dyDescent="0.25">
      <c r="E1225"/>
      <c r="H1225"/>
    </row>
    <row r="1226" spans="5:8" ht="15" x14ac:dyDescent="0.25">
      <c r="E1226"/>
      <c r="H1226"/>
    </row>
    <row r="1227" spans="5:8" ht="15" x14ac:dyDescent="0.25">
      <c r="E1227"/>
      <c r="H1227"/>
    </row>
    <row r="1228" spans="5:8" ht="15" x14ac:dyDescent="0.25">
      <c r="E1228"/>
      <c r="H1228"/>
    </row>
    <row r="1229" spans="5:8" ht="15" x14ac:dyDescent="0.25">
      <c r="E1229"/>
      <c r="H1229"/>
    </row>
    <row r="1230" spans="5:8" ht="15" x14ac:dyDescent="0.25">
      <c r="E1230"/>
      <c r="H1230"/>
    </row>
    <row r="1231" spans="5:8" ht="15" x14ac:dyDescent="0.25">
      <c r="E1231"/>
      <c r="H1231"/>
    </row>
    <row r="1232" spans="5:8" ht="15" x14ac:dyDescent="0.25">
      <c r="E1232"/>
      <c r="H1232"/>
    </row>
    <row r="1233" spans="5:8" ht="15" x14ac:dyDescent="0.25">
      <c r="E1233"/>
      <c r="H1233"/>
    </row>
    <row r="1234" spans="5:8" ht="15" x14ac:dyDescent="0.25">
      <c r="E1234"/>
      <c r="H1234"/>
    </row>
    <row r="1235" spans="5:8" ht="15" x14ac:dyDescent="0.25">
      <c r="E1235"/>
      <c r="H1235"/>
    </row>
    <row r="1236" spans="5:8" ht="15" x14ac:dyDescent="0.25">
      <c r="E1236"/>
      <c r="H1236"/>
    </row>
    <row r="1237" spans="5:8" ht="15" x14ac:dyDescent="0.25">
      <c r="E1237"/>
      <c r="H1237"/>
    </row>
    <row r="1238" spans="5:8" ht="15" x14ac:dyDescent="0.25">
      <c r="E1238"/>
      <c r="H1238"/>
    </row>
    <row r="1239" spans="5:8" ht="15" x14ac:dyDescent="0.25">
      <c r="E1239"/>
      <c r="H1239"/>
    </row>
    <row r="1240" spans="5:8" ht="15" x14ac:dyDescent="0.25">
      <c r="E1240"/>
      <c r="H1240"/>
    </row>
    <row r="1241" spans="5:8" ht="15" x14ac:dyDescent="0.25">
      <c r="E1241"/>
      <c r="H1241"/>
    </row>
    <row r="1242" spans="5:8" ht="15" x14ac:dyDescent="0.25">
      <c r="E1242"/>
      <c r="H1242"/>
    </row>
    <row r="1243" spans="5:8" ht="15" x14ac:dyDescent="0.25">
      <c r="E1243"/>
      <c r="H1243"/>
    </row>
    <row r="1244" spans="5:8" ht="15" x14ac:dyDescent="0.25">
      <c r="E1244"/>
      <c r="H1244"/>
    </row>
    <row r="1245" spans="5:8" ht="15" x14ac:dyDescent="0.25">
      <c r="E1245"/>
      <c r="H1245"/>
    </row>
    <row r="1246" spans="5:8" ht="15" x14ac:dyDescent="0.25">
      <c r="E1246"/>
      <c r="H1246"/>
    </row>
    <row r="1247" spans="5:8" ht="15" x14ac:dyDescent="0.25">
      <c r="E1247"/>
      <c r="H1247"/>
    </row>
    <row r="1248" spans="5:8" ht="15" x14ac:dyDescent="0.25">
      <c r="E1248"/>
      <c r="H1248"/>
    </row>
    <row r="1249" spans="5:8" ht="15" x14ac:dyDescent="0.25">
      <c r="E1249"/>
      <c r="H1249"/>
    </row>
    <row r="1250" spans="5:8" ht="15" x14ac:dyDescent="0.25">
      <c r="E1250"/>
      <c r="H1250"/>
    </row>
    <row r="1251" spans="5:8" ht="15" x14ac:dyDescent="0.25">
      <c r="E1251"/>
      <c r="H1251"/>
    </row>
    <row r="1252" spans="5:8" ht="15" x14ac:dyDescent="0.25">
      <c r="E1252"/>
      <c r="H1252"/>
    </row>
    <row r="1253" spans="5:8" ht="15" x14ac:dyDescent="0.25">
      <c r="E1253"/>
      <c r="H1253"/>
    </row>
    <row r="1254" spans="5:8" ht="15" x14ac:dyDescent="0.25">
      <c r="E1254"/>
      <c r="H1254"/>
    </row>
    <row r="1255" spans="5:8" ht="15" x14ac:dyDescent="0.25">
      <c r="E1255"/>
      <c r="H1255"/>
    </row>
    <row r="1256" spans="5:8" ht="15" x14ac:dyDescent="0.25">
      <c r="E1256"/>
      <c r="H1256"/>
    </row>
    <row r="1257" spans="5:8" ht="15" x14ac:dyDescent="0.25">
      <c r="E1257"/>
      <c r="H1257"/>
    </row>
    <row r="1258" spans="5:8" ht="15" x14ac:dyDescent="0.25">
      <c r="E1258"/>
      <c r="H1258"/>
    </row>
    <row r="1259" spans="5:8" ht="15" x14ac:dyDescent="0.25">
      <c r="E1259"/>
      <c r="H1259"/>
    </row>
    <row r="1260" spans="5:8" ht="15" x14ac:dyDescent="0.25">
      <c r="E1260"/>
      <c r="H1260"/>
    </row>
    <row r="1261" spans="5:8" ht="15" x14ac:dyDescent="0.25">
      <c r="E1261"/>
      <c r="H1261"/>
    </row>
    <row r="1262" spans="5:8" ht="15" x14ac:dyDescent="0.25">
      <c r="E1262"/>
      <c r="H1262"/>
    </row>
    <row r="1263" spans="5:8" ht="15" x14ac:dyDescent="0.25">
      <c r="E1263"/>
      <c r="H1263"/>
    </row>
    <row r="1264" spans="5:8" ht="15" x14ac:dyDescent="0.25">
      <c r="E1264"/>
      <c r="H1264"/>
    </row>
    <row r="1265" spans="5:8" ht="15" x14ac:dyDescent="0.25">
      <c r="E1265"/>
      <c r="H1265"/>
    </row>
    <row r="1266" spans="5:8" ht="15" x14ac:dyDescent="0.25">
      <c r="E1266"/>
      <c r="H1266"/>
    </row>
    <row r="1267" spans="5:8" ht="15" x14ac:dyDescent="0.25">
      <c r="E1267"/>
      <c r="H1267"/>
    </row>
    <row r="1268" spans="5:8" ht="15" x14ac:dyDescent="0.25">
      <c r="E1268"/>
      <c r="H1268"/>
    </row>
    <row r="1269" spans="5:8" ht="15" x14ac:dyDescent="0.25">
      <c r="E1269"/>
      <c r="H1269"/>
    </row>
    <row r="1270" spans="5:8" ht="15" x14ac:dyDescent="0.25">
      <c r="E1270"/>
      <c r="H1270"/>
    </row>
    <row r="1271" spans="5:8" ht="15" x14ac:dyDescent="0.25">
      <c r="E1271"/>
      <c r="H1271"/>
    </row>
    <row r="1272" spans="5:8" ht="15" x14ac:dyDescent="0.25">
      <c r="E1272"/>
      <c r="H1272"/>
    </row>
    <row r="1273" spans="5:8" ht="15" x14ac:dyDescent="0.25">
      <c r="E1273"/>
      <c r="H1273"/>
    </row>
    <row r="1274" spans="5:8" ht="15" x14ac:dyDescent="0.25">
      <c r="E1274"/>
      <c r="H1274"/>
    </row>
    <row r="1275" spans="5:8" ht="15" x14ac:dyDescent="0.25">
      <c r="E1275"/>
      <c r="H1275"/>
    </row>
    <row r="1276" spans="5:8" ht="15" x14ac:dyDescent="0.25">
      <c r="E1276"/>
      <c r="H1276"/>
    </row>
    <row r="1277" spans="5:8" ht="15" x14ac:dyDescent="0.25">
      <c r="E1277"/>
      <c r="H1277"/>
    </row>
    <row r="1278" spans="5:8" ht="15" x14ac:dyDescent="0.25">
      <c r="E1278"/>
      <c r="H1278"/>
    </row>
    <row r="1279" spans="5:8" ht="15" x14ac:dyDescent="0.25">
      <c r="E1279"/>
      <c r="H1279"/>
    </row>
    <row r="1280" spans="5:8" ht="15" x14ac:dyDescent="0.25">
      <c r="E1280"/>
      <c r="H1280"/>
    </row>
    <row r="1281" spans="5:8" ht="15" x14ac:dyDescent="0.25">
      <c r="E1281"/>
      <c r="H1281"/>
    </row>
    <row r="1282" spans="5:8" ht="15" x14ac:dyDescent="0.25">
      <c r="E1282"/>
      <c r="H1282"/>
    </row>
    <row r="1283" spans="5:8" ht="15" x14ac:dyDescent="0.25">
      <c r="E1283"/>
      <c r="H1283"/>
    </row>
    <row r="1284" spans="5:8" ht="15" x14ac:dyDescent="0.25">
      <c r="E1284"/>
      <c r="H1284"/>
    </row>
    <row r="1285" spans="5:8" ht="15" x14ac:dyDescent="0.25">
      <c r="E1285"/>
      <c r="H1285"/>
    </row>
    <row r="1286" spans="5:8" ht="15" x14ac:dyDescent="0.25">
      <c r="E1286"/>
      <c r="H1286"/>
    </row>
    <row r="1287" spans="5:8" ht="15" x14ac:dyDescent="0.25">
      <c r="E1287"/>
      <c r="H1287"/>
    </row>
    <row r="1288" spans="5:8" ht="15" x14ac:dyDescent="0.25">
      <c r="E1288"/>
      <c r="H1288"/>
    </row>
    <row r="1289" spans="5:8" ht="15" x14ac:dyDescent="0.25">
      <c r="E1289"/>
      <c r="H1289"/>
    </row>
    <row r="1290" spans="5:8" ht="15" x14ac:dyDescent="0.25">
      <c r="E1290"/>
      <c r="H1290"/>
    </row>
    <row r="1291" spans="5:8" ht="15" x14ac:dyDescent="0.25">
      <c r="E1291"/>
      <c r="H1291"/>
    </row>
    <row r="1292" spans="5:8" ht="15" x14ac:dyDescent="0.25">
      <c r="E1292"/>
      <c r="H1292"/>
    </row>
    <row r="1293" spans="5:8" ht="15" x14ac:dyDescent="0.25">
      <c r="E1293"/>
      <c r="H1293"/>
    </row>
    <row r="1294" spans="5:8" ht="15" x14ac:dyDescent="0.25">
      <c r="E1294"/>
      <c r="H1294"/>
    </row>
    <row r="1295" spans="5:8" ht="15" x14ac:dyDescent="0.25">
      <c r="E1295"/>
      <c r="H1295"/>
    </row>
    <row r="1296" spans="5:8" ht="15" x14ac:dyDescent="0.25">
      <c r="E1296"/>
      <c r="H1296"/>
    </row>
    <row r="1297" spans="5:8" ht="15" x14ac:dyDescent="0.25">
      <c r="E1297"/>
      <c r="H1297"/>
    </row>
    <row r="1298" spans="5:8" ht="15" x14ac:dyDescent="0.25">
      <c r="E1298"/>
      <c r="H1298"/>
    </row>
    <row r="1299" spans="5:8" ht="15" x14ac:dyDescent="0.25">
      <c r="E1299"/>
      <c r="H1299"/>
    </row>
    <row r="1300" spans="5:8" ht="15" x14ac:dyDescent="0.25">
      <c r="E1300"/>
      <c r="H1300"/>
    </row>
    <row r="1301" spans="5:8" ht="15" x14ac:dyDescent="0.25">
      <c r="E1301"/>
      <c r="H1301"/>
    </row>
    <row r="1302" spans="5:8" ht="15" x14ac:dyDescent="0.25">
      <c r="E1302"/>
      <c r="H1302"/>
    </row>
    <row r="1303" spans="5:8" ht="15" x14ac:dyDescent="0.25">
      <c r="E1303"/>
      <c r="H1303"/>
    </row>
    <row r="1304" spans="5:8" ht="15" x14ac:dyDescent="0.25">
      <c r="E1304"/>
      <c r="H1304"/>
    </row>
    <row r="1305" spans="5:8" ht="15" x14ac:dyDescent="0.25">
      <c r="E1305"/>
      <c r="H1305"/>
    </row>
    <row r="1306" spans="5:8" ht="15" x14ac:dyDescent="0.25">
      <c r="E1306"/>
      <c r="H1306"/>
    </row>
    <row r="1307" spans="5:8" ht="15" x14ac:dyDescent="0.25">
      <c r="E1307"/>
      <c r="H1307"/>
    </row>
    <row r="1308" spans="5:8" ht="15" x14ac:dyDescent="0.25">
      <c r="E1308"/>
      <c r="H1308"/>
    </row>
    <row r="1309" spans="5:8" ht="15" x14ac:dyDescent="0.25">
      <c r="E1309"/>
      <c r="H1309"/>
    </row>
    <row r="1310" spans="5:8" ht="15" x14ac:dyDescent="0.25">
      <c r="E1310"/>
      <c r="H1310"/>
    </row>
    <row r="1311" spans="5:8" ht="15" x14ac:dyDescent="0.25">
      <c r="E1311"/>
      <c r="H1311"/>
    </row>
    <row r="1312" spans="5:8" ht="15" x14ac:dyDescent="0.25">
      <c r="E1312"/>
      <c r="H1312"/>
    </row>
    <row r="1313" spans="5:8" ht="15" x14ac:dyDescent="0.25">
      <c r="E1313"/>
      <c r="H1313"/>
    </row>
    <row r="1314" spans="5:8" ht="15" x14ac:dyDescent="0.25">
      <c r="E1314"/>
      <c r="H1314"/>
    </row>
    <row r="1315" spans="5:8" ht="15" x14ac:dyDescent="0.25">
      <c r="E1315"/>
      <c r="H1315"/>
    </row>
    <row r="1316" spans="5:8" ht="15" x14ac:dyDescent="0.25">
      <c r="E1316"/>
      <c r="H1316"/>
    </row>
    <row r="1317" spans="5:8" ht="15" x14ac:dyDescent="0.25">
      <c r="E1317"/>
      <c r="H1317"/>
    </row>
    <row r="1318" spans="5:8" ht="15" x14ac:dyDescent="0.25">
      <c r="E1318"/>
      <c r="H1318"/>
    </row>
    <row r="1319" spans="5:8" ht="15" x14ac:dyDescent="0.25">
      <c r="E1319"/>
      <c r="H1319"/>
    </row>
    <row r="1320" spans="5:8" ht="15" x14ac:dyDescent="0.25">
      <c r="E1320"/>
      <c r="H1320"/>
    </row>
    <row r="1321" spans="5:8" ht="15" x14ac:dyDescent="0.25">
      <c r="E1321"/>
      <c r="H1321"/>
    </row>
    <row r="1322" spans="5:8" ht="15" x14ac:dyDescent="0.25">
      <c r="E1322"/>
      <c r="H1322"/>
    </row>
    <row r="1323" spans="5:8" ht="15" x14ac:dyDescent="0.25">
      <c r="E1323"/>
      <c r="H1323"/>
    </row>
    <row r="1324" spans="5:8" ht="15" x14ac:dyDescent="0.25">
      <c r="E1324"/>
      <c r="H1324"/>
    </row>
    <row r="1325" spans="5:8" ht="15" x14ac:dyDescent="0.25">
      <c r="E1325"/>
      <c r="H1325"/>
    </row>
    <row r="1326" spans="5:8" ht="15" x14ac:dyDescent="0.25">
      <c r="E1326"/>
      <c r="H1326"/>
    </row>
    <row r="1327" spans="5:8" ht="15" x14ac:dyDescent="0.25">
      <c r="E1327"/>
      <c r="H1327"/>
    </row>
    <row r="1328" spans="5:8" ht="15" x14ac:dyDescent="0.25">
      <c r="E1328"/>
      <c r="H1328"/>
    </row>
    <row r="1329" spans="5:8" ht="15" x14ac:dyDescent="0.25">
      <c r="E1329"/>
      <c r="H1329"/>
    </row>
    <row r="1330" spans="5:8" ht="15" x14ac:dyDescent="0.25">
      <c r="E1330"/>
      <c r="H1330"/>
    </row>
    <row r="1331" spans="5:8" ht="15" x14ac:dyDescent="0.25">
      <c r="E1331"/>
      <c r="H1331"/>
    </row>
    <row r="1332" spans="5:8" ht="15" x14ac:dyDescent="0.25">
      <c r="E1332"/>
      <c r="H1332"/>
    </row>
    <row r="1333" spans="5:8" ht="15" x14ac:dyDescent="0.25">
      <c r="E1333"/>
      <c r="H1333"/>
    </row>
    <row r="1334" spans="5:8" ht="15" x14ac:dyDescent="0.25">
      <c r="E1334"/>
      <c r="H1334"/>
    </row>
    <row r="1335" spans="5:8" ht="15" x14ac:dyDescent="0.25">
      <c r="E1335"/>
      <c r="H1335"/>
    </row>
    <row r="1336" spans="5:8" ht="15" x14ac:dyDescent="0.25">
      <c r="E1336"/>
      <c r="H1336"/>
    </row>
    <row r="1337" spans="5:8" ht="15" x14ac:dyDescent="0.25">
      <c r="E1337"/>
      <c r="H1337"/>
    </row>
    <row r="1338" spans="5:8" ht="15" x14ac:dyDescent="0.25">
      <c r="E1338"/>
      <c r="H1338"/>
    </row>
    <row r="1339" spans="5:8" ht="15" x14ac:dyDescent="0.25">
      <c r="E1339"/>
      <c r="H1339"/>
    </row>
    <row r="1340" spans="5:8" ht="15" x14ac:dyDescent="0.25">
      <c r="E1340"/>
      <c r="H1340"/>
    </row>
    <row r="1341" spans="5:8" ht="15" x14ac:dyDescent="0.25">
      <c r="E1341"/>
      <c r="H1341"/>
    </row>
    <row r="1342" spans="5:8" ht="15" x14ac:dyDescent="0.25">
      <c r="E1342"/>
      <c r="H1342"/>
    </row>
    <row r="1343" spans="5:8" ht="15" x14ac:dyDescent="0.25">
      <c r="E1343"/>
      <c r="H1343"/>
    </row>
    <row r="1344" spans="5:8" ht="15" x14ac:dyDescent="0.25">
      <c r="E1344"/>
      <c r="H1344"/>
    </row>
    <row r="1345" spans="5:8" ht="15" x14ac:dyDescent="0.25">
      <c r="E1345"/>
      <c r="H1345"/>
    </row>
    <row r="1346" spans="5:8" ht="15" x14ac:dyDescent="0.25">
      <c r="E1346"/>
      <c r="H1346"/>
    </row>
    <row r="1347" spans="5:8" ht="15" x14ac:dyDescent="0.25">
      <c r="E1347"/>
      <c r="H1347"/>
    </row>
    <row r="1348" spans="5:8" ht="15" x14ac:dyDescent="0.25">
      <c r="E1348"/>
      <c r="H1348"/>
    </row>
    <row r="1349" spans="5:8" ht="15" x14ac:dyDescent="0.25">
      <c r="E1349"/>
      <c r="H1349"/>
    </row>
    <row r="1350" spans="5:8" ht="15" x14ac:dyDescent="0.25">
      <c r="E1350"/>
      <c r="H1350"/>
    </row>
    <row r="1351" spans="5:8" ht="15" x14ac:dyDescent="0.25">
      <c r="E1351"/>
      <c r="H1351"/>
    </row>
    <row r="1352" spans="5:8" ht="15" x14ac:dyDescent="0.25">
      <c r="E1352"/>
      <c r="H1352"/>
    </row>
    <row r="1353" spans="5:8" ht="15" x14ac:dyDescent="0.25">
      <c r="E1353"/>
      <c r="H1353"/>
    </row>
    <row r="1354" spans="5:8" ht="15" x14ac:dyDescent="0.25">
      <c r="E1354"/>
      <c r="H1354"/>
    </row>
    <row r="1355" spans="5:8" ht="15" x14ac:dyDescent="0.25">
      <c r="E1355"/>
      <c r="H1355"/>
    </row>
    <row r="1356" spans="5:8" ht="15" x14ac:dyDescent="0.25">
      <c r="E1356"/>
      <c r="H1356"/>
    </row>
    <row r="1357" spans="5:8" ht="15" x14ac:dyDescent="0.25">
      <c r="E1357"/>
      <c r="H1357"/>
    </row>
    <row r="1358" spans="5:8" ht="15" x14ac:dyDescent="0.25">
      <c r="E1358"/>
      <c r="H1358"/>
    </row>
    <row r="1359" spans="5:8" ht="15" x14ac:dyDescent="0.25">
      <c r="E1359"/>
      <c r="H1359"/>
    </row>
    <row r="1360" spans="5:8" ht="15" x14ac:dyDescent="0.25">
      <c r="E1360"/>
      <c r="H1360"/>
    </row>
    <row r="1361" spans="5:8" ht="15" x14ac:dyDescent="0.25">
      <c r="E1361"/>
      <c r="H1361"/>
    </row>
    <row r="1362" spans="5:8" ht="15" x14ac:dyDescent="0.25">
      <c r="E1362"/>
      <c r="H1362"/>
    </row>
    <row r="1363" spans="5:8" ht="15" x14ac:dyDescent="0.25">
      <c r="E1363"/>
      <c r="H1363"/>
    </row>
    <row r="1364" spans="5:8" ht="15" x14ac:dyDescent="0.25">
      <c r="E1364"/>
      <c r="H1364"/>
    </row>
    <row r="1365" spans="5:8" ht="15" x14ac:dyDescent="0.25">
      <c r="E1365"/>
      <c r="H1365"/>
    </row>
    <row r="1366" spans="5:8" ht="15" x14ac:dyDescent="0.25">
      <c r="E1366"/>
      <c r="H1366"/>
    </row>
    <row r="1367" spans="5:8" ht="15" x14ac:dyDescent="0.25">
      <c r="E1367"/>
      <c r="H1367"/>
    </row>
    <row r="1368" spans="5:8" ht="15" x14ac:dyDescent="0.25">
      <c r="E1368"/>
      <c r="H1368"/>
    </row>
    <row r="1369" spans="5:8" ht="15" x14ac:dyDescent="0.25">
      <c r="E1369"/>
      <c r="H1369"/>
    </row>
    <row r="1370" spans="5:8" ht="15" x14ac:dyDescent="0.25">
      <c r="E1370"/>
      <c r="H1370"/>
    </row>
    <row r="1371" spans="5:8" ht="15" x14ac:dyDescent="0.25">
      <c r="E1371"/>
      <c r="H1371"/>
    </row>
    <row r="1372" spans="5:8" ht="15" x14ac:dyDescent="0.25">
      <c r="E1372"/>
      <c r="H1372"/>
    </row>
    <row r="1373" spans="5:8" ht="15" x14ac:dyDescent="0.25">
      <c r="E1373"/>
      <c r="H1373"/>
    </row>
    <row r="1374" spans="5:8" ht="15" x14ac:dyDescent="0.25">
      <c r="E1374"/>
      <c r="H1374"/>
    </row>
    <row r="1375" spans="5:8" ht="15" x14ac:dyDescent="0.25">
      <c r="E1375"/>
      <c r="H1375"/>
    </row>
    <row r="1376" spans="5:8" ht="15" x14ac:dyDescent="0.25">
      <c r="E1376"/>
      <c r="H1376"/>
    </row>
    <row r="1377" spans="5:8" ht="15" x14ac:dyDescent="0.25">
      <c r="E1377"/>
      <c r="H1377"/>
    </row>
    <row r="1378" spans="5:8" ht="15" x14ac:dyDescent="0.25">
      <c r="E1378"/>
      <c r="H1378"/>
    </row>
    <row r="1379" spans="5:8" ht="15" x14ac:dyDescent="0.25">
      <c r="E1379"/>
      <c r="H1379"/>
    </row>
    <row r="1380" spans="5:8" ht="15" x14ac:dyDescent="0.25">
      <c r="E1380"/>
      <c r="H1380"/>
    </row>
    <row r="1381" spans="5:8" ht="15" x14ac:dyDescent="0.25">
      <c r="E1381"/>
      <c r="H1381"/>
    </row>
    <row r="1382" spans="5:8" ht="15" x14ac:dyDescent="0.25">
      <c r="E1382"/>
      <c r="H1382"/>
    </row>
    <row r="1383" spans="5:8" ht="15" x14ac:dyDescent="0.25">
      <c r="E1383"/>
      <c r="H1383"/>
    </row>
    <row r="1384" spans="5:8" ht="15" x14ac:dyDescent="0.25">
      <c r="E1384"/>
      <c r="H1384"/>
    </row>
    <row r="1385" spans="5:8" ht="15" x14ac:dyDescent="0.25">
      <c r="E1385"/>
      <c r="H1385"/>
    </row>
    <row r="1386" spans="5:8" ht="15" x14ac:dyDescent="0.25">
      <c r="E1386"/>
      <c r="H1386"/>
    </row>
    <row r="1387" spans="5:8" ht="15" x14ac:dyDescent="0.25">
      <c r="E1387"/>
      <c r="H1387"/>
    </row>
    <row r="1388" spans="5:8" ht="15" x14ac:dyDescent="0.25">
      <c r="E1388"/>
      <c r="H1388"/>
    </row>
    <row r="1389" spans="5:8" ht="15" x14ac:dyDescent="0.25">
      <c r="E1389"/>
      <c r="H1389"/>
    </row>
    <row r="1390" spans="5:8" ht="15" x14ac:dyDescent="0.25">
      <c r="E1390"/>
      <c r="H1390"/>
    </row>
    <row r="1391" spans="5:8" ht="15" x14ac:dyDescent="0.25">
      <c r="E1391"/>
      <c r="H1391"/>
    </row>
    <row r="1392" spans="5:8" ht="15" x14ac:dyDescent="0.25">
      <c r="E1392"/>
      <c r="H1392"/>
    </row>
    <row r="1393" spans="5:8" ht="15" x14ac:dyDescent="0.25">
      <c r="E1393"/>
      <c r="H1393"/>
    </row>
    <row r="1394" spans="5:8" ht="15" x14ac:dyDescent="0.25">
      <c r="E1394"/>
      <c r="H1394"/>
    </row>
    <row r="1395" spans="5:8" ht="15" x14ac:dyDescent="0.25">
      <c r="E1395"/>
      <c r="H1395"/>
    </row>
    <row r="1396" spans="5:8" ht="15" x14ac:dyDescent="0.25">
      <c r="E1396"/>
      <c r="H1396"/>
    </row>
    <row r="1397" spans="5:8" ht="15" x14ac:dyDescent="0.25">
      <c r="E1397"/>
      <c r="H1397"/>
    </row>
    <row r="1398" spans="5:8" ht="15" x14ac:dyDescent="0.25">
      <c r="E1398"/>
      <c r="H1398"/>
    </row>
    <row r="1399" spans="5:8" ht="15" x14ac:dyDescent="0.25">
      <c r="E1399"/>
      <c r="H1399"/>
    </row>
    <row r="1400" spans="5:8" ht="15" x14ac:dyDescent="0.25">
      <c r="E1400"/>
      <c r="H1400"/>
    </row>
    <row r="1401" spans="5:8" ht="15" x14ac:dyDescent="0.25">
      <c r="E1401"/>
      <c r="H1401"/>
    </row>
    <row r="1402" spans="5:8" ht="15" x14ac:dyDescent="0.25">
      <c r="E1402"/>
      <c r="H1402"/>
    </row>
    <row r="1403" spans="5:8" ht="15" x14ac:dyDescent="0.25">
      <c r="E1403"/>
      <c r="H1403"/>
    </row>
    <row r="1404" spans="5:8" ht="15" x14ac:dyDescent="0.25">
      <c r="E1404"/>
      <c r="H1404"/>
    </row>
    <row r="1405" spans="5:8" ht="15" x14ac:dyDescent="0.25">
      <c r="E1405"/>
      <c r="H1405"/>
    </row>
    <row r="1406" spans="5:8" ht="15" x14ac:dyDescent="0.25">
      <c r="E1406"/>
      <c r="H1406"/>
    </row>
    <row r="1407" spans="5:8" ht="15" x14ac:dyDescent="0.25">
      <c r="E1407"/>
      <c r="H1407"/>
    </row>
    <row r="1408" spans="5:8" ht="15" x14ac:dyDescent="0.25">
      <c r="E1408"/>
      <c r="H1408"/>
    </row>
    <row r="1409" spans="5:8" ht="15" x14ac:dyDescent="0.25">
      <c r="E1409"/>
      <c r="H1409"/>
    </row>
    <row r="1410" spans="5:8" ht="15" x14ac:dyDescent="0.25">
      <c r="E1410"/>
      <c r="H1410"/>
    </row>
    <row r="1411" spans="5:8" ht="15" x14ac:dyDescent="0.25">
      <c r="E1411"/>
      <c r="H1411"/>
    </row>
    <row r="1412" spans="5:8" ht="15" x14ac:dyDescent="0.25">
      <c r="E1412"/>
      <c r="H1412"/>
    </row>
    <row r="1413" spans="5:8" ht="15" x14ac:dyDescent="0.25">
      <c r="E1413"/>
      <c r="H1413"/>
    </row>
    <row r="1414" spans="5:8" ht="15" x14ac:dyDescent="0.25">
      <c r="E1414"/>
      <c r="H1414"/>
    </row>
    <row r="1415" spans="5:8" ht="15" x14ac:dyDescent="0.25">
      <c r="E1415"/>
      <c r="H1415"/>
    </row>
    <row r="1416" spans="5:8" ht="15" x14ac:dyDescent="0.25">
      <c r="E1416"/>
      <c r="H1416"/>
    </row>
    <row r="1417" spans="5:8" ht="15" x14ac:dyDescent="0.25">
      <c r="E1417"/>
      <c r="H1417"/>
    </row>
    <row r="1418" spans="5:8" ht="15" x14ac:dyDescent="0.25">
      <c r="E1418"/>
      <c r="H1418"/>
    </row>
    <row r="1419" spans="5:8" ht="15" x14ac:dyDescent="0.25">
      <c r="E1419"/>
      <c r="H1419"/>
    </row>
    <row r="1420" spans="5:8" ht="15" x14ac:dyDescent="0.25">
      <c r="E1420"/>
      <c r="H1420"/>
    </row>
    <row r="1421" spans="5:8" ht="15" x14ac:dyDescent="0.25">
      <c r="E1421"/>
      <c r="H1421"/>
    </row>
    <row r="1422" spans="5:8" ht="15" x14ac:dyDescent="0.25">
      <c r="E1422"/>
      <c r="H1422"/>
    </row>
    <row r="1423" spans="5:8" ht="15" x14ac:dyDescent="0.25">
      <c r="E1423"/>
      <c r="H1423"/>
    </row>
    <row r="1424" spans="5:8" ht="15" x14ac:dyDescent="0.25">
      <c r="E1424"/>
      <c r="H1424"/>
    </row>
    <row r="1425" spans="5:8" ht="15" x14ac:dyDescent="0.25">
      <c r="E1425"/>
      <c r="H1425"/>
    </row>
    <row r="1426" spans="5:8" ht="15" x14ac:dyDescent="0.25">
      <c r="E1426"/>
      <c r="H1426"/>
    </row>
    <row r="1427" spans="5:8" ht="15" x14ac:dyDescent="0.25">
      <c r="E1427"/>
      <c r="H1427"/>
    </row>
    <row r="1428" spans="5:8" ht="15" x14ac:dyDescent="0.25">
      <c r="E1428"/>
      <c r="H1428"/>
    </row>
    <row r="1429" spans="5:8" ht="15" x14ac:dyDescent="0.25">
      <c r="E1429"/>
      <c r="H1429"/>
    </row>
    <row r="1430" spans="5:8" ht="15" x14ac:dyDescent="0.25">
      <c r="E1430"/>
      <c r="H1430"/>
    </row>
    <row r="1431" spans="5:8" ht="15" x14ac:dyDescent="0.25">
      <c r="E1431"/>
      <c r="H1431"/>
    </row>
    <row r="1432" spans="5:8" ht="15" x14ac:dyDescent="0.25">
      <c r="E1432"/>
      <c r="H1432"/>
    </row>
    <row r="1433" spans="5:8" ht="15" x14ac:dyDescent="0.25">
      <c r="E1433"/>
      <c r="H1433"/>
    </row>
    <row r="1434" spans="5:8" ht="15" x14ac:dyDescent="0.25">
      <c r="E1434"/>
      <c r="H1434"/>
    </row>
    <row r="1435" spans="5:8" ht="15" x14ac:dyDescent="0.25">
      <c r="E1435"/>
      <c r="H1435"/>
    </row>
    <row r="1436" spans="5:8" ht="15" x14ac:dyDescent="0.25">
      <c r="E1436"/>
      <c r="H1436"/>
    </row>
    <row r="1437" spans="5:8" ht="15" x14ac:dyDescent="0.25">
      <c r="E1437"/>
      <c r="H1437"/>
    </row>
    <row r="1438" spans="5:8" ht="15" x14ac:dyDescent="0.25">
      <c r="E1438"/>
      <c r="H1438"/>
    </row>
    <row r="1439" spans="5:8" ht="15" x14ac:dyDescent="0.25">
      <c r="E1439"/>
      <c r="H1439"/>
    </row>
    <row r="1440" spans="5:8" ht="15" x14ac:dyDescent="0.25">
      <c r="E1440"/>
      <c r="H1440"/>
    </row>
    <row r="1441" spans="5:8" ht="15" x14ac:dyDescent="0.25">
      <c r="E1441"/>
      <c r="H1441"/>
    </row>
    <row r="1442" spans="5:8" ht="15" x14ac:dyDescent="0.25">
      <c r="E1442"/>
      <c r="H1442"/>
    </row>
    <row r="1443" spans="5:8" ht="15" x14ac:dyDescent="0.25">
      <c r="E1443"/>
      <c r="H1443"/>
    </row>
    <row r="1444" spans="5:8" ht="15" x14ac:dyDescent="0.25">
      <c r="E1444"/>
      <c r="H1444"/>
    </row>
    <row r="1445" spans="5:8" ht="15" x14ac:dyDescent="0.25">
      <c r="E1445"/>
      <c r="H1445"/>
    </row>
    <row r="1446" spans="5:8" ht="15" x14ac:dyDescent="0.25">
      <c r="E1446"/>
      <c r="H1446"/>
    </row>
    <row r="1447" spans="5:8" ht="15" x14ac:dyDescent="0.25">
      <c r="E1447"/>
      <c r="H1447"/>
    </row>
    <row r="1448" spans="5:8" ht="15" x14ac:dyDescent="0.25">
      <c r="E1448"/>
      <c r="H1448"/>
    </row>
    <row r="1449" spans="5:8" ht="15" x14ac:dyDescent="0.25">
      <c r="E1449"/>
      <c r="H1449"/>
    </row>
    <row r="1450" spans="5:8" ht="15" x14ac:dyDescent="0.25">
      <c r="E1450"/>
      <c r="H1450"/>
    </row>
    <row r="1451" spans="5:8" ht="15" x14ac:dyDescent="0.25">
      <c r="E1451"/>
      <c r="H1451"/>
    </row>
    <row r="1452" spans="5:8" ht="15" x14ac:dyDescent="0.25">
      <c r="E1452"/>
      <c r="H1452"/>
    </row>
    <row r="1453" spans="5:8" ht="15" x14ac:dyDescent="0.25">
      <c r="E1453"/>
      <c r="H1453"/>
    </row>
    <row r="1454" spans="5:8" ht="15" x14ac:dyDescent="0.25">
      <c r="E1454"/>
      <c r="H1454"/>
    </row>
    <row r="1455" spans="5:8" ht="15" x14ac:dyDescent="0.25">
      <c r="E1455"/>
      <c r="H1455"/>
    </row>
    <row r="1456" spans="5:8" ht="15" x14ac:dyDescent="0.25">
      <c r="E1456"/>
      <c r="H1456"/>
    </row>
    <row r="1457" spans="5:8" ht="15" x14ac:dyDescent="0.25">
      <c r="E1457"/>
      <c r="H1457"/>
    </row>
    <row r="1458" spans="5:8" ht="15" x14ac:dyDescent="0.25">
      <c r="E1458"/>
      <c r="H1458"/>
    </row>
    <row r="1459" spans="5:8" ht="15" x14ac:dyDescent="0.25">
      <c r="E1459"/>
      <c r="H1459"/>
    </row>
    <row r="1460" spans="5:8" ht="15" x14ac:dyDescent="0.25">
      <c r="E1460"/>
      <c r="H1460"/>
    </row>
    <row r="1461" spans="5:8" ht="15" x14ac:dyDescent="0.25">
      <c r="E1461"/>
      <c r="H1461"/>
    </row>
    <row r="1462" spans="5:8" ht="15" x14ac:dyDescent="0.25">
      <c r="E1462"/>
      <c r="H1462"/>
    </row>
    <row r="1463" spans="5:8" ht="15" x14ac:dyDescent="0.25">
      <c r="E1463"/>
      <c r="H1463"/>
    </row>
    <row r="1464" spans="5:8" ht="15" x14ac:dyDescent="0.25">
      <c r="E1464"/>
      <c r="H1464"/>
    </row>
    <row r="1465" spans="5:8" ht="15" x14ac:dyDescent="0.25">
      <c r="E1465"/>
      <c r="H1465"/>
    </row>
    <row r="1466" spans="5:8" ht="15" x14ac:dyDescent="0.25">
      <c r="E1466"/>
      <c r="H1466"/>
    </row>
    <row r="1467" spans="5:8" ht="15" x14ac:dyDescent="0.25">
      <c r="E1467"/>
      <c r="H1467"/>
    </row>
    <row r="1468" spans="5:8" ht="15" x14ac:dyDescent="0.25">
      <c r="E1468"/>
      <c r="H1468"/>
    </row>
    <row r="1469" spans="5:8" ht="15" x14ac:dyDescent="0.25">
      <c r="E1469"/>
      <c r="H1469"/>
    </row>
    <row r="1470" spans="5:8" ht="15" x14ac:dyDescent="0.25">
      <c r="E1470"/>
      <c r="H1470"/>
    </row>
    <row r="1471" spans="5:8" ht="15" x14ac:dyDescent="0.25">
      <c r="E1471"/>
      <c r="H1471"/>
    </row>
    <row r="1472" spans="5:8" ht="15" x14ac:dyDescent="0.25">
      <c r="E1472"/>
      <c r="H1472"/>
    </row>
    <row r="1473" spans="5:8" ht="15" x14ac:dyDescent="0.25">
      <c r="E1473"/>
      <c r="H1473"/>
    </row>
    <row r="1474" spans="5:8" ht="15" x14ac:dyDescent="0.25">
      <c r="E1474"/>
      <c r="H1474"/>
    </row>
    <row r="1475" spans="5:8" ht="15" x14ac:dyDescent="0.25">
      <c r="E1475"/>
      <c r="H1475"/>
    </row>
    <row r="1476" spans="5:8" ht="15" x14ac:dyDescent="0.25">
      <c r="E1476"/>
      <c r="H1476"/>
    </row>
    <row r="1477" spans="5:8" ht="15" x14ac:dyDescent="0.25">
      <c r="E1477"/>
      <c r="H1477"/>
    </row>
    <row r="1478" spans="5:8" ht="15" x14ac:dyDescent="0.25">
      <c r="E1478"/>
      <c r="H1478"/>
    </row>
    <row r="1479" spans="5:8" ht="15" x14ac:dyDescent="0.25">
      <c r="E1479"/>
      <c r="H1479"/>
    </row>
    <row r="1480" spans="5:8" ht="15" x14ac:dyDescent="0.25">
      <c r="E1480"/>
      <c r="H1480"/>
    </row>
    <row r="1481" spans="5:8" ht="15" x14ac:dyDescent="0.25">
      <c r="E1481"/>
      <c r="H1481"/>
    </row>
    <row r="1482" spans="5:8" ht="15" x14ac:dyDescent="0.25">
      <c r="E1482"/>
      <c r="H1482"/>
    </row>
    <row r="1483" spans="5:8" ht="15" x14ac:dyDescent="0.25">
      <c r="E1483"/>
      <c r="H1483"/>
    </row>
    <row r="1484" spans="5:8" ht="15" x14ac:dyDescent="0.25">
      <c r="E1484"/>
      <c r="H1484"/>
    </row>
    <row r="1485" spans="5:8" ht="15" x14ac:dyDescent="0.25">
      <c r="E1485"/>
      <c r="H1485"/>
    </row>
    <row r="1486" spans="5:8" ht="15" x14ac:dyDescent="0.25">
      <c r="E1486"/>
      <c r="H1486"/>
    </row>
    <row r="1487" spans="5:8" ht="15" x14ac:dyDescent="0.25">
      <c r="E1487"/>
      <c r="H1487"/>
    </row>
    <row r="1488" spans="5:8" ht="15" x14ac:dyDescent="0.25">
      <c r="E1488"/>
      <c r="H1488"/>
    </row>
    <row r="1489" spans="5:8" ht="15" x14ac:dyDescent="0.25">
      <c r="E1489"/>
      <c r="H1489"/>
    </row>
    <row r="1490" spans="5:8" ht="15" x14ac:dyDescent="0.25">
      <c r="E1490"/>
      <c r="H1490"/>
    </row>
    <row r="1491" spans="5:8" ht="15" x14ac:dyDescent="0.25">
      <c r="E1491"/>
      <c r="H1491"/>
    </row>
    <row r="1492" spans="5:8" ht="15" x14ac:dyDescent="0.25">
      <c r="E1492"/>
      <c r="H1492"/>
    </row>
    <row r="1493" spans="5:8" ht="15" x14ac:dyDescent="0.25">
      <c r="E1493"/>
      <c r="H1493"/>
    </row>
    <row r="1494" spans="5:8" ht="15" x14ac:dyDescent="0.25">
      <c r="E1494"/>
      <c r="H1494"/>
    </row>
    <row r="1495" spans="5:8" ht="15" x14ac:dyDescent="0.25">
      <c r="E1495"/>
      <c r="H1495"/>
    </row>
    <row r="1496" spans="5:8" ht="15" x14ac:dyDescent="0.25">
      <c r="E1496"/>
      <c r="H1496"/>
    </row>
    <row r="1497" spans="5:8" ht="15" x14ac:dyDescent="0.25">
      <c r="E1497"/>
      <c r="H1497"/>
    </row>
    <row r="1498" spans="5:8" ht="15" x14ac:dyDescent="0.25">
      <c r="E1498"/>
      <c r="H1498"/>
    </row>
    <row r="1499" spans="5:8" ht="15" x14ac:dyDescent="0.25">
      <c r="E1499"/>
      <c r="H1499"/>
    </row>
    <row r="1500" spans="5:8" ht="15" x14ac:dyDescent="0.25">
      <c r="E1500"/>
      <c r="H1500"/>
    </row>
    <row r="1501" spans="5:8" ht="15" x14ac:dyDescent="0.25">
      <c r="E1501"/>
      <c r="H1501"/>
    </row>
    <row r="1502" spans="5:8" ht="15" x14ac:dyDescent="0.25">
      <c r="E1502"/>
      <c r="H1502"/>
    </row>
    <row r="1503" spans="5:8" ht="15" x14ac:dyDescent="0.25">
      <c r="E1503"/>
      <c r="H1503"/>
    </row>
    <row r="1504" spans="5:8" ht="15" x14ac:dyDescent="0.25">
      <c r="E1504"/>
      <c r="H1504"/>
    </row>
    <row r="1505" spans="5:8" ht="15" x14ac:dyDescent="0.25">
      <c r="E1505"/>
      <c r="H1505"/>
    </row>
    <row r="1506" spans="5:8" ht="15" x14ac:dyDescent="0.25">
      <c r="E1506"/>
      <c r="H1506"/>
    </row>
    <row r="1507" spans="5:8" ht="15" x14ac:dyDescent="0.25">
      <c r="E1507"/>
      <c r="H1507"/>
    </row>
    <row r="1508" spans="5:8" ht="15" x14ac:dyDescent="0.25">
      <c r="E1508"/>
      <c r="H1508"/>
    </row>
    <row r="1509" spans="5:8" ht="15" x14ac:dyDescent="0.25">
      <c r="E1509"/>
      <c r="H1509"/>
    </row>
    <row r="1510" spans="5:8" ht="15" x14ac:dyDescent="0.25">
      <c r="E1510"/>
      <c r="H1510"/>
    </row>
    <row r="1511" spans="5:8" ht="15" x14ac:dyDescent="0.25">
      <c r="E1511"/>
      <c r="H1511"/>
    </row>
    <row r="1512" spans="5:8" ht="15" x14ac:dyDescent="0.25">
      <c r="E1512"/>
      <c r="H1512"/>
    </row>
    <row r="1513" spans="5:8" ht="15" x14ac:dyDescent="0.25">
      <c r="E1513"/>
      <c r="H1513"/>
    </row>
    <row r="1514" spans="5:8" ht="15" x14ac:dyDescent="0.25">
      <c r="E1514"/>
      <c r="H1514"/>
    </row>
    <row r="1515" spans="5:8" ht="15" x14ac:dyDescent="0.25">
      <c r="E1515"/>
      <c r="H1515"/>
    </row>
    <row r="1516" spans="5:8" ht="15" x14ac:dyDescent="0.25">
      <c r="E1516"/>
      <c r="H1516"/>
    </row>
    <row r="1517" spans="5:8" ht="15" x14ac:dyDescent="0.25">
      <c r="E1517"/>
      <c r="H1517"/>
    </row>
    <row r="1518" spans="5:8" ht="15" x14ac:dyDescent="0.25">
      <c r="E1518"/>
      <c r="H1518"/>
    </row>
    <row r="1519" spans="5:8" ht="15" x14ac:dyDescent="0.25">
      <c r="E1519"/>
      <c r="H1519"/>
    </row>
    <row r="1520" spans="5:8" ht="15" x14ac:dyDescent="0.25">
      <c r="E1520"/>
      <c r="H1520"/>
    </row>
    <row r="1521" spans="5:8" ht="15" x14ac:dyDescent="0.25">
      <c r="E1521"/>
      <c r="H1521"/>
    </row>
    <row r="1522" spans="5:8" ht="15" x14ac:dyDescent="0.25">
      <c r="E1522"/>
      <c r="H1522"/>
    </row>
    <row r="1523" spans="5:8" ht="15" x14ac:dyDescent="0.25">
      <c r="E1523"/>
      <c r="H1523"/>
    </row>
    <row r="1524" spans="5:8" ht="15" x14ac:dyDescent="0.25">
      <c r="E1524"/>
      <c r="H1524"/>
    </row>
    <row r="1525" spans="5:8" ht="15" x14ac:dyDescent="0.25">
      <c r="E1525"/>
      <c r="H1525"/>
    </row>
    <row r="1526" spans="5:8" ht="15" x14ac:dyDescent="0.25">
      <c r="E1526"/>
      <c r="H1526"/>
    </row>
    <row r="1527" spans="5:8" ht="15" x14ac:dyDescent="0.25">
      <c r="E1527"/>
      <c r="H1527"/>
    </row>
    <row r="1528" spans="5:8" ht="15" x14ac:dyDescent="0.25">
      <c r="E1528"/>
      <c r="H1528"/>
    </row>
    <row r="1529" spans="5:8" ht="15" x14ac:dyDescent="0.25">
      <c r="E1529"/>
      <c r="H1529"/>
    </row>
    <row r="1530" spans="5:8" ht="15" x14ac:dyDescent="0.25">
      <c r="E1530"/>
      <c r="H1530"/>
    </row>
    <row r="1531" spans="5:8" ht="15" x14ac:dyDescent="0.25">
      <c r="E1531"/>
      <c r="H1531"/>
    </row>
    <row r="1532" spans="5:8" ht="15" x14ac:dyDescent="0.25">
      <c r="E1532"/>
      <c r="H1532"/>
    </row>
    <row r="1533" spans="5:8" ht="15" x14ac:dyDescent="0.25">
      <c r="E1533"/>
      <c r="H1533"/>
    </row>
    <row r="1534" spans="5:8" ht="15" x14ac:dyDescent="0.25">
      <c r="E1534"/>
      <c r="H1534"/>
    </row>
    <row r="1535" spans="5:8" ht="15" x14ac:dyDescent="0.25">
      <c r="E1535"/>
      <c r="H1535"/>
    </row>
    <row r="1536" spans="5:8" ht="15" x14ac:dyDescent="0.25">
      <c r="E1536"/>
      <c r="H1536"/>
    </row>
    <row r="1537" spans="5:8" ht="15" x14ac:dyDescent="0.25">
      <c r="E1537"/>
      <c r="H1537"/>
    </row>
    <row r="1538" spans="5:8" ht="15" x14ac:dyDescent="0.25">
      <c r="E1538"/>
      <c r="H1538"/>
    </row>
    <row r="1539" spans="5:8" ht="15" x14ac:dyDescent="0.25">
      <c r="E1539"/>
      <c r="H1539"/>
    </row>
    <row r="1540" spans="5:8" ht="15" x14ac:dyDescent="0.25">
      <c r="E1540"/>
      <c r="H1540"/>
    </row>
    <row r="1541" spans="5:8" ht="15" x14ac:dyDescent="0.25">
      <c r="E1541"/>
      <c r="H1541"/>
    </row>
    <row r="1542" spans="5:8" ht="15" x14ac:dyDescent="0.25">
      <c r="E1542"/>
      <c r="H1542"/>
    </row>
    <row r="1543" spans="5:8" ht="15" x14ac:dyDescent="0.25">
      <c r="E1543"/>
      <c r="H1543"/>
    </row>
    <row r="1544" spans="5:8" ht="15" x14ac:dyDescent="0.25">
      <c r="E1544"/>
      <c r="H1544"/>
    </row>
    <row r="1545" spans="5:8" ht="15" x14ac:dyDescent="0.25">
      <c r="E1545"/>
      <c r="H1545"/>
    </row>
    <row r="1546" spans="5:8" ht="15" x14ac:dyDescent="0.25">
      <c r="E1546"/>
      <c r="H1546"/>
    </row>
    <row r="1547" spans="5:8" ht="15" x14ac:dyDescent="0.25">
      <c r="E1547"/>
      <c r="H1547"/>
    </row>
    <row r="1548" spans="5:8" ht="15" x14ac:dyDescent="0.25">
      <c r="E1548"/>
      <c r="H1548"/>
    </row>
    <row r="1549" spans="5:8" ht="15" x14ac:dyDescent="0.25">
      <c r="E1549"/>
      <c r="H1549"/>
    </row>
    <row r="1550" spans="5:8" ht="15" x14ac:dyDescent="0.25">
      <c r="E1550"/>
      <c r="H1550"/>
    </row>
    <row r="1551" spans="5:8" ht="15" x14ac:dyDescent="0.25">
      <c r="E1551"/>
      <c r="H1551"/>
    </row>
    <row r="1552" spans="5:8" ht="15" x14ac:dyDescent="0.25">
      <c r="E1552"/>
      <c r="H1552"/>
    </row>
    <row r="1553" spans="5:8" ht="15" x14ac:dyDescent="0.25">
      <c r="E1553"/>
      <c r="H1553"/>
    </row>
    <row r="1554" spans="5:8" ht="15" x14ac:dyDescent="0.25">
      <c r="E1554"/>
      <c r="H1554"/>
    </row>
    <row r="1555" spans="5:8" ht="15" x14ac:dyDescent="0.25">
      <c r="E1555"/>
      <c r="H1555"/>
    </row>
    <row r="1556" spans="5:8" ht="15" x14ac:dyDescent="0.25">
      <c r="E1556"/>
      <c r="H1556"/>
    </row>
    <row r="1557" spans="5:8" ht="15" x14ac:dyDescent="0.25">
      <c r="E1557"/>
      <c r="H1557"/>
    </row>
    <row r="1558" spans="5:8" ht="15" x14ac:dyDescent="0.25">
      <c r="E1558"/>
      <c r="H1558"/>
    </row>
    <row r="1559" spans="5:8" ht="15" x14ac:dyDescent="0.25">
      <c r="E1559"/>
      <c r="H1559"/>
    </row>
    <row r="1560" spans="5:8" ht="15" x14ac:dyDescent="0.25">
      <c r="E1560"/>
      <c r="H1560"/>
    </row>
    <row r="1561" spans="5:8" ht="15" x14ac:dyDescent="0.25">
      <c r="E1561"/>
      <c r="H1561"/>
    </row>
    <row r="1562" spans="5:8" ht="15" x14ac:dyDescent="0.25">
      <c r="E1562"/>
      <c r="H1562"/>
    </row>
    <row r="1563" spans="5:8" ht="15" x14ac:dyDescent="0.25">
      <c r="E1563"/>
      <c r="H1563"/>
    </row>
    <row r="1564" spans="5:8" ht="15" x14ac:dyDescent="0.25">
      <c r="E1564"/>
      <c r="H1564"/>
    </row>
    <row r="1565" spans="5:8" ht="15" x14ac:dyDescent="0.25">
      <c r="E1565"/>
      <c r="H1565"/>
    </row>
    <row r="1566" spans="5:8" ht="15" x14ac:dyDescent="0.25">
      <c r="E1566"/>
      <c r="H1566"/>
    </row>
    <row r="1567" spans="5:8" ht="15" x14ac:dyDescent="0.25">
      <c r="E1567"/>
      <c r="H1567"/>
    </row>
    <row r="1568" spans="5:8" ht="15" x14ac:dyDescent="0.25">
      <c r="E1568"/>
      <c r="H1568"/>
    </row>
    <row r="1569" spans="5:8" ht="15" x14ac:dyDescent="0.25">
      <c r="E1569"/>
      <c r="H1569"/>
    </row>
    <row r="1570" spans="5:8" ht="15" x14ac:dyDescent="0.25">
      <c r="E1570"/>
      <c r="H1570"/>
    </row>
    <row r="1571" spans="5:8" ht="15" x14ac:dyDescent="0.25">
      <c r="E1571"/>
      <c r="H1571"/>
    </row>
    <row r="1572" spans="5:8" ht="15" x14ac:dyDescent="0.25">
      <c r="E1572"/>
      <c r="H1572"/>
    </row>
    <row r="1573" spans="5:8" ht="15" x14ac:dyDescent="0.25">
      <c r="E1573"/>
      <c r="H1573"/>
    </row>
    <row r="1574" spans="5:8" ht="15" x14ac:dyDescent="0.25">
      <c r="E1574"/>
      <c r="H1574"/>
    </row>
    <row r="1575" spans="5:8" ht="15" x14ac:dyDescent="0.25">
      <c r="E1575"/>
      <c r="H1575"/>
    </row>
    <row r="1576" spans="5:8" ht="15" x14ac:dyDescent="0.25">
      <c r="E1576"/>
      <c r="H1576"/>
    </row>
    <row r="1577" spans="5:8" ht="15" x14ac:dyDescent="0.25">
      <c r="E1577"/>
      <c r="H1577"/>
    </row>
    <row r="1578" spans="5:8" ht="15" x14ac:dyDescent="0.25">
      <c r="E1578"/>
      <c r="H1578"/>
    </row>
    <row r="1579" spans="5:8" ht="15" x14ac:dyDescent="0.25">
      <c r="E1579"/>
      <c r="H1579"/>
    </row>
    <row r="1580" spans="5:8" ht="15" x14ac:dyDescent="0.25">
      <c r="E1580"/>
      <c r="H1580"/>
    </row>
    <row r="1581" spans="5:8" ht="15" x14ac:dyDescent="0.25">
      <c r="E1581"/>
      <c r="H1581"/>
    </row>
    <row r="1582" spans="5:8" ht="15" x14ac:dyDescent="0.25">
      <c r="E1582"/>
      <c r="H1582"/>
    </row>
    <row r="1583" spans="5:8" ht="15" x14ac:dyDescent="0.25">
      <c r="E1583"/>
      <c r="H1583"/>
    </row>
    <row r="1584" spans="5:8" ht="15" x14ac:dyDescent="0.25">
      <c r="E1584"/>
      <c r="H1584"/>
    </row>
    <row r="1585" spans="5:8" ht="15" x14ac:dyDescent="0.25">
      <c r="E1585"/>
      <c r="H1585"/>
    </row>
    <row r="1586" spans="5:8" ht="15" x14ac:dyDescent="0.25">
      <c r="E1586"/>
      <c r="H1586"/>
    </row>
    <row r="1587" spans="5:8" ht="15" x14ac:dyDescent="0.25">
      <c r="E1587"/>
      <c r="H1587"/>
    </row>
    <row r="1588" spans="5:8" ht="15" x14ac:dyDescent="0.25">
      <c r="E1588"/>
      <c r="H1588"/>
    </row>
    <row r="1589" spans="5:8" ht="15" x14ac:dyDescent="0.25">
      <c r="E1589"/>
      <c r="H1589"/>
    </row>
    <row r="1590" spans="5:8" ht="15" x14ac:dyDescent="0.25">
      <c r="E1590"/>
      <c r="H1590"/>
    </row>
    <row r="1591" spans="5:8" ht="15" x14ac:dyDescent="0.25">
      <c r="E1591"/>
      <c r="H1591"/>
    </row>
    <row r="1592" spans="5:8" ht="15" x14ac:dyDescent="0.25">
      <c r="E1592"/>
      <c r="H1592"/>
    </row>
    <row r="1593" spans="5:8" ht="15" x14ac:dyDescent="0.25">
      <c r="E1593"/>
      <c r="H1593"/>
    </row>
    <row r="1594" spans="5:8" ht="15" x14ac:dyDescent="0.25">
      <c r="E1594"/>
      <c r="H1594"/>
    </row>
    <row r="1595" spans="5:8" ht="15" x14ac:dyDescent="0.25">
      <c r="E1595"/>
      <c r="H1595"/>
    </row>
    <row r="1596" spans="5:8" ht="15" x14ac:dyDescent="0.25">
      <c r="E1596"/>
      <c r="H1596"/>
    </row>
    <row r="1597" spans="5:8" ht="15" x14ac:dyDescent="0.25">
      <c r="E1597"/>
      <c r="H1597"/>
    </row>
    <row r="1598" spans="5:8" ht="15" x14ac:dyDescent="0.25">
      <c r="E1598"/>
      <c r="H1598"/>
    </row>
    <row r="1599" spans="5:8" ht="15" x14ac:dyDescent="0.25">
      <c r="E1599"/>
      <c r="H1599"/>
    </row>
    <row r="1600" spans="5:8" ht="15" x14ac:dyDescent="0.25">
      <c r="E1600"/>
      <c r="H1600"/>
    </row>
    <row r="1601" spans="5:8" ht="15" x14ac:dyDescent="0.25">
      <c r="E1601"/>
      <c r="H1601"/>
    </row>
    <row r="1602" spans="5:8" ht="15" x14ac:dyDescent="0.25">
      <c r="E1602"/>
      <c r="H1602"/>
    </row>
    <row r="1603" spans="5:8" ht="15" x14ac:dyDescent="0.25">
      <c r="E1603"/>
      <c r="H1603"/>
    </row>
    <row r="1604" spans="5:8" ht="15" x14ac:dyDescent="0.25">
      <c r="E1604"/>
      <c r="H1604"/>
    </row>
    <row r="1605" spans="5:8" ht="15" x14ac:dyDescent="0.25">
      <c r="E1605"/>
      <c r="H1605"/>
    </row>
    <row r="1606" spans="5:8" ht="15" x14ac:dyDescent="0.25">
      <c r="E1606"/>
      <c r="H1606"/>
    </row>
    <row r="1607" spans="5:8" ht="15" x14ac:dyDescent="0.25">
      <c r="E1607"/>
      <c r="H1607"/>
    </row>
    <row r="1608" spans="5:8" ht="15" x14ac:dyDescent="0.25">
      <c r="E1608"/>
      <c r="H1608"/>
    </row>
    <row r="1609" spans="5:8" ht="15" x14ac:dyDescent="0.25">
      <c r="E1609"/>
      <c r="H1609"/>
    </row>
    <row r="1610" spans="5:8" ht="15" x14ac:dyDescent="0.25">
      <c r="E1610"/>
      <c r="H1610"/>
    </row>
    <row r="1611" spans="5:8" ht="15" x14ac:dyDescent="0.25">
      <c r="E1611"/>
      <c r="H1611"/>
    </row>
    <row r="1612" spans="5:8" ht="15" x14ac:dyDescent="0.25">
      <c r="E1612"/>
      <c r="H1612"/>
    </row>
    <row r="1613" spans="5:8" ht="15" x14ac:dyDescent="0.25">
      <c r="E1613"/>
      <c r="H1613"/>
    </row>
    <row r="1614" spans="5:8" ht="15" x14ac:dyDescent="0.25">
      <c r="E1614"/>
      <c r="H1614"/>
    </row>
    <row r="1615" spans="5:8" ht="15" x14ac:dyDescent="0.25">
      <c r="E1615"/>
      <c r="H1615"/>
    </row>
    <row r="1616" spans="5:8" ht="15" x14ac:dyDescent="0.25">
      <c r="E1616"/>
      <c r="H1616"/>
    </row>
    <row r="1617" spans="5:8" ht="15" x14ac:dyDescent="0.25">
      <c r="E1617"/>
      <c r="H1617"/>
    </row>
    <row r="1618" spans="5:8" ht="15" x14ac:dyDescent="0.25">
      <c r="E1618"/>
      <c r="H1618"/>
    </row>
    <row r="1619" spans="5:8" ht="15" x14ac:dyDescent="0.25">
      <c r="E1619"/>
      <c r="H1619"/>
    </row>
    <row r="1620" spans="5:8" ht="15" x14ac:dyDescent="0.25">
      <c r="E1620"/>
      <c r="H1620"/>
    </row>
    <row r="1621" spans="5:8" ht="15" x14ac:dyDescent="0.25">
      <c r="E1621"/>
      <c r="H1621"/>
    </row>
    <row r="1622" spans="5:8" ht="15" x14ac:dyDescent="0.25">
      <c r="E1622"/>
      <c r="H1622"/>
    </row>
    <row r="1623" spans="5:8" ht="15" x14ac:dyDescent="0.25">
      <c r="E1623"/>
      <c r="H1623"/>
    </row>
    <row r="1624" spans="5:8" ht="15" x14ac:dyDescent="0.25">
      <c r="E1624"/>
      <c r="H1624"/>
    </row>
    <row r="1625" spans="5:8" ht="15" x14ac:dyDescent="0.25">
      <c r="E1625"/>
      <c r="H1625"/>
    </row>
    <row r="1626" spans="5:8" ht="15" x14ac:dyDescent="0.25">
      <c r="E1626"/>
      <c r="H1626"/>
    </row>
    <row r="1627" spans="5:8" ht="15" x14ac:dyDescent="0.25">
      <c r="E1627"/>
      <c r="H1627"/>
    </row>
    <row r="1628" spans="5:8" ht="15" x14ac:dyDescent="0.25">
      <c r="E1628"/>
      <c r="H1628"/>
    </row>
    <row r="1629" spans="5:8" ht="15" x14ac:dyDescent="0.25">
      <c r="E1629"/>
      <c r="H1629"/>
    </row>
    <row r="1630" spans="5:8" ht="15" x14ac:dyDescent="0.25">
      <c r="E1630"/>
      <c r="H1630"/>
    </row>
    <row r="1631" spans="5:8" ht="15" x14ac:dyDescent="0.25">
      <c r="E1631"/>
      <c r="H1631"/>
    </row>
    <row r="1632" spans="5:8" ht="15" x14ac:dyDescent="0.25">
      <c r="E1632"/>
      <c r="H1632"/>
    </row>
    <row r="1633" spans="5:8" ht="15" x14ac:dyDescent="0.25">
      <c r="E1633"/>
      <c r="H1633"/>
    </row>
    <row r="1634" spans="5:8" ht="15" x14ac:dyDescent="0.25">
      <c r="E1634"/>
      <c r="H1634"/>
    </row>
    <row r="1635" spans="5:8" ht="15" x14ac:dyDescent="0.25">
      <c r="E1635"/>
      <c r="H1635"/>
    </row>
    <row r="1636" spans="5:8" ht="15" x14ac:dyDescent="0.25">
      <c r="E1636"/>
      <c r="H1636"/>
    </row>
    <row r="1637" spans="5:8" ht="15" x14ac:dyDescent="0.25">
      <c r="E1637"/>
      <c r="H1637"/>
    </row>
    <row r="1638" spans="5:8" ht="15" x14ac:dyDescent="0.25">
      <c r="E1638"/>
      <c r="H1638"/>
    </row>
    <row r="1639" spans="5:8" ht="15" x14ac:dyDescent="0.25">
      <c r="E1639"/>
      <c r="H1639"/>
    </row>
    <row r="1640" spans="5:8" ht="15" x14ac:dyDescent="0.25">
      <c r="E1640"/>
      <c r="H1640"/>
    </row>
    <row r="1641" spans="5:8" ht="15" x14ac:dyDescent="0.25">
      <c r="E1641"/>
      <c r="H1641"/>
    </row>
    <row r="1642" spans="5:8" ht="15" x14ac:dyDescent="0.25">
      <c r="E1642"/>
      <c r="H1642"/>
    </row>
    <row r="1643" spans="5:8" ht="15" x14ac:dyDescent="0.25">
      <c r="E1643"/>
      <c r="H1643"/>
    </row>
    <row r="1644" spans="5:8" ht="15" x14ac:dyDescent="0.25">
      <c r="E1644"/>
      <c r="H1644"/>
    </row>
    <row r="1645" spans="5:8" ht="15" x14ac:dyDescent="0.25">
      <c r="E1645"/>
      <c r="H1645"/>
    </row>
    <row r="1646" spans="5:8" ht="15" x14ac:dyDescent="0.25">
      <c r="E1646"/>
      <c r="H1646"/>
    </row>
    <row r="1647" spans="5:8" ht="15" x14ac:dyDescent="0.25">
      <c r="E1647"/>
      <c r="H1647"/>
    </row>
    <row r="1648" spans="5:8" ht="15" x14ac:dyDescent="0.25">
      <c r="E1648"/>
      <c r="H1648"/>
    </row>
    <row r="1649" spans="5:8" ht="15" x14ac:dyDescent="0.25">
      <c r="E1649"/>
      <c r="H1649"/>
    </row>
    <row r="1650" spans="5:8" ht="15" x14ac:dyDescent="0.25">
      <c r="E1650"/>
      <c r="H1650"/>
    </row>
    <row r="1651" spans="5:8" ht="15" x14ac:dyDescent="0.25">
      <c r="E1651"/>
      <c r="H1651"/>
    </row>
    <row r="1652" spans="5:8" ht="15" x14ac:dyDescent="0.25">
      <c r="E1652"/>
      <c r="H1652"/>
    </row>
    <row r="1653" spans="5:8" ht="15" x14ac:dyDescent="0.25">
      <c r="E1653"/>
      <c r="H1653"/>
    </row>
    <row r="1654" spans="5:8" ht="15" x14ac:dyDescent="0.25">
      <c r="E1654"/>
      <c r="H1654"/>
    </row>
    <row r="1655" spans="5:8" ht="15" x14ac:dyDescent="0.25">
      <c r="E1655"/>
      <c r="H1655"/>
    </row>
    <row r="1656" spans="5:8" ht="15" x14ac:dyDescent="0.25">
      <c r="E1656"/>
      <c r="H1656"/>
    </row>
    <row r="1657" spans="5:8" ht="15" x14ac:dyDescent="0.25">
      <c r="E1657"/>
      <c r="H1657"/>
    </row>
    <row r="1658" spans="5:8" ht="15" x14ac:dyDescent="0.25">
      <c r="E1658"/>
      <c r="H1658"/>
    </row>
    <row r="1659" spans="5:8" ht="15" x14ac:dyDescent="0.25">
      <c r="E1659"/>
      <c r="H1659"/>
    </row>
    <row r="1660" spans="5:8" ht="15" x14ac:dyDescent="0.25">
      <c r="E1660"/>
      <c r="H1660"/>
    </row>
    <row r="1661" spans="5:8" ht="15" x14ac:dyDescent="0.25">
      <c r="E1661"/>
      <c r="H1661"/>
    </row>
    <row r="1662" spans="5:8" ht="15" x14ac:dyDescent="0.25">
      <c r="E1662"/>
      <c r="H1662"/>
    </row>
    <row r="1663" spans="5:8" ht="15" x14ac:dyDescent="0.25">
      <c r="E1663"/>
      <c r="H1663"/>
    </row>
    <row r="1664" spans="5:8" ht="15" x14ac:dyDescent="0.25">
      <c r="E1664"/>
      <c r="H1664"/>
    </row>
    <row r="1665" spans="5:8" ht="15" x14ac:dyDescent="0.25">
      <c r="E1665"/>
      <c r="H1665"/>
    </row>
    <row r="1666" spans="5:8" ht="15" x14ac:dyDescent="0.25">
      <c r="E1666"/>
      <c r="H1666"/>
    </row>
    <row r="1667" spans="5:8" ht="15" x14ac:dyDescent="0.25">
      <c r="E1667"/>
      <c r="H1667"/>
    </row>
    <row r="1668" spans="5:8" ht="15" x14ac:dyDescent="0.25">
      <c r="E1668"/>
      <c r="H1668"/>
    </row>
    <row r="1669" spans="5:8" ht="15" x14ac:dyDescent="0.25">
      <c r="E1669"/>
      <c r="H1669"/>
    </row>
    <row r="1670" spans="5:8" ht="15" x14ac:dyDescent="0.25">
      <c r="E1670"/>
      <c r="H1670"/>
    </row>
    <row r="1671" spans="5:8" ht="15" x14ac:dyDescent="0.25">
      <c r="E1671"/>
      <c r="H1671"/>
    </row>
    <row r="1672" spans="5:8" ht="15" x14ac:dyDescent="0.25">
      <c r="E1672"/>
      <c r="H1672"/>
    </row>
    <row r="1673" spans="5:8" ht="15" x14ac:dyDescent="0.25">
      <c r="E1673"/>
      <c r="H1673"/>
    </row>
    <row r="1674" spans="5:8" ht="15" x14ac:dyDescent="0.25">
      <c r="E1674"/>
      <c r="H1674"/>
    </row>
    <row r="1675" spans="5:8" ht="15" x14ac:dyDescent="0.25">
      <c r="E1675"/>
      <c r="H1675"/>
    </row>
    <row r="1676" spans="5:8" ht="15" x14ac:dyDescent="0.25">
      <c r="E1676"/>
      <c r="H1676"/>
    </row>
    <row r="1677" spans="5:8" ht="15" x14ac:dyDescent="0.25">
      <c r="E1677"/>
      <c r="H1677"/>
    </row>
    <row r="1678" spans="5:8" ht="15" x14ac:dyDescent="0.25">
      <c r="E1678"/>
      <c r="H1678"/>
    </row>
    <row r="1679" spans="5:8" ht="15" x14ac:dyDescent="0.25">
      <c r="E1679"/>
      <c r="H1679"/>
    </row>
    <row r="1680" spans="5:8" ht="15" x14ac:dyDescent="0.25">
      <c r="E1680"/>
      <c r="H1680"/>
    </row>
    <row r="1681" spans="5:8" ht="15" x14ac:dyDescent="0.25">
      <c r="E1681"/>
      <c r="H1681"/>
    </row>
    <row r="1682" spans="5:8" ht="15" x14ac:dyDescent="0.25">
      <c r="E1682"/>
      <c r="H1682"/>
    </row>
    <row r="1683" spans="5:8" ht="15" x14ac:dyDescent="0.25">
      <c r="E1683"/>
      <c r="H1683"/>
    </row>
    <row r="1684" spans="5:8" ht="15" x14ac:dyDescent="0.25">
      <c r="E1684"/>
      <c r="H1684"/>
    </row>
    <row r="1685" spans="5:8" ht="15" x14ac:dyDescent="0.25">
      <c r="E1685"/>
      <c r="H1685"/>
    </row>
    <row r="1686" spans="5:8" ht="15" x14ac:dyDescent="0.25">
      <c r="E1686"/>
      <c r="H1686"/>
    </row>
    <row r="1687" spans="5:8" ht="15" x14ac:dyDescent="0.25">
      <c r="E1687"/>
      <c r="H1687"/>
    </row>
    <row r="1688" spans="5:8" ht="15" x14ac:dyDescent="0.25">
      <c r="E1688"/>
      <c r="H1688"/>
    </row>
    <row r="1689" spans="5:8" ht="15" x14ac:dyDescent="0.25">
      <c r="E1689"/>
      <c r="H1689"/>
    </row>
    <row r="1690" spans="5:8" ht="15" x14ac:dyDescent="0.25">
      <c r="E1690"/>
      <c r="H1690"/>
    </row>
    <row r="1691" spans="5:8" ht="15" x14ac:dyDescent="0.25">
      <c r="E1691"/>
      <c r="H1691"/>
    </row>
    <row r="1692" spans="5:8" ht="15" x14ac:dyDescent="0.25">
      <c r="E1692"/>
      <c r="H1692"/>
    </row>
    <row r="1693" spans="5:8" ht="15" x14ac:dyDescent="0.25">
      <c r="E1693"/>
      <c r="H1693"/>
    </row>
    <row r="1694" spans="5:8" ht="15" x14ac:dyDescent="0.25">
      <c r="E1694"/>
      <c r="H1694"/>
    </row>
    <row r="1695" spans="5:8" ht="15" x14ac:dyDescent="0.25">
      <c r="E1695"/>
      <c r="H1695"/>
    </row>
    <row r="1696" spans="5:8" ht="15" x14ac:dyDescent="0.25">
      <c r="E1696"/>
      <c r="H1696"/>
    </row>
    <row r="1697" spans="5:8" ht="15" x14ac:dyDescent="0.25">
      <c r="E1697"/>
      <c r="H1697"/>
    </row>
    <row r="1698" spans="5:8" ht="15" x14ac:dyDescent="0.25">
      <c r="E1698"/>
      <c r="H1698"/>
    </row>
    <row r="1699" spans="5:8" ht="15" x14ac:dyDescent="0.25">
      <c r="E1699"/>
      <c r="H1699"/>
    </row>
    <row r="1700" spans="5:8" ht="15" x14ac:dyDescent="0.25">
      <c r="E1700"/>
      <c r="H1700"/>
    </row>
    <row r="1701" spans="5:8" ht="15" x14ac:dyDescent="0.25">
      <c r="E1701"/>
      <c r="H1701"/>
    </row>
    <row r="1702" spans="5:8" ht="15" x14ac:dyDescent="0.25">
      <c r="E1702"/>
      <c r="H1702"/>
    </row>
    <row r="1703" spans="5:8" ht="15" x14ac:dyDescent="0.25">
      <c r="E1703"/>
      <c r="H1703"/>
    </row>
    <row r="1704" spans="5:8" ht="15" x14ac:dyDescent="0.25">
      <c r="E1704"/>
      <c r="H1704"/>
    </row>
    <row r="1705" spans="5:8" ht="15" x14ac:dyDescent="0.25">
      <c r="E1705"/>
      <c r="H1705"/>
    </row>
    <row r="1706" spans="5:8" ht="15" x14ac:dyDescent="0.25">
      <c r="E1706"/>
      <c r="H1706"/>
    </row>
    <row r="1707" spans="5:8" ht="15" x14ac:dyDescent="0.25">
      <c r="E1707"/>
      <c r="H1707"/>
    </row>
    <row r="1708" spans="5:8" ht="15" x14ac:dyDescent="0.25">
      <c r="E1708"/>
      <c r="H1708"/>
    </row>
    <row r="1709" spans="5:8" ht="15" x14ac:dyDescent="0.25">
      <c r="E1709"/>
      <c r="H1709"/>
    </row>
    <row r="1710" spans="5:8" ht="15" x14ac:dyDescent="0.25">
      <c r="E1710"/>
      <c r="H1710"/>
    </row>
    <row r="1711" spans="5:8" ht="15" x14ac:dyDescent="0.25">
      <c r="E1711"/>
      <c r="H1711"/>
    </row>
    <row r="1712" spans="5:8" ht="15" x14ac:dyDescent="0.25">
      <c r="E1712"/>
      <c r="H1712"/>
    </row>
    <row r="1713" spans="5:8" ht="15" x14ac:dyDescent="0.25">
      <c r="E1713"/>
      <c r="H1713"/>
    </row>
    <row r="1714" spans="5:8" ht="15" x14ac:dyDescent="0.25">
      <c r="E1714"/>
      <c r="H1714"/>
    </row>
    <row r="1715" spans="5:8" ht="15" x14ac:dyDescent="0.25">
      <c r="E1715"/>
      <c r="H1715"/>
    </row>
    <row r="1716" spans="5:8" ht="15" x14ac:dyDescent="0.25">
      <c r="E1716"/>
      <c r="H1716"/>
    </row>
    <row r="1717" spans="5:8" ht="15" x14ac:dyDescent="0.25">
      <c r="E1717"/>
      <c r="H1717"/>
    </row>
    <row r="1718" spans="5:8" ht="15" x14ac:dyDescent="0.25">
      <c r="E1718"/>
      <c r="H1718"/>
    </row>
    <row r="1719" spans="5:8" ht="15" x14ac:dyDescent="0.25">
      <c r="E1719"/>
      <c r="H1719"/>
    </row>
    <row r="1720" spans="5:8" ht="15" x14ac:dyDescent="0.25">
      <c r="E1720"/>
      <c r="H1720"/>
    </row>
    <row r="1721" spans="5:8" ht="15" x14ac:dyDescent="0.25">
      <c r="E1721"/>
      <c r="H1721"/>
    </row>
    <row r="1722" spans="5:8" ht="15" x14ac:dyDescent="0.25">
      <c r="E1722"/>
      <c r="H1722"/>
    </row>
    <row r="1723" spans="5:8" ht="15" x14ac:dyDescent="0.25">
      <c r="E1723"/>
      <c r="H1723"/>
    </row>
    <row r="1724" spans="5:8" ht="15" x14ac:dyDescent="0.25">
      <c r="E1724"/>
      <c r="H1724"/>
    </row>
    <row r="1725" spans="5:8" ht="15" x14ac:dyDescent="0.25">
      <c r="E1725"/>
      <c r="H1725"/>
    </row>
    <row r="1726" spans="5:8" ht="15" x14ac:dyDescent="0.25">
      <c r="E1726"/>
      <c r="H1726"/>
    </row>
    <row r="1727" spans="5:8" ht="15" x14ac:dyDescent="0.25">
      <c r="E1727"/>
      <c r="H1727"/>
    </row>
    <row r="1728" spans="5:8" ht="15" x14ac:dyDescent="0.25">
      <c r="E1728"/>
      <c r="H1728"/>
    </row>
    <row r="1729" spans="5:8" ht="15" x14ac:dyDescent="0.25">
      <c r="E1729"/>
      <c r="H1729"/>
    </row>
    <row r="1730" spans="5:8" ht="15" x14ac:dyDescent="0.25">
      <c r="E1730"/>
      <c r="H1730"/>
    </row>
    <row r="1731" spans="5:8" ht="15" x14ac:dyDescent="0.25">
      <c r="E1731"/>
      <c r="H1731"/>
    </row>
    <row r="1732" spans="5:8" ht="15" x14ac:dyDescent="0.25">
      <c r="E1732"/>
      <c r="H1732"/>
    </row>
    <row r="1733" spans="5:8" ht="15" x14ac:dyDescent="0.25">
      <c r="E1733"/>
      <c r="H1733"/>
    </row>
    <row r="1734" spans="5:8" ht="15" x14ac:dyDescent="0.25">
      <c r="E1734"/>
      <c r="H1734"/>
    </row>
    <row r="1735" spans="5:8" ht="15" x14ac:dyDescent="0.25">
      <c r="E1735"/>
      <c r="H1735"/>
    </row>
    <row r="1736" spans="5:8" ht="15" x14ac:dyDescent="0.25">
      <c r="E1736"/>
      <c r="H1736"/>
    </row>
    <row r="1737" spans="5:8" ht="15" x14ac:dyDescent="0.25">
      <c r="E1737"/>
      <c r="H1737"/>
    </row>
    <row r="1738" spans="5:8" ht="15" x14ac:dyDescent="0.25">
      <c r="E1738"/>
      <c r="H1738"/>
    </row>
    <row r="1739" spans="5:8" ht="15" x14ac:dyDescent="0.25">
      <c r="E1739"/>
      <c r="H1739"/>
    </row>
    <row r="1740" spans="5:8" ht="15" x14ac:dyDescent="0.25">
      <c r="E1740"/>
      <c r="H1740"/>
    </row>
    <row r="1741" spans="5:8" ht="15" x14ac:dyDescent="0.25">
      <c r="E1741"/>
      <c r="H1741"/>
    </row>
    <row r="1742" spans="5:8" ht="15" x14ac:dyDescent="0.25">
      <c r="E1742"/>
      <c r="H1742"/>
    </row>
    <row r="1743" spans="5:8" ht="15" x14ac:dyDescent="0.25">
      <c r="E1743"/>
      <c r="H1743"/>
    </row>
    <row r="1744" spans="5:8" ht="15" x14ac:dyDescent="0.25">
      <c r="E1744"/>
      <c r="H1744"/>
    </row>
    <row r="1745" spans="5:8" ht="15" x14ac:dyDescent="0.25">
      <c r="E1745"/>
      <c r="H1745"/>
    </row>
    <row r="1746" spans="5:8" ht="15" x14ac:dyDescent="0.25">
      <c r="E1746"/>
      <c r="H1746"/>
    </row>
    <row r="1747" spans="5:8" ht="15" x14ac:dyDescent="0.25">
      <c r="E1747"/>
      <c r="H1747"/>
    </row>
    <row r="1748" spans="5:8" ht="15" x14ac:dyDescent="0.25">
      <c r="E1748"/>
      <c r="H1748"/>
    </row>
    <row r="1749" spans="5:8" ht="15" x14ac:dyDescent="0.25">
      <c r="E1749"/>
      <c r="H1749"/>
    </row>
    <row r="1750" spans="5:8" ht="15" x14ac:dyDescent="0.25">
      <c r="E1750"/>
      <c r="H1750"/>
    </row>
    <row r="1751" spans="5:8" ht="15" x14ac:dyDescent="0.25">
      <c r="E1751"/>
      <c r="H1751"/>
    </row>
    <row r="1752" spans="5:8" ht="15" x14ac:dyDescent="0.25">
      <c r="E1752"/>
      <c r="H1752"/>
    </row>
    <row r="1753" spans="5:8" ht="15" x14ac:dyDescent="0.25">
      <c r="E1753"/>
      <c r="H1753"/>
    </row>
    <row r="1754" spans="5:8" ht="15" x14ac:dyDescent="0.25">
      <c r="E1754"/>
      <c r="H1754"/>
    </row>
    <row r="1755" spans="5:8" ht="15" x14ac:dyDescent="0.25">
      <c r="E1755"/>
      <c r="H1755"/>
    </row>
    <row r="1756" spans="5:8" ht="15" x14ac:dyDescent="0.25">
      <c r="E1756"/>
      <c r="H1756"/>
    </row>
    <row r="1757" spans="5:8" ht="15" x14ac:dyDescent="0.25">
      <c r="E1757"/>
      <c r="H1757"/>
    </row>
    <row r="1758" spans="5:8" ht="15" x14ac:dyDescent="0.25">
      <c r="E1758"/>
      <c r="H1758"/>
    </row>
    <row r="1759" spans="5:8" ht="15" x14ac:dyDescent="0.25">
      <c r="E1759"/>
      <c r="H1759"/>
    </row>
    <row r="1760" spans="5:8" ht="15" x14ac:dyDescent="0.25">
      <c r="E1760"/>
      <c r="H1760"/>
    </row>
    <row r="1761" spans="5:8" ht="15" x14ac:dyDescent="0.25">
      <c r="E1761"/>
      <c r="H1761"/>
    </row>
    <row r="1762" spans="5:8" ht="15" x14ac:dyDescent="0.25">
      <c r="E1762"/>
      <c r="H1762"/>
    </row>
    <row r="1763" spans="5:8" ht="15" x14ac:dyDescent="0.25">
      <c r="E1763"/>
      <c r="H1763"/>
    </row>
    <row r="1764" spans="5:8" ht="15" x14ac:dyDescent="0.25">
      <c r="E1764"/>
      <c r="H1764"/>
    </row>
    <row r="1765" spans="5:8" ht="15" x14ac:dyDescent="0.25">
      <c r="E1765"/>
      <c r="H1765"/>
    </row>
    <row r="1766" spans="5:8" ht="15" x14ac:dyDescent="0.25">
      <c r="E1766"/>
      <c r="H1766"/>
    </row>
    <row r="1767" spans="5:8" ht="15" x14ac:dyDescent="0.25">
      <c r="E1767"/>
      <c r="H1767"/>
    </row>
    <row r="1768" spans="5:8" ht="15" x14ac:dyDescent="0.25">
      <c r="E1768"/>
      <c r="H1768"/>
    </row>
    <row r="1769" spans="5:8" ht="15" x14ac:dyDescent="0.25">
      <c r="E1769"/>
      <c r="H1769"/>
    </row>
    <row r="1770" spans="5:8" ht="15" x14ac:dyDescent="0.25">
      <c r="E1770"/>
      <c r="H1770"/>
    </row>
    <row r="1771" spans="5:8" ht="15" x14ac:dyDescent="0.25">
      <c r="E1771"/>
      <c r="H1771"/>
    </row>
    <row r="1772" spans="5:8" ht="15" x14ac:dyDescent="0.25">
      <c r="E1772"/>
      <c r="H1772"/>
    </row>
    <row r="1773" spans="5:8" ht="15" x14ac:dyDescent="0.25">
      <c r="E1773"/>
      <c r="H1773"/>
    </row>
    <row r="1774" spans="5:8" ht="15" x14ac:dyDescent="0.25">
      <c r="E1774"/>
      <c r="H1774"/>
    </row>
    <row r="1775" spans="5:8" ht="15" x14ac:dyDescent="0.25">
      <c r="E1775"/>
      <c r="H1775"/>
    </row>
    <row r="1776" spans="5:8" ht="15" x14ac:dyDescent="0.25">
      <c r="E1776"/>
      <c r="H1776"/>
    </row>
    <row r="1777" spans="5:8" ht="15" x14ac:dyDescent="0.25">
      <c r="E1777"/>
      <c r="H1777"/>
    </row>
    <row r="1778" spans="5:8" ht="15" x14ac:dyDescent="0.25">
      <c r="E1778"/>
      <c r="H1778"/>
    </row>
    <row r="1779" spans="5:8" ht="15" x14ac:dyDescent="0.25">
      <c r="E1779"/>
      <c r="H1779"/>
    </row>
    <row r="1780" spans="5:8" ht="15" x14ac:dyDescent="0.25">
      <c r="E1780"/>
      <c r="H1780"/>
    </row>
    <row r="1781" spans="5:8" ht="15" x14ac:dyDescent="0.25">
      <c r="E1781"/>
      <c r="H1781"/>
    </row>
    <row r="1782" spans="5:8" ht="15" x14ac:dyDescent="0.25">
      <c r="E1782"/>
      <c r="H1782"/>
    </row>
    <row r="1783" spans="5:8" ht="15" x14ac:dyDescent="0.25">
      <c r="E1783"/>
      <c r="H1783"/>
    </row>
    <row r="1784" spans="5:8" ht="15" x14ac:dyDescent="0.25">
      <c r="E1784"/>
      <c r="H1784"/>
    </row>
    <row r="1785" spans="5:8" ht="15" x14ac:dyDescent="0.25">
      <c r="E1785"/>
      <c r="H1785"/>
    </row>
    <row r="1786" spans="5:8" ht="15" x14ac:dyDescent="0.25">
      <c r="E1786"/>
      <c r="H1786"/>
    </row>
    <row r="1787" spans="5:8" ht="15" x14ac:dyDescent="0.25">
      <c r="E1787"/>
      <c r="H1787"/>
    </row>
    <row r="1788" spans="5:8" ht="15" x14ac:dyDescent="0.25">
      <c r="E1788"/>
      <c r="H1788"/>
    </row>
    <row r="1789" spans="5:8" ht="15" x14ac:dyDescent="0.25">
      <c r="E1789"/>
      <c r="H1789"/>
    </row>
    <row r="1790" spans="5:8" ht="15" x14ac:dyDescent="0.25">
      <c r="E1790"/>
      <c r="H1790"/>
    </row>
    <row r="1791" spans="5:8" ht="15" x14ac:dyDescent="0.25">
      <c r="E1791"/>
      <c r="H1791"/>
    </row>
    <row r="1792" spans="5:8" ht="15" x14ac:dyDescent="0.25">
      <c r="E1792"/>
      <c r="H1792"/>
    </row>
    <row r="1793" spans="5:8" ht="15" x14ac:dyDescent="0.25">
      <c r="E1793"/>
      <c r="H1793"/>
    </row>
    <row r="1794" spans="5:8" ht="15" x14ac:dyDescent="0.25">
      <c r="E1794"/>
      <c r="H1794"/>
    </row>
    <row r="1795" spans="5:8" ht="15" x14ac:dyDescent="0.25">
      <c r="E1795"/>
      <c r="H1795"/>
    </row>
    <row r="1796" spans="5:8" ht="15" x14ac:dyDescent="0.25">
      <c r="E1796"/>
      <c r="H1796"/>
    </row>
    <row r="1797" spans="5:8" ht="15" x14ac:dyDescent="0.25">
      <c r="E1797"/>
      <c r="H1797"/>
    </row>
    <row r="1798" spans="5:8" ht="15" x14ac:dyDescent="0.25">
      <c r="E1798"/>
      <c r="H1798"/>
    </row>
    <row r="1799" spans="5:8" ht="15" x14ac:dyDescent="0.25">
      <c r="E1799"/>
      <c r="H1799"/>
    </row>
    <row r="1800" spans="5:8" ht="15" x14ac:dyDescent="0.25">
      <c r="E1800"/>
      <c r="H1800"/>
    </row>
    <row r="1801" spans="5:8" ht="15" x14ac:dyDescent="0.25">
      <c r="E1801"/>
      <c r="H1801"/>
    </row>
    <row r="1802" spans="5:8" ht="15" x14ac:dyDescent="0.25">
      <c r="E1802"/>
      <c r="H1802"/>
    </row>
    <row r="1803" spans="5:8" ht="15" x14ac:dyDescent="0.25">
      <c r="E1803"/>
      <c r="H1803"/>
    </row>
    <row r="1804" spans="5:8" ht="15" x14ac:dyDescent="0.25">
      <c r="E1804"/>
      <c r="H1804"/>
    </row>
    <row r="1805" spans="5:8" ht="15" x14ac:dyDescent="0.25">
      <c r="E1805"/>
      <c r="H1805"/>
    </row>
    <row r="1806" spans="5:8" ht="15" x14ac:dyDescent="0.25">
      <c r="E1806"/>
      <c r="H1806"/>
    </row>
    <row r="1807" spans="5:8" ht="15" x14ac:dyDescent="0.25">
      <c r="E1807"/>
      <c r="H1807"/>
    </row>
    <row r="1808" spans="5:8" ht="15" x14ac:dyDescent="0.25">
      <c r="E1808"/>
      <c r="H1808"/>
    </row>
    <row r="1809" spans="5:8" ht="15" x14ac:dyDescent="0.25">
      <c r="E1809"/>
      <c r="H1809"/>
    </row>
    <row r="1810" spans="5:8" ht="15" x14ac:dyDescent="0.25">
      <c r="E1810"/>
      <c r="H1810"/>
    </row>
    <row r="1811" spans="5:8" ht="15" x14ac:dyDescent="0.25">
      <c r="E1811"/>
      <c r="H1811"/>
    </row>
    <row r="1812" spans="5:8" ht="15" x14ac:dyDescent="0.25">
      <c r="E1812"/>
      <c r="H1812"/>
    </row>
    <row r="1813" spans="5:8" ht="15" x14ac:dyDescent="0.25">
      <c r="E1813"/>
      <c r="H1813"/>
    </row>
    <row r="1814" spans="5:8" ht="15" x14ac:dyDescent="0.25">
      <c r="E1814"/>
      <c r="H1814"/>
    </row>
    <row r="1815" spans="5:8" ht="15" x14ac:dyDescent="0.25">
      <c r="E1815"/>
      <c r="H1815"/>
    </row>
    <row r="1816" spans="5:8" ht="15" x14ac:dyDescent="0.25">
      <c r="E1816"/>
      <c r="H1816"/>
    </row>
    <row r="1817" spans="5:8" ht="15" x14ac:dyDescent="0.25">
      <c r="E1817"/>
      <c r="H1817"/>
    </row>
    <row r="1818" spans="5:8" ht="15" x14ac:dyDescent="0.25">
      <c r="E1818"/>
      <c r="H1818"/>
    </row>
    <row r="1819" spans="5:8" ht="15" x14ac:dyDescent="0.25">
      <c r="E1819"/>
      <c r="H1819"/>
    </row>
    <row r="1820" spans="5:8" ht="15" x14ac:dyDescent="0.25">
      <c r="E1820"/>
      <c r="H1820"/>
    </row>
    <row r="1821" spans="5:8" ht="15" x14ac:dyDescent="0.25">
      <c r="E1821"/>
      <c r="H1821"/>
    </row>
    <row r="1822" spans="5:8" ht="15" x14ac:dyDescent="0.25">
      <c r="E1822"/>
      <c r="H1822"/>
    </row>
    <row r="1823" spans="5:8" ht="15" x14ac:dyDescent="0.25">
      <c r="E1823"/>
      <c r="H1823"/>
    </row>
    <row r="1824" spans="5:8" ht="15" x14ac:dyDescent="0.25">
      <c r="E1824"/>
      <c r="H1824"/>
    </row>
    <row r="1825" spans="5:8" ht="15" x14ac:dyDescent="0.25">
      <c r="E1825"/>
      <c r="H1825"/>
    </row>
    <row r="1826" spans="5:8" ht="15" x14ac:dyDescent="0.25">
      <c r="E1826"/>
      <c r="H1826"/>
    </row>
    <row r="1827" spans="5:8" ht="15" x14ac:dyDescent="0.25">
      <c r="E1827"/>
      <c r="H1827"/>
    </row>
    <row r="1828" spans="5:8" ht="15" x14ac:dyDescent="0.25">
      <c r="E1828"/>
      <c r="H1828"/>
    </row>
    <row r="1829" spans="5:8" ht="15" x14ac:dyDescent="0.25">
      <c r="E1829"/>
      <c r="H1829"/>
    </row>
    <row r="1830" spans="5:8" ht="15" x14ac:dyDescent="0.25">
      <c r="E1830"/>
      <c r="H1830"/>
    </row>
    <row r="1831" spans="5:8" ht="15" x14ac:dyDescent="0.25">
      <c r="E1831"/>
      <c r="H1831"/>
    </row>
    <row r="1832" spans="5:8" ht="15" x14ac:dyDescent="0.25">
      <c r="E1832"/>
      <c r="H1832"/>
    </row>
    <row r="1833" spans="5:8" ht="15" x14ac:dyDescent="0.25">
      <c r="E1833"/>
      <c r="H1833"/>
    </row>
    <row r="1834" spans="5:8" ht="15" x14ac:dyDescent="0.25">
      <c r="E1834"/>
      <c r="H1834"/>
    </row>
    <row r="1835" spans="5:8" ht="15" x14ac:dyDescent="0.25">
      <c r="E1835"/>
      <c r="H1835"/>
    </row>
    <row r="1836" spans="5:8" ht="15" x14ac:dyDescent="0.25">
      <c r="E1836"/>
      <c r="H1836"/>
    </row>
    <row r="1837" spans="5:8" ht="15" x14ac:dyDescent="0.25">
      <c r="E1837"/>
      <c r="H1837"/>
    </row>
    <row r="1838" spans="5:8" ht="15" x14ac:dyDescent="0.25">
      <c r="E1838"/>
      <c r="H1838"/>
    </row>
    <row r="1839" spans="5:8" ht="15" x14ac:dyDescent="0.25">
      <c r="E1839"/>
      <c r="H1839"/>
    </row>
    <row r="1840" spans="5:8" ht="15" x14ac:dyDescent="0.25">
      <c r="E1840"/>
      <c r="H1840"/>
    </row>
    <row r="1841" spans="5:8" ht="15" x14ac:dyDescent="0.25">
      <c r="E1841"/>
      <c r="H1841"/>
    </row>
    <row r="1842" spans="5:8" ht="15" x14ac:dyDescent="0.25">
      <c r="E1842"/>
      <c r="H1842"/>
    </row>
    <row r="1843" spans="5:8" ht="15" x14ac:dyDescent="0.25">
      <c r="E1843"/>
      <c r="H1843"/>
    </row>
    <row r="1844" spans="5:8" ht="15" x14ac:dyDescent="0.25">
      <c r="E1844"/>
      <c r="H1844"/>
    </row>
    <row r="1845" spans="5:8" ht="15" x14ac:dyDescent="0.25">
      <c r="E1845"/>
      <c r="H1845"/>
    </row>
    <row r="1846" spans="5:8" ht="15" x14ac:dyDescent="0.25">
      <c r="E1846"/>
      <c r="H1846"/>
    </row>
    <row r="1847" spans="5:8" ht="15" x14ac:dyDescent="0.25">
      <c r="E1847"/>
      <c r="H1847"/>
    </row>
    <row r="1848" spans="5:8" ht="15" x14ac:dyDescent="0.25">
      <c r="E1848"/>
      <c r="H1848"/>
    </row>
    <row r="1849" spans="5:8" ht="15" x14ac:dyDescent="0.25">
      <c r="E1849"/>
      <c r="H1849"/>
    </row>
    <row r="1850" spans="5:8" ht="15" x14ac:dyDescent="0.25">
      <c r="E1850"/>
      <c r="H1850"/>
    </row>
    <row r="1851" spans="5:8" ht="15" x14ac:dyDescent="0.25">
      <c r="E1851"/>
      <c r="H1851"/>
    </row>
    <row r="1852" spans="5:8" ht="15" x14ac:dyDescent="0.25">
      <c r="E1852"/>
      <c r="H1852"/>
    </row>
    <row r="1853" spans="5:8" ht="15" x14ac:dyDescent="0.25">
      <c r="E1853"/>
      <c r="H1853"/>
    </row>
    <row r="1854" spans="5:8" ht="15" x14ac:dyDescent="0.25">
      <c r="E1854"/>
      <c r="H1854"/>
    </row>
    <row r="1855" spans="5:8" ht="15" x14ac:dyDescent="0.25">
      <c r="E1855"/>
      <c r="H1855"/>
    </row>
    <row r="1856" spans="5:8" ht="15" x14ac:dyDescent="0.25">
      <c r="E1856"/>
      <c r="H1856"/>
    </row>
    <row r="1857" spans="5:8" ht="15" x14ac:dyDescent="0.25">
      <c r="E1857"/>
      <c r="H1857"/>
    </row>
    <row r="1858" spans="5:8" ht="15" x14ac:dyDescent="0.25">
      <c r="E1858"/>
      <c r="H1858"/>
    </row>
    <row r="1859" spans="5:8" ht="15" x14ac:dyDescent="0.25">
      <c r="E1859"/>
      <c r="H1859"/>
    </row>
    <row r="1860" spans="5:8" ht="15" x14ac:dyDescent="0.25">
      <c r="E1860"/>
      <c r="H1860"/>
    </row>
    <row r="1861" spans="5:8" ht="15" x14ac:dyDescent="0.25">
      <c r="E1861"/>
      <c r="H1861"/>
    </row>
    <row r="1862" spans="5:8" ht="15" x14ac:dyDescent="0.25">
      <c r="E1862"/>
      <c r="H1862"/>
    </row>
    <row r="1863" spans="5:8" ht="15" x14ac:dyDescent="0.25">
      <c r="E1863"/>
      <c r="H1863"/>
    </row>
    <row r="1864" spans="5:8" ht="15" x14ac:dyDescent="0.25">
      <c r="E1864"/>
      <c r="H1864"/>
    </row>
    <row r="1865" spans="5:8" ht="15" x14ac:dyDescent="0.25">
      <c r="E1865"/>
      <c r="H1865"/>
    </row>
    <row r="1866" spans="5:8" ht="15" x14ac:dyDescent="0.25">
      <c r="E1866"/>
      <c r="H1866"/>
    </row>
    <row r="1867" spans="5:8" ht="15" x14ac:dyDescent="0.25">
      <c r="E1867"/>
      <c r="H1867"/>
    </row>
    <row r="1868" spans="5:8" ht="15" x14ac:dyDescent="0.25">
      <c r="E1868"/>
      <c r="H1868"/>
    </row>
    <row r="1869" spans="5:8" ht="15" x14ac:dyDescent="0.25">
      <c r="E1869"/>
      <c r="H1869"/>
    </row>
    <row r="1870" spans="5:8" ht="15" x14ac:dyDescent="0.25">
      <c r="E1870"/>
      <c r="H1870"/>
    </row>
    <row r="1871" spans="5:8" ht="15" x14ac:dyDescent="0.25">
      <c r="E1871"/>
      <c r="H1871"/>
    </row>
    <row r="1872" spans="5:8" ht="15" x14ac:dyDescent="0.25">
      <c r="E1872"/>
      <c r="H1872"/>
    </row>
    <row r="1873" spans="5:8" ht="15" x14ac:dyDescent="0.25">
      <c r="E1873"/>
      <c r="H1873"/>
    </row>
    <row r="1874" spans="5:8" ht="15" x14ac:dyDescent="0.25">
      <c r="E1874"/>
      <c r="H1874"/>
    </row>
    <row r="1875" spans="5:8" ht="15" x14ac:dyDescent="0.25">
      <c r="E1875"/>
      <c r="H1875"/>
    </row>
    <row r="1876" spans="5:8" ht="15" x14ac:dyDescent="0.25">
      <c r="E1876"/>
      <c r="H1876"/>
    </row>
    <row r="1877" spans="5:8" ht="15" x14ac:dyDescent="0.25">
      <c r="E1877"/>
      <c r="H1877"/>
    </row>
    <row r="1878" spans="5:8" ht="15" x14ac:dyDescent="0.25">
      <c r="E1878"/>
      <c r="H1878"/>
    </row>
    <row r="1879" spans="5:8" ht="15" x14ac:dyDescent="0.25">
      <c r="E1879"/>
      <c r="H1879"/>
    </row>
    <row r="1880" spans="5:8" ht="15" x14ac:dyDescent="0.25">
      <c r="E1880"/>
      <c r="H1880"/>
    </row>
    <row r="1881" spans="5:8" ht="15" x14ac:dyDescent="0.25">
      <c r="E1881"/>
      <c r="H1881"/>
    </row>
    <row r="1882" spans="5:8" ht="15" x14ac:dyDescent="0.25">
      <c r="E1882"/>
      <c r="H1882"/>
    </row>
    <row r="1883" spans="5:8" ht="15" x14ac:dyDescent="0.25">
      <c r="E1883"/>
      <c r="H1883"/>
    </row>
    <row r="1884" spans="5:8" ht="15" x14ac:dyDescent="0.25">
      <c r="E1884"/>
      <c r="H1884"/>
    </row>
    <row r="1885" spans="5:8" ht="15" x14ac:dyDescent="0.25">
      <c r="E1885"/>
      <c r="H1885"/>
    </row>
    <row r="1886" spans="5:8" ht="15" x14ac:dyDescent="0.25">
      <c r="E1886"/>
      <c r="H1886"/>
    </row>
    <row r="1887" spans="5:8" ht="15" x14ac:dyDescent="0.25">
      <c r="E1887"/>
      <c r="H1887"/>
    </row>
    <row r="1888" spans="5:8" ht="15" x14ac:dyDescent="0.25">
      <c r="E1888"/>
      <c r="H1888"/>
    </row>
    <row r="1889" spans="5:8" ht="15" x14ac:dyDescent="0.25">
      <c r="E1889"/>
      <c r="H1889"/>
    </row>
    <row r="1890" spans="5:8" ht="15" x14ac:dyDescent="0.25">
      <c r="E1890"/>
      <c r="H1890"/>
    </row>
    <row r="1891" spans="5:8" ht="15" x14ac:dyDescent="0.25">
      <c r="E1891"/>
      <c r="H1891"/>
    </row>
    <row r="1892" spans="5:8" ht="15" x14ac:dyDescent="0.25">
      <c r="E1892"/>
      <c r="H1892"/>
    </row>
    <row r="1893" spans="5:8" ht="15" x14ac:dyDescent="0.25">
      <c r="E1893"/>
      <c r="H1893"/>
    </row>
    <row r="1894" spans="5:8" ht="15" x14ac:dyDescent="0.25">
      <c r="E1894"/>
      <c r="H1894"/>
    </row>
    <row r="1895" spans="5:8" ht="15" x14ac:dyDescent="0.25">
      <c r="E1895"/>
      <c r="H1895"/>
    </row>
    <row r="1896" spans="5:8" ht="15" x14ac:dyDescent="0.25">
      <c r="E1896"/>
      <c r="H1896"/>
    </row>
    <row r="1897" spans="5:8" ht="15" x14ac:dyDescent="0.25">
      <c r="E1897"/>
      <c r="H1897"/>
    </row>
    <row r="1898" spans="5:8" ht="15" x14ac:dyDescent="0.25">
      <c r="E1898"/>
      <c r="H1898"/>
    </row>
    <row r="1899" spans="5:8" ht="15" x14ac:dyDescent="0.25">
      <c r="E1899"/>
      <c r="H1899"/>
    </row>
    <row r="1900" spans="5:8" ht="15" x14ac:dyDescent="0.25">
      <c r="E1900"/>
      <c r="H1900"/>
    </row>
    <row r="1901" spans="5:8" ht="15" x14ac:dyDescent="0.25">
      <c r="E1901"/>
      <c r="H1901"/>
    </row>
    <row r="1902" spans="5:8" ht="15" x14ac:dyDescent="0.25">
      <c r="E1902"/>
      <c r="H1902"/>
    </row>
    <row r="1903" spans="5:8" ht="15" x14ac:dyDescent="0.25">
      <c r="E1903"/>
      <c r="H1903"/>
    </row>
    <row r="1904" spans="5:8" ht="15" x14ac:dyDescent="0.25">
      <c r="E1904"/>
      <c r="H1904"/>
    </row>
    <row r="1905" spans="5:8" ht="15" x14ac:dyDescent="0.25">
      <c r="E1905"/>
      <c r="H1905"/>
    </row>
    <row r="1906" spans="5:8" ht="15" x14ac:dyDescent="0.25">
      <c r="E1906"/>
      <c r="H1906"/>
    </row>
    <row r="1907" spans="5:8" ht="15" x14ac:dyDescent="0.25">
      <c r="E1907"/>
      <c r="H1907"/>
    </row>
    <row r="1908" spans="5:8" ht="15" x14ac:dyDescent="0.25">
      <c r="E1908"/>
      <c r="H1908"/>
    </row>
    <row r="1909" spans="5:8" ht="15" x14ac:dyDescent="0.25">
      <c r="E1909"/>
      <c r="H1909"/>
    </row>
    <row r="1910" spans="5:8" ht="15" x14ac:dyDescent="0.25">
      <c r="E1910"/>
      <c r="H1910"/>
    </row>
    <row r="1911" spans="5:8" ht="15" x14ac:dyDescent="0.25">
      <c r="E1911"/>
      <c r="H1911"/>
    </row>
    <row r="1912" spans="5:8" ht="15" x14ac:dyDescent="0.25">
      <c r="E1912"/>
      <c r="H1912"/>
    </row>
    <row r="1913" spans="5:8" ht="15" x14ac:dyDescent="0.25">
      <c r="E1913"/>
      <c r="H1913"/>
    </row>
    <row r="1914" spans="5:8" ht="15" x14ac:dyDescent="0.25">
      <c r="E1914"/>
      <c r="H1914"/>
    </row>
    <row r="1915" spans="5:8" ht="15" x14ac:dyDescent="0.25">
      <c r="E1915"/>
      <c r="H1915"/>
    </row>
    <row r="1916" spans="5:8" ht="15" x14ac:dyDescent="0.25">
      <c r="E1916"/>
      <c r="H1916"/>
    </row>
    <row r="1917" spans="5:8" ht="15" x14ac:dyDescent="0.25">
      <c r="E1917"/>
      <c r="H1917"/>
    </row>
    <row r="1918" spans="5:8" ht="15" x14ac:dyDescent="0.25">
      <c r="E1918"/>
      <c r="H1918"/>
    </row>
    <row r="1919" spans="5:8" ht="15" x14ac:dyDescent="0.25">
      <c r="E1919"/>
      <c r="H1919"/>
    </row>
    <row r="1920" spans="5:8" ht="15" x14ac:dyDescent="0.25">
      <c r="E1920"/>
      <c r="H1920"/>
    </row>
    <row r="1921" spans="5:8" ht="15" x14ac:dyDescent="0.25">
      <c r="E1921"/>
      <c r="H1921"/>
    </row>
    <row r="1922" spans="5:8" ht="15" x14ac:dyDescent="0.25">
      <c r="E1922"/>
      <c r="H1922"/>
    </row>
    <row r="1923" spans="5:8" ht="15" x14ac:dyDescent="0.25">
      <c r="E1923"/>
      <c r="H1923"/>
    </row>
    <row r="1924" spans="5:8" ht="15" x14ac:dyDescent="0.25">
      <c r="E1924"/>
      <c r="H1924"/>
    </row>
    <row r="1925" spans="5:8" ht="15" x14ac:dyDescent="0.25">
      <c r="E1925"/>
      <c r="H1925"/>
    </row>
    <row r="1926" spans="5:8" ht="15" x14ac:dyDescent="0.25">
      <c r="E1926"/>
      <c r="H1926"/>
    </row>
    <row r="1927" spans="5:8" ht="15" x14ac:dyDescent="0.25">
      <c r="E1927"/>
      <c r="H1927"/>
    </row>
    <row r="1928" spans="5:8" ht="15" x14ac:dyDescent="0.25">
      <c r="E1928"/>
      <c r="H1928"/>
    </row>
    <row r="1929" spans="5:8" ht="15" x14ac:dyDescent="0.25">
      <c r="E1929"/>
      <c r="H1929"/>
    </row>
    <row r="1930" spans="5:8" ht="15" x14ac:dyDescent="0.25">
      <c r="E1930"/>
      <c r="H1930"/>
    </row>
    <row r="1931" spans="5:8" ht="15" x14ac:dyDescent="0.25">
      <c r="E1931"/>
      <c r="H1931"/>
    </row>
    <row r="1932" spans="5:8" ht="15" x14ac:dyDescent="0.25">
      <c r="E1932"/>
      <c r="H1932"/>
    </row>
    <row r="1933" spans="5:8" ht="15" x14ac:dyDescent="0.25">
      <c r="E1933"/>
      <c r="H1933"/>
    </row>
    <row r="1934" spans="5:8" ht="15" x14ac:dyDescent="0.25">
      <c r="E1934"/>
      <c r="H1934"/>
    </row>
    <row r="1935" spans="5:8" ht="15" x14ac:dyDescent="0.25">
      <c r="E1935"/>
      <c r="H1935"/>
    </row>
    <row r="1936" spans="5:8" ht="15" x14ac:dyDescent="0.25">
      <c r="E1936"/>
      <c r="H1936"/>
    </row>
    <row r="1937" spans="5:8" ht="15" x14ac:dyDescent="0.25">
      <c r="E1937"/>
      <c r="H1937"/>
    </row>
    <row r="1938" spans="5:8" ht="15" x14ac:dyDescent="0.25">
      <c r="E1938"/>
      <c r="H1938"/>
    </row>
    <row r="1939" spans="5:8" ht="15" x14ac:dyDescent="0.25">
      <c r="E1939"/>
      <c r="H1939"/>
    </row>
    <row r="1940" spans="5:8" ht="15" x14ac:dyDescent="0.25">
      <c r="E1940"/>
      <c r="H1940"/>
    </row>
    <row r="1941" spans="5:8" ht="15" x14ac:dyDescent="0.25">
      <c r="E1941"/>
      <c r="H1941"/>
    </row>
    <row r="1942" spans="5:8" ht="15" x14ac:dyDescent="0.25">
      <c r="E1942"/>
      <c r="H1942"/>
    </row>
    <row r="1943" spans="5:8" ht="15" x14ac:dyDescent="0.25">
      <c r="E1943"/>
      <c r="H1943"/>
    </row>
    <row r="1944" spans="5:8" ht="15" x14ac:dyDescent="0.25">
      <c r="E1944"/>
      <c r="H1944"/>
    </row>
    <row r="1945" spans="5:8" ht="15" x14ac:dyDescent="0.25">
      <c r="E1945"/>
      <c r="H1945"/>
    </row>
    <row r="1946" spans="5:8" ht="15" x14ac:dyDescent="0.25">
      <c r="E1946"/>
      <c r="H1946"/>
    </row>
    <row r="1947" spans="5:8" ht="15" x14ac:dyDescent="0.25">
      <c r="E1947"/>
      <c r="H1947"/>
    </row>
    <row r="1948" spans="5:8" ht="15" x14ac:dyDescent="0.25">
      <c r="E1948"/>
      <c r="H1948"/>
    </row>
    <row r="1949" spans="5:8" ht="15" x14ac:dyDescent="0.25">
      <c r="E1949"/>
      <c r="H1949"/>
    </row>
    <row r="1950" spans="5:8" ht="15" x14ac:dyDescent="0.25">
      <c r="E1950"/>
      <c r="H1950"/>
    </row>
    <row r="1951" spans="5:8" ht="15" x14ac:dyDescent="0.25">
      <c r="E1951"/>
      <c r="H1951"/>
    </row>
    <row r="1952" spans="5:8" ht="15" x14ac:dyDescent="0.25">
      <c r="E1952"/>
      <c r="H1952"/>
    </row>
    <row r="1953" spans="5:8" ht="15" x14ac:dyDescent="0.25">
      <c r="E1953"/>
      <c r="H1953"/>
    </row>
    <row r="1954" spans="5:8" ht="15" x14ac:dyDescent="0.25">
      <c r="E1954"/>
      <c r="H1954"/>
    </row>
    <row r="1955" spans="5:8" ht="15" x14ac:dyDescent="0.25">
      <c r="E1955"/>
      <c r="H1955"/>
    </row>
    <row r="1956" spans="5:8" ht="15" x14ac:dyDescent="0.25">
      <c r="E1956"/>
      <c r="H1956"/>
    </row>
    <row r="1957" spans="5:8" ht="15" x14ac:dyDescent="0.25">
      <c r="E1957"/>
      <c r="H1957"/>
    </row>
    <row r="1958" spans="5:8" ht="15" x14ac:dyDescent="0.25">
      <c r="E1958"/>
      <c r="H1958"/>
    </row>
    <row r="1959" spans="5:8" ht="15" x14ac:dyDescent="0.25">
      <c r="E1959"/>
      <c r="H1959"/>
    </row>
    <row r="1960" spans="5:8" ht="15" x14ac:dyDescent="0.25">
      <c r="E1960"/>
      <c r="H1960"/>
    </row>
    <row r="1961" spans="5:8" ht="15" x14ac:dyDescent="0.25">
      <c r="E1961"/>
      <c r="H1961"/>
    </row>
    <row r="1962" spans="5:8" ht="15" x14ac:dyDescent="0.25">
      <c r="E1962"/>
      <c r="H1962"/>
    </row>
    <row r="1963" spans="5:8" ht="15" x14ac:dyDescent="0.25">
      <c r="E1963"/>
      <c r="H1963"/>
    </row>
    <row r="1964" spans="5:8" ht="15" x14ac:dyDescent="0.25">
      <c r="E1964"/>
      <c r="H1964"/>
    </row>
    <row r="1965" spans="5:8" ht="15" x14ac:dyDescent="0.25">
      <c r="E1965"/>
      <c r="H1965"/>
    </row>
    <row r="1966" spans="5:8" ht="15" x14ac:dyDescent="0.25">
      <c r="E1966"/>
      <c r="H1966"/>
    </row>
    <row r="1967" spans="5:8" ht="15" x14ac:dyDescent="0.25">
      <c r="E1967"/>
      <c r="H1967"/>
    </row>
    <row r="1968" spans="5:8" ht="15" x14ac:dyDescent="0.25">
      <c r="E1968"/>
      <c r="H1968"/>
    </row>
    <row r="1969" spans="5:8" ht="15" x14ac:dyDescent="0.25">
      <c r="E1969"/>
      <c r="H1969"/>
    </row>
    <row r="1970" spans="5:8" ht="15" x14ac:dyDescent="0.25">
      <c r="E1970"/>
      <c r="H1970"/>
    </row>
    <row r="1971" spans="5:8" ht="15" x14ac:dyDescent="0.25">
      <c r="E1971"/>
      <c r="H1971"/>
    </row>
    <row r="1972" spans="5:8" ht="15" x14ac:dyDescent="0.25">
      <c r="E1972"/>
      <c r="H1972"/>
    </row>
    <row r="1973" spans="5:8" ht="15" x14ac:dyDescent="0.25">
      <c r="E1973"/>
      <c r="H1973"/>
    </row>
    <row r="1974" spans="5:8" ht="15" x14ac:dyDescent="0.25">
      <c r="E1974"/>
      <c r="H1974"/>
    </row>
    <row r="1975" spans="5:8" ht="15" x14ac:dyDescent="0.25">
      <c r="E1975"/>
      <c r="H1975"/>
    </row>
    <row r="1976" spans="5:8" ht="15" x14ac:dyDescent="0.25">
      <c r="E1976"/>
      <c r="H1976"/>
    </row>
    <row r="1977" spans="5:8" ht="15" x14ac:dyDescent="0.25">
      <c r="E1977"/>
      <c r="H1977"/>
    </row>
    <row r="1978" spans="5:8" ht="15" x14ac:dyDescent="0.25">
      <c r="E1978"/>
      <c r="H1978"/>
    </row>
    <row r="1979" spans="5:8" ht="15" x14ac:dyDescent="0.25">
      <c r="E1979"/>
      <c r="H1979"/>
    </row>
    <row r="1980" spans="5:8" ht="15" x14ac:dyDescent="0.25">
      <c r="E1980"/>
      <c r="H1980"/>
    </row>
    <row r="1981" spans="5:8" ht="15" x14ac:dyDescent="0.25">
      <c r="E1981"/>
      <c r="H1981"/>
    </row>
    <row r="1982" spans="5:8" ht="15" x14ac:dyDescent="0.25">
      <c r="E1982"/>
      <c r="H1982"/>
    </row>
    <row r="1983" spans="5:8" ht="15" x14ac:dyDescent="0.25">
      <c r="E1983"/>
      <c r="H1983"/>
    </row>
    <row r="1984" spans="5:8" ht="15" x14ac:dyDescent="0.25">
      <c r="E1984"/>
      <c r="H1984"/>
    </row>
    <row r="1985" spans="5:8" ht="15" x14ac:dyDescent="0.25">
      <c r="E1985"/>
      <c r="H1985"/>
    </row>
    <row r="1986" spans="5:8" ht="15" x14ac:dyDescent="0.25">
      <c r="E1986"/>
      <c r="H1986"/>
    </row>
    <row r="1987" spans="5:8" ht="15" x14ac:dyDescent="0.25">
      <c r="E1987"/>
      <c r="H1987"/>
    </row>
    <row r="1988" spans="5:8" ht="15" x14ac:dyDescent="0.25">
      <c r="E1988"/>
      <c r="H1988"/>
    </row>
    <row r="1989" spans="5:8" ht="15" x14ac:dyDescent="0.25">
      <c r="E1989"/>
      <c r="H1989"/>
    </row>
    <row r="1990" spans="5:8" ht="15" x14ac:dyDescent="0.25">
      <c r="E1990"/>
      <c r="H1990"/>
    </row>
    <row r="1991" spans="5:8" ht="15" x14ac:dyDescent="0.25">
      <c r="E1991"/>
      <c r="H1991"/>
    </row>
    <row r="1992" spans="5:8" ht="15" x14ac:dyDescent="0.25">
      <c r="E1992"/>
      <c r="H1992"/>
    </row>
    <row r="1993" spans="5:8" ht="15" x14ac:dyDescent="0.25">
      <c r="E1993"/>
      <c r="H1993"/>
    </row>
    <row r="1994" spans="5:8" ht="15" x14ac:dyDescent="0.25">
      <c r="E1994"/>
      <c r="H1994"/>
    </row>
    <row r="1995" spans="5:8" ht="15" x14ac:dyDescent="0.25">
      <c r="E1995"/>
      <c r="H1995"/>
    </row>
    <row r="1996" spans="5:8" ht="15" x14ac:dyDescent="0.25">
      <c r="E1996"/>
      <c r="H1996"/>
    </row>
    <row r="1997" spans="5:8" ht="15" x14ac:dyDescent="0.25">
      <c r="E1997"/>
      <c r="H1997"/>
    </row>
    <row r="1998" spans="5:8" ht="15" x14ac:dyDescent="0.25">
      <c r="E1998"/>
      <c r="H1998"/>
    </row>
    <row r="1999" spans="5:8" ht="15" x14ac:dyDescent="0.25">
      <c r="E1999"/>
      <c r="H1999"/>
    </row>
    <row r="2000" spans="5:8" ht="15" x14ac:dyDescent="0.25">
      <c r="E2000"/>
      <c r="H2000"/>
    </row>
    <row r="2001" spans="5:8" ht="15" x14ac:dyDescent="0.25">
      <c r="E2001"/>
      <c r="H2001"/>
    </row>
    <row r="2002" spans="5:8" ht="15" x14ac:dyDescent="0.25">
      <c r="E2002"/>
      <c r="H2002"/>
    </row>
    <row r="2003" spans="5:8" ht="15" x14ac:dyDescent="0.25">
      <c r="E2003"/>
      <c r="H2003"/>
    </row>
    <row r="2004" spans="5:8" ht="15" x14ac:dyDescent="0.25">
      <c r="E2004"/>
      <c r="H2004"/>
    </row>
    <row r="2005" spans="5:8" ht="15" x14ac:dyDescent="0.25">
      <c r="E2005"/>
      <c r="H2005"/>
    </row>
    <row r="2006" spans="5:8" ht="15" x14ac:dyDescent="0.25">
      <c r="E2006"/>
      <c r="H2006"/>
    </row>
    <row r="2007" spans="5:8" ht="15" x14ac:dyDescent="0.25">
      <c r="E2007"/>
      <c r="H2007"/>
    </row>
    <row r="2008" spans="5:8" ht="15" x14ac:dyDescent="0.25">
      <c r="E2008"/>
      <c r="H2008"/>
    </row>
    <row r="2009" spans="5:8" ht="15" x14ac:dyDescent="0.25">
      <c r="E2009"/>
      <c r="H2009"/>
    </row>
    <row r="2010" spans="5:8" ht="15" x14ac:dyDescent="0.25">
      <c r="E2010"/>
      <c r="H2010"/>
    </row>
    <row r="2011" spans="5:8" ht="15" x14ac:dyDescent="0.25">
      <c r="E2011"/>
      <c r="H2011"/>
    </row>
    <row r="2012" spans="5:8" ht="15" x14ac:dyDescent="0.25">
      <c r="E2012"/>
      <c r="H2012"/>
    </row>
    <row r="2013" spans="5:8" ht="15" x14ac:dyDescent="0.25">
      <c r="E2013"/>
      <c r="H2013"/>
    </row>
    <row r="2014" spans="5:8" ht="15" x14ac:dyDescent="0.25">
      <c r="E2014"/>
      <c r="H2014"/>
    </row>
    <row r="2015" spans="5:8" ht="15" x14ac:dyDescent="0.25">
      <c r="E2015"/>
      <c r="H2015"/>
    </row>
    <row r="2016" spans="5:8" ht="15" x14ac:dyDescent="0.25">
      <c r="E2016"/>
      <c r="H2016"/>
    </row>
    <row r="2017" spans="5:8" ht="15" x14ac:dyDescent="0.25">
      <c r="E2017"/>
      <c r="H2017"/>
    </row>
    <row r="2018" spans="5:8" ht="15" x14ac:dyDescent="0.25">
      <c r="E2018"/>
      <c r="H2018"/>
    </row>
    <row r="2019" spans="5:8" ht="15" x14ac:dyDescent="0.25">
      <c r="E2019"/>
      <c r="H2019"/>
    </row>
    <row r="2020" spans="5:8" ht="15" x14ac:dyDescent="0.25">
      <c r="E2020"/>
      <c r="H2020"/>
    </row>
    <row r="2021" spans="5:8" ht="15" x14ac:dyDescent="0.25">
      <c r="E2021"/>
      <c r="H2021"/>
    </row>
    <row r="2022" spans="5:8" ht="15" x14ac:dyDescent="0.25">
      <c r="E2022"/>
      <c r="H2022"/>
    </row>
    <row r="2023" spans="5:8" ht="15" x14ac:dyDescent="0.25">
      <c r="E2023"/>
      <c r="H2023"/>
    </row>
    <row r="2024" spans="5:8" ht="15" x14ac:dyDescent="0.25">
      <c r="E2024"/>
      <c r="H2024"/>
    </row>
    <row r="2025" spans="5:8" ht="15" x14ac:dyDescent="0.25">
      <c r="E2025"/>
      <c r="H2025"/>
    </row>
    <row r="2026" spans="5:8" ht="15" x14ac:dyDescent="0.25">
      <c r="E2026"/>
      <c r="H2026"/>
    </row>
    <row r="2027" spans="5:8" ht="15" x14ac:dyDescent="0.25">
      <c r="E2027"/>
      <c r="H2027"/>
    </row>
    <row r="2028" spans="5:8" ht="15" x14ac:dyDescent="0.25">
      <c r="E2028"/>
      <c r="H2028"/>
    </row>
    <row r="2029" spans="5:8" ht="15" x14ac:dyDescent="0.25">
      <c r="E2029"/>
      <c r="H2029"/>
    </row>
    <row r="2030" spans="5:8" ht="15" x14ac:dyDescent="0.25">
      <c r="E2030"/>
      <c r="H2030"/>
    </row>
    <row r="2031" spans="5:8" ht="15" x14ac:dyDescent="0.25">
      <c r="E2031"/>
      <c r="H2031"/>
    </row>
    <row r="2032" spans="5:8" ht="15" x14ac:dyDescent="0.25">
      <c r="E2032"/>
      <c r="H2032"/>
    </row>
    <row r="2033" spans="5:8" ht="15" x14ac:dyDescent="0.25">
      <c r="E2033"/>
      <c r="H2033"/>
    </row>
    <row r="2034" spans="5:8" ht="15" x14ac:dyDescent="0.25">
      <c r="E2034"/>
      <c r="H2034"/>
    </row>
    <row r="2035" spans="5:8" ht="15" x14ac:dyDescent="0.25">
      <c r="E2035"/>
      <c r="H2035"/>
    </row>
    <row r="2036" spans="5:8" ht="15" x14ac:dyDescent="0.25">
      <c r="E2036"/>
      <c r="H2036"/>
    </row>
    <row r="2037" spans="5:8" ht="15" x14ac:dyDescent="0.25">
      <c r="E2037"/>
      <c r="H2037"/>
    </row>
    <row r="2038" spans="5:8" ht="15" x14ac:dyDescent="0.25">
      <c r="E2038"/>
      <c r="H2038"/>
    </row>
    <row r="2039" spans="5:8" ht="15" x14ac:dyDescent="0.25">
      <c r="E2039"/>
      <c r="H2039"/>
    </row>
    <row r="2040" spans="5:8" ht="15" x14ac:dyDescent="0.25">
      <c r="E2040"/>
      <c r="H2040"/>
    </row>
    <row r="2041" spans="5:8" ht="15" x14ac:dyDescent="0.25">
      <c r="E2041"/>
      <c r="H2041"/>
    </row>
    <row r="2042" spans="5:8" ht="15" x14ac:dyDescent="0.25">
      <c r="E2042"/>
      <c r="H2042"/>
    </row>
    <row r="2043" spans="5:8" ht="15" x14ac:dyDescent="0.25">
      <c r="E2043"/>
      <c r="H2043"/>
    </row>
    <row r="2044" spans="5:8" ht="15" x14ac:dyDescent="0.25">
      <c r="E2044"/>
      <c r="H2044"/>
    </row>
    <row r="2045" spans="5:8" ht="15" x14ac:dyDescent="0.25">
      <c r="E2045"/>
      <c r="H2045"/>
    </row>
    <row r="2046" spans="5:8" ht="15" x14ac:dyDescent="0.25">
      <c r="E2046"/>
      <c r="H2046"/>
    </row>
    <row r="2047" spans="5:8" ht="15" x14ac:dyDescent="0.25">
      <c r="E2047"/>
      <c r="H2047"/>
    </row>
    <row r="2048" spans="5:8" ht="15" x14ac:dyDescent="0.25">
      <c r="E2048"/>
      <c r="H2048"/>
    </row>
    <row r="2049" spans="5:8" ht="15" x14ac:dyDescent="0.25">
      <c r="E2049"/>
      <c r="H2049"/>
    </row>
    <row r="2050" spans="5:8" ht="15" x14ac:dyDescent="0.25">
      <c r="E2050"/>
      <c r="H2050"/>
    </row>
    <row r="2051" spans="5:8" ht="15" x14ac:dyDescent="0.25">
      <c r="E2051"/>
      <c r="H2051"/>
    </row>
    <row r="2052" spans="5:8" ht="15" x14ac:dyDescent="0.25">
      <c r="E2052"/>
      <c r="H2052"/>
    </row>
    <row r="2053" spans="5:8" ht="15" x14ac:dyDescent="0.25">
      <c r="E2053"/>
      <c r="H2053"/>
    </row>
    <row r="2054" spans="5:8" ht="15" x14ac:dyDescent="0.25">
      <c r="E2054"/>
      <c r="H2054"/>
    </row>
    <row r="2055" spans="5:8" ht="15" x14ac:dyDescent="0.25">
      <c r="E2055"/>
      <c r="H2055"/>
    </row>
    <row r="2056" spans="5:8" ht="15" x14ac:dyDescent="0.25">
      <c r="E2056"/>
      <c r="H2056"/>
    </row>
    <row r="2057" spans="5:8" ht="15" x14ac:dyDescent="0.25">
      <c r="E2057"/>
      <c r="H2057"/>
    </row>
    <row r="2058" spans="5:8" ht="15" x14ac:dyDescent="0.25">
      <c r="E2058"/>
      <c r="H2058"/>
    </row>
    <row r="2059" spans="5:8" ht="15" x14ac:dyDescent="0.25">
      <c r="E2059"/>
      <c r="H2059"/>
    </row>
    <row r="2060" spans="5:8" ht="15" x14ac:dyDescent="0.25">
      <c r="E2060"/>
      <c r="H2060"/>
    </row>
    <row r="2061" spans="5:8" ht="15" x14ac:dyDescent="0.25">
      <c r="E2061"/>
      <c r="H2061"/>
    </row>
    <row r="2062" spans="5:8" ht="15" x14ac:dyDescent="0.25">
      <c r="E2062"/>
      <c r="H2062"/>
    </row>
    <row r="2063" spans="5:8" ht="15" x14ac:dyDescent="0.25">
      <c r="E2063"/>
      <c r="H2063"/>
    </row>
    <row r="2064" spans="5:8" ht="15" x14ac:dyDescent="0.25">
      <c r="E2064"/>
      <c r="H2064"/>
    </row>
    <row r="2065" spans="5:8" ht="15" x14ac:dyDescent="0.25">
      <c r="E2065"/>
      <c r="H2065"/>
    </row>
    <row r="2066" spans="5:8" ht="15" x14ac:dyDescent="0.25">
      <c r="E2066"/>
      <c r="H2066"/>
    </row>
    <row r="2067" spans="5:8" ht="15" x14ac:dyDescent="0.25">
      <c r="E2067"/>
      <c r="H2067"/>
    </row>
    <row r="2068" spans="5:8" ht="15" x14ac:dyDescent="0.25">
      <c r="E2068"/>
      <c r="H2068"/>
    </row>
    <row r="2069" spans="5:8" ht="15" x14ac:dyDescent="0.25">
      <c r="E2069"/>
      <c r="H2069"/>
    </row>
    <row r="2070" spans="5:8" ht="15" x14ac:dyDescent="0.25">
      <c r="E2070"/>
      <c r="H2070"/>
    </row>
    <row r="2071" spans="5:8" ht="15" x14ac:dyDescent="0.25">
      <c r="E2071"/>
      <c r="H2071"/>
    </row>
    <row r="2072" spans="5:8" ht="15" x14ac:dyDescent="0.25">
      <c r="E2072"/>
      <c r="H2072"/>
    </row>
    <row r="2073" spans="5:8" ht="15" x14ac:dyDescent="0.25">
      <c r="E2073"/>
      <c r="H2073"/>
    </row>
    <row r="2074" spans="5:8" ht="15" x14ac:dyDescent="0.25">
      <c r="E2074"/>
      <c r="H2074"/>
    </row>
    <row r="2075" spans="5:8" ht="15" x14ac:dyDescent="0.25">
      <c r="E2075"/>
      <c r="H2075"/>
    </row>
    <row r="2076" spans="5:8" ht="15" x14ac:dyDescent="0.25">
      <c r="E2076"/>
      <c r="H2076"/>
    </row>
    <row r="2077" spans="5:8" ht="15" x14ac:dyDescent="0.25">
      <c r="E2077"/>
      <c r="H2077"/>
    </row>
    <row r="2078" spans="5:8" ht="15" x14ac:dyDescent="0.25">
      <c r="E2078"/>
      <c r="H2078"/>
    </row>
    <row r="2079" spans="5:8" ht="15" x14ac:dyDescent="0.25">
      <c r="E2079"/>
      <c r="H2079"/>
    </row>
    <row r="2080" spans="5:8" ht="15" x14ac:dyDescent="0.25">
      <c r="E2080"/>
      <c r="H2080"/>
    </row>
    <row r="2081" spans="5:8" ht="15" x14ac:dyDescent="0.25">
      <c r="E2081"/>
      <c r="H2081"/>
    </row>
    <row r="2082" spans="5:8" ht="15" x14ac:dyDescent="0.25">
      <c r="E2082"/>
      <c r="H2082"/>
    </row>
    <row r="2083" spans="5:8" ht="15" x14ac:dyDescent="0.25">
      <c r="E2083"/>
      <c r="H2083"/>
    </row>
    <row r="2084" spans="5:8" ht="15" x14ac:dyDescent="0.25">
      <c r="E2084"/>
      <c r="H2084"/>
    </row>
    <row r="2085" spans="5:8" ht="15" x14ac:dyDescent="0.25">
      <c r="E2085"/>
      <c r="H2085"/>
    </row>
    <row r="2086" spans="5:8" ht="15" x14ac:dyDescent="0.25">
      <c r="E2086"/>
      <c r="H2086"/>
    </row>
    <row r="2087" spans="5:8" ht="15" x14ac:dyDescent="0.25">
      <c r="E2087"/>
      <c r="H2087"/>
    </row>
    <row r="2088" spans="5:8" ht="15" x14ac:dyDescent="0.25">
      <c r="E2088"/>
      <c r="H2088"/>
    </row>
    <row r="2089" spans="5:8" ht="15" x14ac:dyDescent="0.25">
      <c r="E2089"/>
      <c r="H2089"/>
    </row>
    <row r="2090" spans="5:8" ht="15" x14ac:dyDescent="0.25">
      <c r="E2090"/>
      <c r="H2090"/>
    </row>
    <row r="2091" spans="5:8" ht="15" x14ac:dyDescent="0.25">
      <c r="E2091"/>
      <c r="H2091"/>
    </row>
    <row r="2092" spans="5:8" ht="15" x14ac:dyDescent="0.25">
      <c r="E2092"/>
      <c r="H2092"/>
    </row>
    <row r="2093" spans="5:8" ht="15" x14ac:dyDescent="0.25">
      <c r="E2093"/>
      <c r="H2093"/>
    </row>
    <row r="2094" spans="5:8" ht="15" x14ac:dyDescent="0.25">
      <c r="E2094"/>
      <c r="H2094"/>
    </row>
    <row r="2095" spans="5:8" ht="15" x14ac:dyDescent="0.25">
      <c r="E2095"/>
      <c r="H2095"/>
    </row>
    <row r="2096" spans="5:8" ht="15" x14ac:dyDescent="0.25">
      <c r="E2096"/>
      <c r="H2096"/>
    </row>
    <row r="2097" spans="5:8" ht="15" x14ac:dyDescent="0.25">
      <c r="E2097"/>
      <c r="H2097"/>
    </row>
    <row r="2098" spans="5:8" ht="15" x14ac:dyDescent="0.25">
      <c r="E2098"/>
      <c r="H2098"/>
    </row>
    <row r="2099" spans="5:8" ht="15" x14ac:dyDescent="0.25">
      <c r="E2099"/>
      <c r="H2099"/>
    </row>
    <row r="2100" spans="5:8" ht="15" x14ac:dyDescent="0.25">
      <c r="E2100"/>
      <c r="H2100"/>
    </row>
    <row r="2101" spans="5:8" ht="15" x14ac:dyDescent="0.25">
      <c r="E2101"/>
      <c r="H2101"/>
    </row>
    <row r="2102" spans="5:8" ht="15" x14ac:dyDescent="0.25">
      <c r="E2102"/>
      <c r="H2102"/>
    </row>
    <row r="2103" spans="5:8" ht="15" x14ac:dyDescent="0.25">
      <c r="E2103"/>
      <c r="H2103"/>
    </row>
    <row r="2104" spans="5:8" ht="15" x14ac:dyDescent="0.25">
      <c r="E2104"/>
      <c r="H2104"/>
    </row>
    <row r="2105" spans="5:8" ht="15" x14ac:dyDescent="0.25">
      <c r="E2105"/>
      <c r="H2105"/>
    </row>
    <row r="2106" spans="5:8" ht="15" x14ac:dyDescent="0.25">
      <c r="E2106"/>
      <c r="H2106"/>
    </row>
    <row r="2107" spans="5:8" ht="15" x14ac:dyDescent="0.25">
      <c r="E2107"/>
      <c r="H2107"/>
    </row>
    <row r="2108" spans="5:8" ht="15" x14ac:dyDescent="0.25">
      <c r="E2108"/>
      <c r="H2108"/>
    </row>
    <row r="2109" spans="5:8" ht="15" x14ac:dyDescent="0.25">
      <c r="E2109"/>
      <c r="H2109"/>
    </row>
    <row r="2110" spans="5:8" ht="15" x14ac:dyDescent="0.25">
      <c r="E2110"/>
      <c r="H2110"/>
    </row>
    <row r="2111" spans="5:8" ht="15" x14ac:dyDescent="0.25">
      <c r="E2111"/>
      <c r="H2111"/>
    </row>
    <row r="2112" spans="5:8" ht="15" x14ac:dyDescent="0.25">
      <c r="E2112"/>
      <c r="H2112"/>
    </row>
    <row r="2113" spans="5:8" ht="15" x14ac:dyDescent="0.25">
      <c r="E2113"/>
      <c r="H2113"/>
    </row>
    <row r="2114" spans="5:8" ht="15" x14ac:dyDescent="0.25">
      <c r="E2114"/>
      <c r="H2114"/>
    </row>
    <row r="2115" spans="5:8" ht="15" x14ac:dyDescent="0.25">
      <c r="E2115"/>
      <c r="H2115"/>
    </row>
    <row r="2116" spans="5:8" ht="15" x14ac:dyDescent="0.25">
      <c r="E2116"/>
      <c r="H2116"/>
    </row>
    <row r="2117" spans="5:8" ht="15" x14ac:dyDescent="0.25">
      <c r="E2117"/>
      <c r="H2117"/>
    </row>
    <row r="2118" spans="5:8" ht="15" x14ac:dyDescent="0.25">
      <c r="E2118"/>
      <c r="H2118"/>
    </row>
    <row r="2119" spans="5:8" ht="15" x14ac:dyDescent="0.25">
      <c r="E2119"/>
      <c r="H2119"/>
    </row>
    <row r="2120" spans="5:8" ht="15" x14ac:dyDescent="0.25">
      <c r="E2120"/>
      <c r="H2120"/>
    </row>
    <row r="2121" spans="5:8" ht="15" x14ac:dyDescent="0.25">
      <c r="E2121"/>
      <c r="H2121"/>
    </row>
    <row r="2122" spans="5:8" ht="15" x14ac:dyDescent="0.25">
      <c r="E2122"/>
      <c r="H2122"/>
    </row>
    <row r="2123" spans="5:8" ht="15" x14ac:dyDescent="0.25">
      <c r="E2123"/>
      <c r="H2123"/>
    </row>
    <row r="2124" spans="5:8" ht="15" x14ac:dyDescent="0.25">
      <c r="E2124"/>
      <c r="H2124"/>
    </row>
    <row r="2125" spans="5:8" ht="15" x14ac:dyDescent="0.25">
      <c r="E2125"/>
      <c r="H2125"/>
    </row>
    <row r="2126" spans="5:8" ht="15" x14ac:dyDescent="0.25">
      <c r="E2126"/>
      <c r="H2126"/>
    </row>
    <row r="2127" spans="5:8" ht="15" x14ac:dyDescent="0.25">
      <c r="E2127"/>
      <c r="H2127"/>
    </row>
    <row r="2128" spans="5:8" ht="15" x14ac:dyDescent="0.25">
      <c r="E2128"/>
      <c r="H2128"/>
    </row>
    <row r="2129" spans="5:8" ht="15" x14ac:dyDescent="0.25">
      <c r="E2129"/>
      <c r="H2129"/>
    </row>
    <row r="2130" spans="5:8" ht="15" x14ac:dyDescent="0.25">
      <c r="E2130"/>
      <c r="H2130"/>
    </row>
    <row r="2131" spans="5:8" ht="15" x14ac:dyDescent="0.25">
      <c r="E2131"/>
      <c r="H2131"/>
    </row>
    <row r="2132" spans="5:8" ht="15" x14ac:dyDescent="0.25">
      <c r="E2132"/>
      <c r="H2132"/>
    </row>
    <row r="2133" spans="5:8" ht="15" x14ac:dyDescent="0.25">
      <c r="E2133"/>
      <c r="H2133"/>
    </row>
    <row r="2134" spans="5:8" ht="15" x14ac:dyDescent="0.25">
      <c r="E2134"/>
      <c r="H2134"/>
    </row>
    <row r="2135" spans="5:8" ht="15" x14ac:dyDescent="0.25">
      <c r="E2135"/>
      <c r="H2135"/>
    </row>
    <row r="2136" spans="5:8" ht="15" x14ac:dyDescent="0.25">
      <c r="E2136"/>
      <c r="H2136"/>
    </row>
    <row r="2137" spans="5:8" ht="15" x14ac:dyDescent="0.25">
      <c r="E2137"/>
      <c r="H2137"/>
    </row>
    <row r="2138" spans="5:8" ht="15" x14ac:dyDescent="0.25">
      <c r="E2138"/>
      <c r="H2138"/>
    </row>
    <row r="2139" spans="5:8" ht="15" x14ac:dyDescent="0.25">
      <c r="E2139"/>
      <c r="H2139"/>
    </row>
    <row r="2140" spans="5:8" ht="15" x14ac:dyDescent="0.25">
      <c r="E2140"/>
      <c r="H2140"/>
    </row>
    <row r="2141" spans="5:8" ht="15" x14ac:dyDescent="0.25">
      <c r="E2141"/>
      <c r="H2141"/>
    </row>
    <row r="2142" spans="5:8" ht="15" x14ac:dyDescent="0.25">
      <c r="E2142"/>
      <c r="H2142"/>
    </row>
    <row r="2143" spans="5:8" ht="15" x14ac:dyDescent="0.25">
      <c r="E2143"/>
      <c r="H2143"/>
    </row>
    <row r="2144" spans="5:8" ht="15" x14ac:dyDescent="0.25">
      <c r="E2144"/>
      <c r="H2144"/>
    </row>
    <row r="2145" spans="5:8" ht="15" x14ac:dyDescent="0.25">
      <c r="E2145"/>
      <c r="H2145"/>
    </row>
    <row r="2146" spans="5:8" ht="15" x14ac:dyDescent="0.25">
      <c r="E2146"/>
      <c r="H2146"/>
    </row>
    <row r="2147" spans="5:8" ht="15" x14ac:dyDescent="0.25">
      <c r="E2147"/>
      <c r="H2147"/>
    </row>
    <row r="2148" spans="5:8" ht="15" x14ac:dyDescent="0.25">
      <c r="E2148"/>
      <c r="H2148"/>
    </row>
    <row r="2149" spans="5:8" ht="15" x14ac:dyDescent="0.25">
      <c r="E2149"/>
      <c r="H2149"/>
    </row>
    <row r="2150" spans="5:8" ht="15" x14ac:dyDescent="0.25">
      <c r="E2150"/>
      <c r="H2150"/>
    </row>
    <row r="2151" spans="5:8" ht="15" x14ac:dyDescent="0.25">
      <c r="E2151"/>
      <c r="H2151"/>
    </row>
    <row r="2152" spans="5:8" ht="15" x14ac:dyDescent="0.25">
      <c r="E2152"/>
      <c r="H2152"/>
    </row>
    <row r="2153" spans="5:8" ht="15" x14ac:dyDescent="0.25">
      <c r="E2153"/>
      <c r="H2153"/>
    </row>
    <row r="2154" spans="5:8" ht="15" x14ac:dyDescent="0.25">
      <c r="E2154"/>
      <c r="H2154"/>
    </row>
    <row r="2155" spans="5:8" ht="15" x14ac:dyDescent="0.25">
      <c r="E2155"/>
      <c r="H2155"/>
    </row>
    <row r="2156" spans="5:8" ht="15" x14ac:dyDescent="0.25">
      <c r="E2156"/>
      <c r="H2156"/>
    </row>
    <row r="2157" spans="5:8" ht="15" x14ac:dyDescent="0.25">
      <c r="E2157"/>
      <c r="H2157"/>
    </row>
    <row r="2158" spans="5:8" ht="15" x14ac:dyDescent="0.25">
      <c r="E2158"/>
      <c r="H2158"/>
    </row>
    <row r="2159" spans="5:8" ht="15" x14ac:dyDescent="0.25">
      <c r="E2159"/>
      <c r="H2159"/>
    </row>
    <row r="2160" spans="5:8" ht="15" x14ac:dyDescent="0.25">
      <c r="E2160"/>
      <c r="H2160"/>
    </row>
    <row r="2161" spans="5:8" ht="15" x14ac:dyDescent="0.25">
      <c r="E2161"/>
      <c r="H2161"/>
    </row>
    <row r="2162" spans="5:8" ht="15" x14ac:dyDescent="0.25">
      <c r="E2162"/>
      <c r="H2162"/>
    </row>
    <row r="2163" spans="5:8" ht="15" x14ac:dyDescent="0.25">
      <c r="E2163"/>
      <c r="H2163"/>
    </row>
    <row r="2164" spans="5:8" ht="15" x14ac:dyDescent="0.25">
      <c r="E2164"/>
      <c r="H2164"/>
    </row>
    <row r="2165" spans="5:8" ht="15" x14ac:dyDescent="0.25">
      <c r="E2165"/>
      <c r="H2165"/>
    </row>
    <row r="2166" spans="5:8" ht="15" x14ac:dyDescent="0.25">
      <c r="E2166"/>
      <c r="H2166"/>
    </row>
    <row r="2167" spans="5:8" ht="15" x14ac:dyDescent="0.25">
      <c r="E2167"/>
      <c r="H2167"/>
    </row>
    <row r="2168" spans="5:8" ht="15" x14ac:dyDescent="0.25">
      <c r="E2168"/>
      <c r="H2168"/>
    </row>
    <row r="2169" spans="5:8" ht="15" x14ac:dyDescent="0.25">
      <c r="E2169"/>
      <c r="H2169"/>
    </row>
    <row r="2170" spans="5:8" ht="15" x14ac:dyDescent="0.25">
      <c r="E2170"/>
      <c r="H2170"/>
    </row>
    <row r="2171" spans="5:8" ht="15" x14ac:dyDescent="0.25">
      <c r="E2171"/>
      <c r="H2171"/>
    </row>
    <row r="2172" spans="5:8" ht="15" x14ac:dyDescent="0.25">
      <c r="E2172"/>
      <c r="H2172"/>
    </row>
    <row r="2173" spans="5:8" ht="15" x14ac:dyDescent="0.25">
      <c r="E2173"/>
      <c r="H2173"/>
    </row>
    <row r="2174" spans="5:8" ht="15" x14ac:dyDescent="0.25">
      <c r="E2174"/>
      <c r="H2174"/>
    </row>
    <row r="2175" spans="5:8" ht="15" x14ac:dyDescent="0.25">
      <c r="E2175"/>
      <c r="H2175"/>
    </row>
    <row r="2176" spans="5:8" ht="15" x14ac:dyDescent="0.25">
      <c r="E2176"/>
      <c r="H2176"/>
    </row>
    <row r="2177" spans="5:8" ht="15" x14ac:dyDescent="0.25">
      <c r="E2177"/>
      <c r="H2177"/>
    </row>
    <row r="2178" spans="5:8" ht="15" x14ac:dyDescent="0.25">
      <c r="E2178"/>
      <c r="H2178"/>
    </row>
    <row r="2179" spans="5:8" ht="15" x14ac:dyDescent="0.25">
      <c r="E2179"/>
      <c r="H2179"/>
    </row>
    <row r="2180" spans="5:8" ht="15" x14ac:dyDescent="0.25">
      <c r="E2180"/>
      <c r="H2180"/>
    </row>
    <row r="2181" spans="5:8" ht="15" x14ac:dyDescent="0.25">
      <c r="E2181"/>
      <c r="H2181"/>
    </row>
    <row r="2182" spans="5:8" ht="15" x14ac:dyDescent="0.25">
      <c r="E2182"/>
      <c r="H2182"/>
    </row>
    <row r="2183" spans="5:8" ht="15" x14ac:dyDescent="0.25">
      <c r="E2183"/>
      <c r="H2183"/>
    </row>
    <row r="2184" spans="5:8" ht="15" x14ac:dyDescent="0.25">
      <c r="E2184"/>
      <c r="H2184"/>
    </row>
    <row r="2185" spans="5:8" ht="15" x14ac:dyDescent="0.25">
      <c r="E2185"/>
      <c r="H2185"/>
    </row>
    <row r="2186" spans="5:8" ht="15" x14ac:dyDescent="0.25">
      <c r="E2186"/>
      <c r="H2186"/>
    </row>
    <row r="2187" spans="5:8" ht="15" x14ac:dyDescent="0.25">
      <c r="E2187"/>
      <c r="H2187"/>
    </row>
    <row r="2188" spans="5:8" ht="15" x14ac:dyDescent="0.25">
      <c r="E2188"/>
      <c r="H2188"/>
    </row>
    <row r="2189" spans="5:8" ht="15" x14ac:dyDescent="0.25">
      <c r="E2189"/>
      <c r="H2189"/>
    </row>
    <row r="2190" spans="5:8" ht="15" x14ac:dyDescent="0.25">
      <c r="E2190"/>
      <c r="H2190"/>
    </row>
    <row r="2191" spans="5:8" ht="15" x14ac:dyDescent="0.25">
      <c r="E2191"/>
      <c r="H2191"/>
    </row>
    <row r="2192" spans="5:8" ht="15" x14ac:dyDescent="0.25">
      <c r="E2192"/>
      <c r="H2192"/>
    </row>
    <row r="2193" spans="5:8" ht="15" x14ac:dyDescent="0.25">
      <c r="E2193"/>
      <c r="H2193"/>
    </row>
    <row r="2194" spans="5:8" ht="15" x14ac:dyDescent="0.25">
      <c r="E2194"/>
      <c r="H2194"/>
    </row>
    <row r="2195" spans="5:8" ht="15" x14ac:dyDescent="0.25">
      <c r="E2195"/>
      <c r="H2195"/>
    </row>
    <row r="2196" spans="5:8" ht="15" x14ac:dyDescent="0.25">
      <c r="E2196"/>
      <c r="H2196"/>
    </row>
    <row r="2197" spans="5:8" ht="15" x14ac:dyDescent="0.25">
      <c r="E2197"/>
      <c r="H2197"/>
    </row>
    <row r="2198" spans="5:8" ht="15" x14ac:dyDescent="0.25">
      <c r="E2198"/>
      <c r="H2198"/>
    </row>
    <row r="2199" spans="5:8" ht="15" x14ac:dyDescent="0.25">
      <c r="E2199"/>
      <c r="H2199"/>
    </row>
    <row r="2200" spans="5:8" ht="15" x14ac:dyDescent="0.25">
      <c r="E2200"/>
      <c r="H2200"/>
    </row>
    <row r="2201" spans="5:8" ht="15" x14ac:dyDescent="0.25">
      <c r="E2201"/>
      <c r="H2201"/>
    </row>
    <row r="2202" spans="5:8" ht="15" x14ac:dyDescent="0.25">
      <c r="E2202"/>
      <c r="H2202"/>
    </row>
    <row r="2203" spans="5:8" ht="15" x14ac:dyDescent="0.25">
      <c r="E2203"/>
      <c r="H2203"/>
    </row>
    <row r="2204" spans="5:8" ht="15" x14ac:dyDescent="0.25">
      <c r="E2204"/>
      <c r="H2204"/>
    </row>
    <row r="2205" spans="5:8" ht="15" x14ac:dyDescent="0.25">
      <c r="E2205"/>
      <c r="H2205"/>
    </row>
    <row r="2206" spans="5:8" ht="15" x14ac:dyDescent="0.25">
      <c r="E2206"/>
      <c r="H2206"/>
    </row>
    <row r="2207" spans="5:8" ht="15" x14ac:dyDescent="0.25">
      <c r="E2207"/>
      <c r="H2207"/>
    </row>
    <row r="2208" spans="5:8" ht="15" x14ac:dyDescent="0.25">
      <c r="E2208"/>
      <c r="H2208"/>
    </row>
    <row r="2209" spans="5:8" ht="15" x14ac:dyDescent="0.25">
      <c r="E2209"/>
      <c r="H2209"/>
    </row>
    <row r="2210" spans="5:8" ht="15" x14ac:dyDescent="0.25">
      <c r="E2210"/>
      <c r="H2210"/>
    </row>
    <row r="2211" spans="5:8" ht="15" x14ac:dyDescent="0.25">
      <c r="E2211"/>
      <c r="H2211"/>
    </row>
    <row r="2212" spans="5:8" ht="15" x14ac:dyDescent="0.25">
      <c r="E2212"/>
      <c r="H2212"/>
    </row>
    <row r="2213" spans="5:8" ht="15" x14ac:dyDescent="0.25">
      <c r="E2213"/>
      <c r="H2213"/>
    </row>
    <row r="2214" spans="5:8" ht="15" x14ac:dyDescent="0.25">
      <c r="E2214"/>
      <c r="H2214"/>
    </row>
    <row r="2215" spans="5:8" ht="15" x14ac:dyDescent="0.25">
      <c r="E2215"/>
      <c r="H2215"/>
    </row>
    <row r="2216" spans="5:8" ht="15" x14ac:dyDescent="0.25">
      <c r="E2216"/>
      <c r="H2216"/>
    </row>
    <row r="2217" spans="5:8" ht="15" x14ac:dyDescent="0.25">
      <c r="E2217"/>
      <c r="H2217"/>
    </row>
    <row r="2218" spans="5:8" ht="15" x14ac:dyDescent="0.25">
      <c r="E2218"/>
      <c r="H2218"/>
    </row>
    <row r="2219" spans="5:8" ht="15" x14ac:dyDescent="0.25">
      <c r="E2219"/>
      <c r="H2219"/>
    </row>
    <row r="2220" spans="5:8" ht="15" x14ac:dyDescent="0.25">
      <c r="E2220"/>
      <c r="H2220"/>
    </row>
    <row r="2221" spans="5:8" ht="15" x14ac:dyDescent="0.25">
      <c r="E2221"/>
      <c r="H2221"/>
    </row>
    <row r="2222" spans="5:8" ht="15" x14ac:dyDescent="0.25">
      <c r="E2222"/>
      <c r="H2222"/>
    </row>
    <row r="2223" spans="5:8" ht="15" x14ac:dyDescent="0.25">
      <c r="E2223"/>
      <c r="H2223"/>
    </row>
    <row r="2224" spans="5:8" ht="15" x14ac:dyDescent="0.25">
      <c r="E2224"/>
      <c r="H2224"/>
    </row>
    <row r="2225" spans="5:8" ht="15" x14ac:dyDescent="0.25">
      <c r="E2225"/>
      <c r="H2225"/>
    </row>
    <row r="2226" spans="5:8" ht="15" x14ac:dyDescent="0.25">
      <c r="E2226"/>
      <c r="H2226"/>
    </row>
    <row r="2227" spans="5:8" ht="15" x14ac:dyDescent="0.25">
      <c r="E2227"/>
      <c r="H2227"/>
    </row>
    <row r="2228" spans="5:8" ht="15" x14ac:dyDescent="0.25">
      <c r="E2228"/>
      <c r="H2228"/>
    </row>
    <row r="2229" spans="5:8" ht="15" x14ac:dyDescent="0.25">
      <c r="E2229"/>
      <c r="H2229"/>
    </row>
    <row r="2230" spans="5:8" ht="15" x14ac:dyDescent="0.25">
      <c r="E2230"/>
      <c r="H2230"/>
    </row>
    <row r="2231" spans="5:8" ht="15" x14ac:dyDescent="0.25">
      <c r="E2231"/>
      <c r="H2231"/>
    </row>
    <row r="2232" spans="5:8" ht="15" x14ac:dyDescent="0.25">
      <c r="E2232"/>
      <c r="H2232"/>
    </row>
    <row r="2233" spans="5:8" ht="15" x14ac:dyDescent="0.25">
      <c r="E2233"/>
      <c r="H2233"/>
    </row>
    <row r="2234" spans="5:8" ht="15" x14ac:dyDescent="0.25">
      <c r="E2234"/>
      <c r="H2234"/>
    </row>
    <row r="2235" spans="5:8" ht="15" x14ac:dyDescent="0.25">
      <c r="E2235"/>
      <c r="H2235"/>
    </row>
    <row r="2236" spans="5:8" ht="15" x14ac:dyDescent="0.25">
      <c r="E2236"/>
      <c r="H2236"/>
    </row>
    <row r="2237" spans="5:8" ht="15" x14ac:dyDescent="0.25">
      <c r="E2237"/>
      <c r="H2237"/>
    </row>
    <row r="2238" spans="5:8" ht="15" x14ac:dyDescent="0.25">
      <c r="E2238"/>
      <c r="H2238"/>
    </row>
    <row r="2239" spans="5:8" ht="15" x14ac:dyDescent="0.25">
      <c r="E2239"/>
      <c r="H2239"/>
    </row>
    <row r="2240" spans="5:8" ht="15" x14ac:dyDescent="0.25">
      <c r="E2240"/>
      <c r="H2240"/>
    </row>
    <row r="2241" spans="5:8" ht="15" x14ac:dyDescent="0.25">
      <c r="E2241"/>
      <c r="H2241"/>
    </row>
    <row r="2242" spans="5:8" ht="15" x14ac:dyDescent="0.25">
      <c r="E2242"/>
      <c r="H2242"/>
    </row>
    <row r="2243" spans="5:8" ht="15" x14ac:dyDescent="0.25">
      <c r="E2243"/>
      <c r="H2243"/>
    </row>
    <row r="2244" spans="5:8" ht="15" x14ac:dyDescent="0.25">
      <c r="E2244"/>
      <c r="H2244"/>
    </row>
    <row r="2245" spans="5:8" ht="15" x14ac:dyDescent="0.25">
      <c r="E2245"/>
      <c r="H2245"/>
    </row>
    <row r="2246" spans="5:8" ht="15" x14ac:dyDescent="0.25">
      <c r="E2246"/>
      <c r="H2246"/>
    </row>
    <row r="2247" spans="5:8" ht="15" x14ac:dyDescent="0.25">
      <c r="E2247"/>
      <c r="H2247"/>
    </row>
    <row r="2248" spans="5:8" ht="15" x14ac:dyDescent="0.25">
      <c r="E2248"/>
      <c r="H2248"/>
    </row>
    <row r="2249" spans="5:8" ht="15" x14ac:dyDescent="0.25">
      <c r="E2249"/>
      <c r="H2249"/>
    </row>
    <row r="2250" spans="5:8" ht="15" x14ac:dyDescent="0.25">
      <c r="E2250"/>
      <c r="H2250"/>
    </row>
    <row r="2251" spans="5:8" ht="15" x14ac:dyDescent="0.25">
      <c r="E2251"/>
      <c r="H2251"/>
    </row>
    <row r="2252" spans="5:8" ht="15" x14ac:dyDescent="0.25">
      <c r="E2252"/>
      <c r="H2252"/>
    </row>
    <row r="2253" spans="5:8" ht="15" x14ac:dyDescent="0.25">
      <c r="E2253"/>
      <c r="H2253"/>
    </row>
    <row r="2254" spans="5:8" ht="15" x14ac:dyDescent="0.25">
      <c r="E2254"/>
      <c r="H2254"/>
    </row>
    <row r="2255" spans="5:8" ht="15" x14ac:dyDescent="0.25">
      <c r="E2255"/>
      <c r="H2255"/>
    </row>
    <row r="2256" spans="5:8" ht="15" x14ac:dyDescent="0.25">
      <c r="E2256"/>
      <c r="H2256"/>
    </row>
    <row r="2257" spans="5:8" ht="15" x14ac:dyDescent="0.25">
      <c r="E2257"/>
      <c r="H2257"/>
    </row>
    <row r="2258" spans="5:8" ht="15" x14ac:dyDescent="0.25">
      <c r="E2258"/>
      <c r="H2258"/>
    </row>
    <row r="2259" spans="5:8" ht="15" x14ac:dyDescent="0.25">
      <c r="E2259"/>
      <c r="H2259"/>
    </row>
    <row r="2260" spans="5:8" ht="15" x14ac:dyDescent="0.25">
      <c r="E2260"/>
      <c r="H2260"/>
    </row>
    <row r="2261" spans="5:8" ht="15" x14ac:dyDescent="0.25">
      <c r="E2261"/>
      <c r="H2261"/>
    </row>
    <row r="2262" spans="5:8" ht="15" x14ac:dyDescent="0.25">
      <c r="E2262"/>
      <c r="H2262"/>
    </row>
    <row r="2263" spans="5:8" ht="15" x14ac:dyDescent="0.25">
      <c r="E2263"/>
      <c r="H2263"/>
    </row>
    <row r="2264" spans="5:8" ht="15" x14ac:dyDescent="0.25">
      <c r="E2264"/>
      <c r="H2264"/>
    </row>
    <row r="2265" spans="5:8" ht="15" x14ac:dyDescent="0.25">
      <c r="E2265"/>
      <c r="H2265"/>
    </row>
    <row r="2266" spans="5:8" ht="15" x14ac:dyDescent="0.25">
      <c r="E2266"/>
      <c r="H2266"/>
    </row>
    <row r="2267" spans="5:8" ht="15" x14ac:dyDescent="0.25">
      <c r="E2267"/>
      <c r="H2267"/>
    </row>
    <row r="2268" spans="5:8" ht="15" x14ac:dyDescent="0.25">
      <c r="E2268"/>
      <c r="H2268"/>
    </row>
    <row r="2269" spans="5:8" ht="15" x14ac:dyDescent="0.25">
      <c r="E2269"/>
      <c r="H2269"/>
    </row>
    <row r="2270" spans="5:8" ht="15" x14ac:dyDescent="0.25">
      <c r="E2270"/>
      <c r="H2270"/>
    </row>
    <row r="2271" spans="5:8" ht="15" x14ac:dyDescent="0.25">
      <c r="E2271"/>
      <c r="H2271"/>
    </row>
    <row r="2272" spans="5:8" ht="15" x14ac:dyDescent="0.25">
      <c r="E2272"/>
      <c r="H2272"/>
    </row>
    <row r="2273" spans="5:8" ht="15" x14ac:dyDescent="0.25">
      <c r="E2273"/>
      <c r="H2273"/>
    </row>
    <row r="2274" spans="5:8" ht="15" x14ac:dyDescent="0.25">
      <c r="E2274"/>
      <c r="H2274"/>
    </row>
    <row r="2275" spans="5:8" ht="15" x14ac:dyDescent="0.25">
      <c r="E2275"/>
      <c r="H2275"/>
    </row>
    <row r="2276" spans="5:8" ht="15" x14ac:dyDescent="0.25">
      <c r="E2276"/>
      <c r="H2276"/>
    </row>
    <row r="2277" spans="5:8" ht="15" x14ac:dyDescent="0.25">
      <c r="E2277"/>
      <c r="H2277"/>
    </row>
    <row r="2278" spans="5:8" ht="15" x14ac:dyDescent="0.25">
      <c r="E2278"/>
      <c r="H2278"/>
    </row>
    <row r="2279" spans="5:8" ht="15" x14ac:dyDescent="0.25">
      <c r="E2279"/>
      <c r="H2279"/>
    </row>
    <row r="2280" spans="5:8" ht="15" x14ac:dyDescent="0.25">
      <c r="E2280"/>
      <c r="H2280"/>
    </row>
    <row r="2281" spans="5:8" ht="15" x14ac:dyDescent="0.25">
      <c r="E2281"/>
      <c r="H2281"/>
    </row>
    <row r="2282" spans="5:8" ht="15" x14ac:dyDescent="0.25">
      <c r="E2282"/>
      <c r="H2282"/>
    </row>
    <row r="2283" spans="5:8" ht="15" x14ac:dyDescent="0.25">
      <c r="E2283"/>
      <c r="H2283"/>
    </row>
    <row r="2284" spans="5:8" ht="15" x14ac:dyDescent="0.25">
      <c r="E2284"/>
      <c r="H2284"/>
    </row>
    <row r="2285" spans="5:8" ht="15" x14ac:dyDescent="0.25">
      <c r="E2285"/>
      <c r="H2285"/>
    </row>
    <row r="2286" spans="5:8" ht="15" x14ac:dyDescent="0.25">
      <c r="E2286"/>
      <c r="H2286"/>
    </row>
    <row r="2287" spans="5:8" ht="15" x14ac:dyDescent="0.25">
      <c r="E2287"/>
      <c r="H2287"/>
    </row>
    <row r="2288" spans="5:8" ht="15" x14ac:dyDescent="0.25">
      <c r="E2288"/>
      <c r="H2288"/>
    </row>
    <row r="2289" spans="5:8" ht="15" x14ac:dyDescent="0.25">
      <c r="E2289"/>
      <c r="H2289"/>
    </row>
    <row r="2290" spans="5:8" ht="15" x14ac:dyDescent="0.25">
      <c r="E2290"/>
      <c r="H2290"/>
    </row>
    <row r="2291" spans="5:8" ht="15" x14ac:dyDescent="0.25">
      <c r="E2291"/>
      <c r="H2291"/>
    </row>
    <row r="2292" spans="5:8" ht="15" x14ac:dyDescent="0.25">
      <c r="E2292"/>
      <c r="H2292"/>
    </row>
    <row r="2293" spans="5:8" ht="15" x14ac:dyDescent="0.25">
      <c r="E2293"/>
      <c r="H2293"/>
    </row>
    <row r="2294" spans="5:8" ht="15" x14ac:dyDescent="0.25">
      <c r="E2294"/>
      <c r="H2294"/>
    </row>
    <row r="2295" spans="5:8" ht="15" x14ac:dyDescent="0.25">
      <c r="E2295"/>
      <c r="H2295"/>
    </row>
    <row r="2296" spans="5:8" ht="15" x14ac:dyDescent="0.25">
      <c r="E2296"/>
      <c r="H2296"/>
    </row>
    <row r="2297" spans="5:8" ht="15" x14ac:dyDescent="0.25">
      <c r="E2297"/>
      <c r="H2297"/>
    </row>
    <row r="2298" spans="5:8" ht="15" x14ac:dyDescent="0.25">
      <c r="E2298"/>
      <c r="H2298"/>
    </row>
    <row r="2299" spans="5:8" ht="15" x14ac:dyDescent="0.25">
      <c r="E2299"/>
      <c r="H2299"/>
    </row>
    <row r="2300" spans="5:8" ht="15" x14ac:dyDescent="0.25">
      <c r="E2300"/>
      <c r="H2300"/>
    </row>
    <row r="2301" spans="5:8" ht="15" x14ac:dyDescent="0.25">
      <c r="E2301"/>
      <c r="H2301"/>
    </row>
    <row r="2302" spans="5:8" ht="15" x14ac:dyDescent="0.25">
      <c r="E2302"/>
      <c r="H2302"/>
    </row>
    <row r="2303" spans="5:8" ht="15" x14ac:dyDescent="0.25">
      <c r="E2303"/>
      <c r="H2303"/>
    </row>
    <row r="2304" spans="5:8" ht="15" x14ac:dyDescent="0.25">
      <c r="E2304"/>
      <c r="H2304"/>
    </row>
    <row r="2305" spans="5:8" ht="15" x14ac:dyDescent="0.25">
      <c r="E2305"/>
      <c r="H2305"/>
    </row>
    <row r="2306" spans="5:8" ht="15" x14ac:dyDescent="0.25">
      <c r="E2306"/>
      <c r="H2306"/>
    </row>
    <row r="2307" spans="5:8" ht="15" x14ac:dyDescent="0.25">
      <c r="E2307"/>
      <c r="H2307"/>
    </row>
    <row r="2308" spans="5:8" ht="15" x14ac:dyDescent="0.25">
      <c r="E2308"/>
      <c r="H2308"/>
    </row>
    <row r="2309" spans="5:8" ht="15" x14ac:dyDescent="0.25">
      <c r="E2309"/>
      <c r="H2309"/>
    </row>
    <row r="2310" spans="5:8" ht="15" x14ac:dyDescent="0.25">
      <c r="E2310"/>
      <c r="H2310"/>
    </row>
    <row r="2311" spans="5:8" ht="15" x14ac:dyDescent="0.25">
      <c r="E2311"/>
      <c r="H2311"/>
    </row>
    <row r="2312" spans="5:8" ht="15" x14ac:dyDescent="0.25">
      <c r="E2312"/>
      <c r="H2312"/>
    </row>
    <row r="2313" spans="5:8" ht="15" x14ac:dyDescent="0.25">
      <c r="E2313"/>
      <c r="H2313"/>
    </row>
    <row r="2314" spans="5:8" ht="15" x14ac:dyDescent="0.25">
      <c r="E2314"/>
      <c r="H2314"/>
    </row>
    <row r="2315" spans="5:8" ht="15" x14ac:dyDescent="0.25">
      <c r="E2315"/>
      <c r="H2315"/>
    </row>
    <row r="2316" spans="5:8" ht="15" x14ac:dyDescent="0.25">
      <c r="E2316"/>
      <c r="H2316"/>
    </row>
    <row r="2317" spans="5:8" ht="15" x14ac:dyDescent="0.25">
      <c r="E2317"/>
      <c r="H2317"/>
    </row>
    <row r="2318" spans="5:8" ht="15" x14ac:dyDescent="0.25">
      <c r="E2318"/>
      <c r="H2318"/>
    </row>
    <row r="2319" spans="5:8" ht="15" x14ac:dyDescent="0.25">
      <c r="E2319"/>
      <c r="H2319"/>
    </row>
    <row r="2320" spans="5:8" ht="15" x14ac:dyDescent="0.25">
      <c r="E2320"/>
      <c r="H2320"/>
    </row>
    <row r="2321" spans="5:8" ht="15" x14ac:dyDescent="0.25">
      <c r="E2321"/>
      <c r="H2321"/>
    </row>
    <row r="2322" spans="5:8" ht="15" x14ac:dyDescent="0.25">
      <c r="E2322"/>
      <c r="H2322"/>
    </row>
    <row r="2323" spans="5:8" ht="15" x14ac:dyDescent="0.25">
      <c r="E2323"/>
      <c r="H2323"/>
    </row>
    <row r="2324" spans="5:8" ht="15" x14ac:dyDescent="0.25">
      <c r="E2324"/>
      <c r="H2324"/>
    </row>
    <row r="2325" spans="5:8" ht="15" x14ac:dyDescent="0.25">
      <c r="E2325"/>
      <c r="H2325"/>
    </row>
    <row r="2326" spans="5:8" ht="15" x14ac:dyDescent="0.25">
      <c r="E2326"/>
      <c r="H2326"/>
    </row>
    <row r="2327" spans="5:8" ht="15" x14ac:dyDescent="0.25">
      <c r="E2327"/>
      <c r="H2327"/>
    </row>
    <row r="2328" spans="5:8" ht="15" x14ac:dyDescent="0.25">
      <c r="E2328"/>
      <c r="H2328"/>
    </row>
    <row r="2329" spans="5:8" ht="15" x14ac:dyDescent="0.25">
      <c r="E2329"/>
      <c r="H2329"/>
    </row>
    <row r="2330" spans="5:8" ht="15" x14ac:dyDescent="0.25">
      <c r="E2330"/>
      <c r="H2330"/>
    </row>
    <row r="2331" spans="5:8" ht="15" x14ac:dyDescent="0.25">
      <c r="E2331"/>
      <c r="H2331"/>
    </row>
    <row r="2332" spans="5:8" ht="15" x14ac:dyDescent="0.25">
      <c r="E2332"/>
      <c r="H2332"/>
    </row>
    <row r="2333" spans="5:8" ht="15" x14ac:dyDescent="0.25">
      <c r="E2333"/>
      <c r="H2333"/>
    </row>
    <row r="2334" spans="5:8" ht="15" x14ac:dyDescent="0.25">
      <c r="E2334"/>
      <c r="H2334"/>
    </row>
    <row r="2335" spans="5:8" ht="15" x14ac:dyDescent="0.25">
      <c r="E2335"/>
      <c r="H2335"/>
    </row>
    <row r="2336" spans="5:8" ht="15" x14ac:dyDescent="0.25">
      <c r="E2336"/>
      <c r="H2336"/>
    </row>
    <row r="2337" spans="5:8" ht="15" x14ac:dyDescent="0.25">
      <c r="E2337"/>
      <c r="H2337"/>
    </row>
    <row r="2338" spans="5:8" ht="15" x14ac:dyDescent="0.25">
      <c r="E2338"/>
      <c r="H2338"/>
    </row>
    <row r="2339" spans="5:8" ht="15" x14ac:dyDescent="0.25">
      <c r="E2339"/>
      <c r="H2339"/>
    </row>
    <row r="2340" spans="5:8" ht="15" x14ac:dyDescent="0.25">
      <c r="E2340"/>
      <c r="H2340"/>
    </row>
    <row r="2341" spans="5:8" ht="15" x14ac:dyDescent="0.25">
      <c r="E2341"/>
      <c r="H2341"/>
    </row>
    <row r="2342" spans="5:8" ht="15" x14ac:dyDescent="0.25">
      <c r="E2342"/>
      <c r="H2342"/>
    </row>
    <row r="2343" spans="5:8" ht="15" x14ac:dyDescent="0.25">
      <c r="E2343"/>
      <c r="H2343"/>
    </row>
    <row r="2344" spans="5:8" ht="15" x14ac:dyDescent="0.25">
      <c r="E2344"/>
      <c r="H2344"/>
    </row>
    <row r="2345" spans="5:8" ht="15" x14ac:dyDescent="0.25">
      <c r="E2345"/>
      <c r="H2345"/>
    </row>
    <row r="2346" spans="5:8" ht="15" x14ac:dyDescent="0.25">
      <c r="E2346"/>
      <c r="H2346"/>
    </row>
    <row r="2347" spans="5:8" ht="15" x14ac:dyDescent="0.25">
      <c r="E2347"/>
      <c r="H2347"/>
    </row>
    <row r="2348" spans="5:8" ht="15" x14ac:dyDescent="0.25">
      <c r="E2348"/>
      <c r="H2348"/>
    </row>
    <row r="2349" spans="5:8" ht="15" x14ac:dyDescent="0.25">
      <c r="E2349"/>
      <c r="H2349"/>
    </row>
    <row r="2350" spans="5:8" ht="15" x14ac:dyDescent="0.25">
      <c r="E2350"/>
      <c r="H2350"/>
    </row>
    <row r="2351" spans="5:8" ht="15" x14ac:dyDescent="0.25">
      <c r="E2351"/>
      <c r="H2351"/>
    </row>
    <row r="2352" spans="5:8" ht="15" x14ac:dyDescent="0.25">
      <c r="E2352"/>
      <c r="H2352"/>
    </row>
    <row r="2353" spans="5:8" ht="15" x14ac:dyDescent="0.25">
      <c r="E2353"/>
      <c r="H2353"/>
    </row>
    <row r="2354" spans="5:8" ht="15" x14ac:dyDescent="0.25">
      <c r="E2354"/>
      <c r="H2354"/>
    </row>
    <row r="2355" spans="5:8" ht="15" x14ac:dyDescent="0.25">
      <c r="E2355"/>
      <c r="H2355"/>
    </row>
    <row r="2356" spans="5:8" ht="15" x14ac:dyDescent="0.25">
      <c r="E2356"/>
      <c r="H2356"/>
    </row>
    <row r="2357" spans="5:8" ht="15" x14ac:dyDescent="0.25">
      <c r="E2357"/>
      <c r="H2357"/>
    </row>
    <row r="2358" spans="5:8" ht="15" x14ac:dyDescent="0.25">
      <c r="E2358"/>
      <c r="H2358"/>
    </row>
    <row r="2359" spans="5:8" ht="15" x14ac:dyDescent="0.25">
      <c r="E2359"/>
      <c r="H2359"/>
    </row>
    <row r="2360" spans="5:8" ht="15" x14ac:dyDescent="0.25">
      <c r="E2360"/>
      <c r="H2360"/>
    </row>
    <row r="2361" spans="5:8" ht="15" x14ac:dyDescent="0.25">
      <c r="E2361"/>
      <c r="H2361"/>
    </row>
    <row r="2362" spans="5:8" ht="15" x14ac:dyDescent="0.25">
      <c r="E2362"/>
      <c r="H2362"/>
    </row>
    <row r="2363" spans="5:8" ht="15" x14ac:dyDescent="0.25">
      <c r="E2363"/>
      <c r="H2363"/>
    </row>
    <row r="2364" spans="5:8" ht="15" x14ac:dyDescent="0.25">
      <c r="E2364"/>
      <c r="H2364"/>
    </row>
    <row r="2365" spans="5:8" ht="15" x14ac:dyDescent="0.25">
      <c r="E2365"/>
      <c r="H2365"/>
    </row>
    <row r="2366" spans="5:8" ht="15" x14ac:dyDescent="0.25">
      <c r="E2366"/>
      <c r="H2366"/>
    </row>
    <row r="2367" spans="5:8" ht="15" x14ac:dyDescent="0.25">
      <c r="E2367"/>
      <c r="H2367"/>
    </row>
    <row r="2368" spans="5:8" ht="15" x14ac:dyDescent="0.25">
      <c r="E2368"/>
      <c r="H2368"/>
    </row>
    <row r="2369" spans="5:8" ht="15" x14ac:dyDescent="0.25">
      <c r="E2369"/>
      <c r="H2369"/>
    </row>
    <row r="2370" spans="5:8" ht="15" x14ac:dyDescent="0.25">
      <c r="E2370"/>
      <c r="H2370"/>
    </row>
    <row r="2371" spans="5:8" ht="15" x14ac:dyDescent="0.25">
      <c r="E2371"/>
      <c r="H2371"/>
    </row>
    <row r="2372" spans="5:8" ht="15" x14ac:dyDescent="0.25">
      <c r="E2372"/>
      <c r="H2372"/>
    </row>
    <row r="2373" spans="5:8" ht="15" x14ac:dyDescent="0.25">
      <c r="E2373"/>
      <c r="H2373"/>
    </row>
    <row r="2374" spans="5:8" ht="15" x14ac:dyDescent="0.25">
      <c r="E2374"/>
      <c r="H2374"/>
    </row>
    <row r="2375" spans="5:8" ht="15" x14ac:dyDescent="0.25">
      <c r="E2375"/>
      <c r="H2375"/>
    </row>
    <row r="2376" spans="5:8" ht="15" x14ac:dyDescent="0.25">
      <c r="E2376"/>
      <c r="H2376"/>
    </row>
    <row r="2377" spans="5:8" ht="15" x14ac:dyDescent="0.25">
      <c r="E2377"/>
      <c r="H2377"/>
    </row>
    <row r="2378" spans="5:8" ht="15" x14ac:dyDescent="0.25">
      <c r="E2378"/>
      <c r="H2378"/>
    </row>
    <row r="2379" spans="5:8" ht="15" x14ac:dyDescent="0.25">
      <c r="E2379"/>
      <c r="H2379"/>
    </row>
    <row r="2380" spans="5:8" ht="15" x14ac:dyDescent="0.25">
      <c r="E2380"/>
      <c r="H2380"/>
    </row>
    <row r="2381" spans="5:8" ht="15" x14ac:dyDescent="0.25">
      <c r="E2381"/>
      <c r="H2381"/>
    </row>
    <row r="2382" spans="5:8" ht="15" x14ac:dyDescent="0.25">
      <c r="E2382"/>
      <c r="H2382"/>
    </row>
    <row r="2383" spans="5:8" ht="15" x14ac:dyDescent="0.25">
      <c r="E2383"/>
      <c r="H2383"/>
    </row>
    <row r="2384" spans="5:8" ht="15" x14ac:dyDescent="0.25">
      <c r="E2384"/>
      <c r="H2384"/>
    </row>
    <row r="2385" spans="5:8" ht="15" x14ac:dyDescent="0.25">
      <c r="E2385"/>
      <c r="H2385"/>
    </row>
    <row r="2386" spans="5:8" ht="15" x14ac:dyDescent="0.25">
      <c r="E2386"/>
      <c r="H2386"/>
    </row>
    <row r="2387" spans="5:8" ht="15" x14ac:dyDescent="0.25">
      <c r="E2387"/>
      <c r="H2387"/>
    </row>
    <row r="2388" spans="5:8" ht="15" x14ac:dyDescent="0.25">
      <c r="E2388"/>
      <c r="H2388"/>
    </row>
    <row r="2389" spans="5:8" ht="15" x14ac:dyDescent="0.25">
      <c r="E2389"/>
      <c r="H2389"/>
    </row>
    <row r="2390" spans="5:8" ht="15" x14ac:dyDescent="0.25">
      <c r="E2390"/>
      <c r="H2390"/>
    </row>
    <row r="2391" spans="5:8" ht="15" x14ac:dyDescent="0.25">
      <c r="E2391"/>
      <c r="H2391"/>
    </row>
    <row r="2392" spans="5:8" ht="15" x14ac:dyDescent="0.25">
      <c r="E2392"/>
      <c r="H2392"/>
    </row>
    <row r="2393" spans="5:8" ht="15" x14ac:dyDescent="0.25">
      <c r="E2393"/>
      <c r="H2393"/>
    </row>
    <row r="2394" spans="5:8" ht="15" x14ac:dyDescent="0.25">
      <c r="E2394"/>
      <c r="H2394"/>
    </row>
    <row r="2395" spans="5:8" ht="15" x14ac:dyDescent="0.25">
      <c r="E2395"/>
      <c r="H2395"/>
    </row>
    <row r="2396" spans="5:8" ht="15" x14ac:dyDescent="0.25">
      <c r="E2396"/>
      <c r="H2396"/>
    </row>
    <row r="2397" spans="5:8" ht="15" x14ac:dyDescent="0.25">
      <c r="E2397"/>
      <c r="H2397"/>
    </row>
    <row r="2398" spans="5:8" ht="15" x14ac:dyDescent="0.25">
      <c r="E2398"/>
      <c r="H2398"/>
    </row>
    <row r="2399" spans="5:8" ht="15" x14ac:dyDescent="0.25">
      <c r="E2399"/>
      <c r="H2399"/>
    </row>
    <row r="2400" spans="5:8" ht="15" x14ac:dyDescent="0.25">
      <c r="E2400"/>
      <c r="H2400"/>
    </row>
    <row r="2401" spans="5:8" ht="15" x14ac:dyDescent="0.25">
      <c r="E2401"/>
      <c r="H2401"/>
    </row>
    <row r="2402" spans="5:8" ht="15" x14ac:dyDescent="0.25">
      <c r="E2402"/>
      <c r="H2402"/>
    </row>
    <row r="2403" spans="5:8" ht="15" x14ac:dyDescent="0.25">
      <c r="E2403"/>
      <c r="H2403"/>
    </row>
    <row r="2404" spans="5:8" ht="15" x14ac:dyDescent="0.25">
      <c r="E2404"/>
      <c r="H2404"/>
    </row>
    <row r="2405" spans="5:8" ht="15" x14ac:dyDescent="0.25">
      <c r="E2405"/>
      <c r="H2405"/>
    </row>
    <row r="2406" spans="5:8" ht="15" x14ac:dyDescent="0.25">
      <c r="E2406"/>
      <c r="H2406"/>
    </row>
    <row r="2407" spans="5:8" ht="15" x14ac:dyDescent="0.25">
      <c r="E2407"/>
      <c r="H2407"/>
    </row>
    <row r="2408" spans="5:8" ht="15" x14ac:dyDescent="0.25">
      <c r="E2408"/>
      <c r="H2408"/>
    </row>
    <row r="2409" spans="5:8" ht="15" x14ac:dyDescent="0.25">
      <c r="E2409"/>
      <c r="H2409"/>
    </row>
    <row r="2410" spans="5:8" ht="15" x14ac:dyDescent="0.25">
      <c r="E2410"/>
      <c r="H2410"/>
    </row>
    <row r="2411" spans="5:8" ht="15" x14ac:dyDescent="0.25">
      <c r="E2411"/>
      <c r="H2411"/>
    </row>
    <row r="2412" spans="5:8" ht="15" x14ac:dyDescent="0.25">
      <c r="E2412"/>
      <c r="H2412"/>
    </row>
    <row r="2413" spans="5:8" ht="15" x14ac:dyDescent="0.25">
      <c r="E2413"/>
      <c r="H2413"/>
    </row>
    <row r="2414" spans="5:8" ht="15" x14ac:dyDescent="0.25">
      <c r="E2414"/>
      <c r="H2414"/>
    </row>
    <row r="2415" spans="5:8" ht="15" x14ac:dyDescent="0.25">
      <c r="E2415"/>
      <c r="H2415"/>
    </row>
    <row r="2416" spans="5:8" ht="15" x14ac:dyDescent="0.25">
      <c r="E2416"/>
      <c r="H2416"/>
    </row>
    <row r="2417" spans="5:8" ht="15" x14ac:dyDescent="0.25">
      <c r="E2417"/>
      <c r="H2417"/>
    </row>
    <row r="2418" spans="5:8" ht="15" x14ac:dyDescent="0.25">
      <c r="E2418"/>
      <c r="H2418"/>
    </row>
    <row r="2419" spans="5:8" ht="15" x14ac:dyDescent="0.25">
      <c r="E2419"/>
      <c r="H2419"/>
    </row>
    <row r="2420" spans="5:8" ht="15" x14ac:dyDescent="0.25">
      <c r="E2420"/>
      <c r="H2420"/>
    </row>
    <row r="2421" spans="5:8" ht="15" x14ac:dyDescent="0.25">
      <c r="E2421"/>
      <c r="H2421"/>
    </row>
    <row r="2422" spans="5:8" ht="15" x14ac:dyDescent="0.25">
      <c r="E2422"/>
      <c r="H2422"/>
    </row>
    <row r="2423" spans="5:8" ht="15" x14ac:dyDescent="0.25">
      <c r="E2423"/>
      <c r="H2423"/>
    </row>
    <row r="2424" spans="5:8" ht="15" x14ac:dyDescent="0.25">
      <c r="E2424"/>
      <c r="H2424"/>
    </row>
    <row r="2425" spans="5:8" ht="15" x14ac:dyDescent="0.25">
      <c r="E2425"/>
      <c r="H2425"/>
    </row>
    <row r="2426" spans="5:8" ht="15" x14ac:dyDescent="0.25">
      <c r="E2426"/>
      <c r="H2426"/>
    </row>
    <row r="2427" spans="5:8" ht="15" x14ac:dyDescent="0.25">
      <c r="E2427"/>
      <c r="H2427"/>
    </row>
    <row r="2428" spans="5:8" ht="15" x14ac:dyDescent="0.25">
      <c r="E2428"/>
      <c r="H2428"/>
    </row>
    <row r="2429" spans="5:8" ht="15" x14ac:dyDescent="0.25">
      <c r="E2429"/>
      <c r="H2429"/>
    </row>
    <row r="2430" spans="5:8" ht="15" x14ac:dyDescent="0.25">
      <c r="E2430"/>
      <c r="H2430"/>
    </row>
    <row r="2431" spans="5:8" ht="15" x14ac:dyDescent="0.25">
      <c r="E2431"/>
      <c r="H2431"/>
    </row>
    <row r="2432" spans="5:8" ht="15" x14ac:dyDescent="0.25">
      <c r="E2432"/>
      <c r="H2432"/>
    </row>
    <row r="2433" spans="5:8" ht="15" x14ac:dyDescent="0.25">
      <c r="E2433"/>
      <c r="H2433"/>
    </row>
    <row r="2434" spans="5:8" ht="15" x14ac:dyDescent="0.25">
      <c r="E2434"/>
      <c r="H2434"/>
    </row>
    <row r="2435" spans="5:8" ht="15" x14ac:dyDescent="0.25">
      <c r="E2435"/>
      <c r="H2435"/>
    </row>
    <row r="2436" spans="5:8" ht="15" x14ac:dyDescent="0.25">
      <c r="E2436"/>
      <c r="H2436"/>
    </row>
    <row r="2437" spans="5:8" ht="15" x14ac:dyDescent="0.25">
      <c r="E2437"/>
      <c r="H2437"/>
    </row>
    <row r="2438" spans="5:8" ht="15" x14ac:dyDescent="0.25">
      <c r="E2438"/>
      <c r="H2438"/>
    </row>
    <row r="2439" spans="5:8" ht="15" x14ac:dyDescent="0.25">
      <c r="E2439"/>
      <c r="H2439"/>
    </row>
    <row r="2440" spans="5:8" ht="15" x14ac:dyDescent="0.25">
      <c r="E2440"/>
      <c r="H2440"/>
    </row>
    <row r="2441" spans="5:8" ht="15" x14ac:dyDescent="0.25">
      <c r="E2441"/>
      <c r="H2441"/>
    </row>
    <row r="2442" spans="5:8" ht="15" x14ac:dyDescent="0.25">
      <c r="E2442"/>
      <c r="H2442"/>
    </row>
    <row r="2443" spans="5:8" ht="15" x14ac:dyDescent="0.25">
      <c r="E2443"/>
      <c r="H2443"/>
    </row>
    <row r="2444" spans="5:8" ht="15" x14ac:dyDescent="0.25">
      <c r="E2444"/>
      <c r="H2444"/>
    </row>
    <row r="2445" spans="5:8" ht="15" x14ac:dyDescent="0.25">
      <c r="E2445"/>
      <c r="H2445"/>
    </row>
    <row r="2446" spans="5:8" ht="15" x14ac:dyDescent="0.25">
      <c r="E2446"/>
      <c r="H2446"/>
    </row>
    <row r="2447" spans="5:8" ht="15" x14ac:dyDescent="0.25">
      <c r="E2447"/>
      <c r="H2447"/>
    </row>
    <row r="2448" spans="5:8" ht="15" x14ac:dyDescent="0.25">
      <c r="E2448"/>
      <c r="H2448"/>
    </row>
    <row r="2449" spans="5:8" ht="15" x14ac:dyDescent="0.25">
      <c r="E2449"/>
      <c r="H2449"/>
    </row>
    <row r="2450" spans="5:8" ht="15" x14ac:dyDescent="0.25">
      <c r="E2450"/>
      <c r="H2450"/>
    </row>
    <row r="2451" spans="5:8" ht="15" x14ac:dyDescent="0.25">
      <c r="E2451"/>
      <c r="H2451"/>
    </row>
    <row r="2452" spans="5:8" ht="15" x14ac:dyDescent="0.25">
      <c r="E2452"/>
      <c r="H2452"/>
    </row>
    <row r="2453" spans="5:8" ht="15" x14ac:dyDescent="0.25">
      <c r="E2453"/>
      <c r="H2453"/>
    </row>
    <row r="2454" spans="5:8" ht="15" x14ac:dyDescent="0.25">
      <c r="E2454"/>
      <c r="H2454"/>
    </row>
    <row r="2455" spans="5:8" ht="15" x14ac:dyDescent="0.25">
      <c r="E2455"/>
      <c r="H2455"/>
    </row>
    <row r="2456" spans="5:8" ht="15" x14ac:dyDescent="0.25">
      <c r="E2456"/>
      <c r="H2456"/>
    </row>
    <row r="2457" spans="5:8" ht="15" x14ac:dyDescent="0.25">
      <c r="E2457"/>
      <c r="H2457"/>
    </row>
    <row r="2458" spans="5:8" ht="15" x14ac:dyDescent="0.25">
      <c r="E2458"/>
      <c r="H2458"/>
    </row>
    <row r="2459" spans="5:8" ht="15" x14ac:dyDescent="0.25">
      <c r="E2459"/>
      <c r="H2459"/>
    </row>
    <row r="2460" spans="5:8" ht="15" x14ac:dyDescent="0.25">
      <c r="E2460"/>
      <c r="H2460"/>
    </row>
    <row r="2461" spans="5:8" ht="15" x14ac:dyDescent="0.25">
      <c r="E2461"/>
      <c r="H2461"/>
    </row>
    <row r="2462" spans="5:8" ht="15" x14ac:dyDescent="0.25">
      <c r="E2462"/>
      <c r="H2462"/>
    </row>
    <row r="2463" spans="5:8" ht="15" x14ac:dyDescent="0.25">
      <c r="E2463"/>
      <c r="H2463"/>
    </row>
    <row r="2464" spans="5:8" ht="15" x14ac:dyDescent="0.25">
      <c r="E2464"/>
      <c r="H2464"/>
    </row>
    <row r="2465" spans="5:8" ht="15" x14ac:dyDescent="0.25">
      <c r="E2465"/>
      <c r="H2465"/>
    </row>
    <row r="2466" spans="5:8" ht="15" x14ac:dyDescent="0.25">
      <c r="E2466"/>
      <c r="H2466"/>
    </row>
    <row r="2467" spans="5:8" ht="15" x14ac:dyDescent="0.25">
      <c r="E2467"/>
      <c r="H2467"/>
    </row>
    <row r="2468" spans="5:8" ht="15" x14ac:dyDescent="0.25">
      <c r="E2468"/>
      <c r="H2468"/>
    </row>
    <row r="2469" spans="5:8" ht="15" x14ac:dyDescent="0.25">
      <c r="E2469"/>
      <c r="H2469"/>
    </row>
    <row r="2470" spans="5:8" ht="15" x14ac:dyDescent="0.25">
      <c r="E2470"/>
      <c r="H2470"/>
    </row>
    <row r="2471" spans="5:8" ht="15" x14ac:dyDescent="0.25">
      <c r="E2471"/>
      <c r="H2471"/>
    </row>
    <row r="2472" spans="5:8" ht="15" x14ac:dyDescent="0.25">
      <c r="E2472"/>
      <c r="H2472"/>
    </row>
    <row r="2473" spans="5:8" ht="15" x14ac:dyDescent="0.25">
      <c r="E2473"/>
      <c r="H2473"/>
    </row>
    <row r="2474" spans="5:8" ht="15" x14ac:dyDescent="0.25">
      <c r="E2474"/>
      <c r="H2474"/>
    </row>
    <row r="2475" spans="5:8" ht="15" x14ac:dyDescent="0.25">
      <c r="E2475"/>
      <c r="H2475"/>
    </row>
    <row r="2476" spans="5:8" ht="15" x14ac:dyDescent="0.25">
      <c r="E2476"/>
      <c r="H2476"/>
    </row>
    <row r="2477" spans="5:8" ht="15" x14ac:dyDescent="0.25">
      <c r="E2477"/>
      <c r="H2477"/>
    </row>
    <row r="2478" spans="5:8" ht="15" x14ac:dyDescent="0.25">
      <c r="E2478"/>
      <c r="H2478"/>
    </row>
    <row r="2479" spans="5:8" ht="15" x14ac:dyDescent="0.25">
      <c r="E2479"/>
      <c r="H2479"/>
    </row>
    <row r="2480" spans="5:8" ht="15" x14ac:dyDescent="0.25">
      <c r="E2480"/>
      <c r="H2480"/>
    </row>
    <row r="2481" spans="5:8" ht="15" x14ac:dyDescent="0.25">
      <c r="E2481"/>
      <c r="H2481"/>
    </row>
    <row r="2482" spans="5:8" ht="15" x14ac:dyDescent="0.25">
      <c r="E2482"/>
      <c r="H2482"/>
    </row>
    <row r="2483" spans="5:8" ht="15" x14ac:dyDescent="0.25">
      <c r="E2483"/>
      <c r="H2483"/>
    </row>
    <row r="2484" spans="5:8" ht="15" x14ac:dyDescent="0.25">
      <c r="E2484"/>
      <c r="H2484"/>
    </row>
    <row r="2485" spans="5:8" ht="15" x14ac:dyDescent="0.25">
      <c r="E2485"/>
      <c r="H2485"/>
    </row>
    <row r="2486" spans="5:8" ht="15" x14ac:dyDescent="0.25">
      <c r="E2486"/>
      <c r="H2486"/>
    </row>
    <row r="2487" spans="5:8" ht="15" x14ac:dyDescent="0.25">
      <c r="E2487"/>
      <c r="H2487"/>
    </row>
    <row r="2488" spans="5:8" ht="15" x14ac:dyDescent="0.25">
      <c r="E2488"/>
      <c r="H2488"/>
    </row>
    <row r="2489" spans="5:8" ht="15" x14ac:dyDescent="0.25">
      <c r="E2489"/>
      <c r="H2489"/>
    </row>
    <row r="2490" spans="5:8" ht="15" x14ac:dyDescent="0.25">
      <c r="E2490"/>
      <c r="H2490"/>
    </row>
    <row r="2491" spans="5:8" ht="15" x14ac:dyDescent="0.25">
      <c r="E2491"/>
      <c r="H2491"/>
    </row>
    <row r="2492" spans="5:8" ht="15" x14ac:dyDescent="0.25">
      <c r="E2492"/>
      <c r="H2492"/>
    </row>
    <row r="2493" spans="5:8" ht="15" x14ac:dyDescent="0.25">
      <c r="E2493"/>
      <c r="H2493"/>
    </row>
    <row r="2494" spans="5:8" ht="15" x14ac:dyDescent="0.25">
      <c r="E2494"/>
      <c r="H2494"/>
    </row>
    <row r="2495" spans="5:8" ht="15" x14ac:dyDescent="0.25">
      <c r="E2495"/>
      <c r="H2495"/>
    </row>
    <row r="2496" spans="5:8" ht="15" x14ac:dyDescent="0.25">
      <c r="E2496"/>
      <c r="H2496"/>
    </row>
    <row r="2497" spans="5:8" ht="15" x14ac:dyDescent="0.25">
      <c r="E2497"/>
      <c r="H2497"/>
    </row>
    <row r="2498" spans="5:8" ht="15" x14ac:dyDescent="0.25">
      <c r="E2498"/>
      <c r="H2498"/>
    </row>
    <row r="2499" spans="5:8" ht="15" x14ac:dyDescent="0.25">
      <c r="E2499"/>
      <c r="H2499"/>
    </row>
    <row r="2500" spans="5:8" ht="15" x14ac:dyDescent="0.25">
      <c r="E2500"/>
      <c r="H2500"/>
    </row>
    <row r="2501" spans="5:8" ht="15" x14ac:dyDescent="0.25">
      <c r="E2501"/>
      <c r="H2501"/>
    </row>
    <row r="2502" spans="5:8" ht="15" x14ac:dyDescent="0.25">
      <c r="E2502"/>
      <c r="H2502"/>
    </row>
    <row r="2503" spans="5:8" ht="15" x14ac:dyDescent="0.25">
      <c r="E2503"/>
      <c r="H2503"/>
    </row>
    <row r="2504" spans="5:8" ht="15" x14ac:dyDescent="0.25">
      <c r="E2504"/>
      <c r="H2504"/>
    </row>
    <row r="2505" spans="5:8" ht="15" x14ac:dyDescent="0.25">
      <c r="E2505"/>
      <c r="H2505"/>
    </row>
    <row r="2506" spans="5:8" ht="15" x14ac:dyDescent="0.25">
      <c r="E2506"/>
      <c r="H2506"/>
    </row>
    <row r="2507" spans="5:8" ht="15" x14ac:dyDescent="0.25">
      <c r="E2507"/>
      <c r="H2507"/>
    </row>
    <row r="2508" spans="5:8" ht="15" x14ac:dyDescent="0.25">
      <c r="E2508"/>
      <c r="H2508"/>
    </row>
    <row r="2509" spans="5:8" ht="15" x14ac:dyDescent="0.25">
      <c r="E2509"/>
      <c r="H2509"/>
    </row>
    <row r="2510" spans="5:8" ht="15" x14ac:dyDescent="0.25">
      <c r="E2510"/>
      <c r="H2510"/>
    </row>
    <row r="2511" spans="5:8" ht="15" x14ac:dyDescent="0.25">
      <c r="E2511"/>
      <c r="H2511"/>
    </row>
    <row r="2512" spans="5:8" ht="15" x14ac:dyDescent="0.25">
      <c r="E2512"/>
      <c r="H2512"/>
    </row>
    <row r="2513" spans="5:8" ht="15" x14ac:dyDescent="0.25">
      <c r="E2513"/>
      <c r="H2513"/>
    </row>
    <row r="2514" spans="5:8" ht="15" x14ac:dyDescent="0.25">
      <c r="E2514"/>
      <c r="H2514"/>
    </row>
    <row r="2515" spans="5:8" ht="15" x14ac:dyDescent="0.25">
      <c r="E2515"/>
      <c r="H2515"/>
    </row>
    <row r="2516" spans="5:8" ht="15" x14ac:dyDescent="0.25">
      <c r="E2516"/>
      <c r="H2516"/>
    </row>
    <row r="2517" spans="5:8" ht="15" x14ac:dyDescent="0.25">
      <c r="E2517"/>
      <c r="H2517"/>
    </row>
    <row r="2518" spans="5:8" ht="15" x14ac:dyDescent="0.25">
      <c r="E2518"/>
      <c r="H2518"/>
    </row>
    <row r="2519" spans="5:8" ht="15" x14ac:dyDescent="0.25">
      <c r="E2519"/>
      <c r="H2519"/>
    </row>
    <row r="2520" spans="5:8" ht="15" x14ac:dyDescent="0.25">
      <c r="E2520"/>
      <c r="H2520"/>
    </row>
    <row r="2521" spans="5:8" ht="15" x14ac:dyDescent="0.25">
      <c r="E2521"/>
      <c r="H2521"/>
    </row>
    <row r="2522" spans="5:8" ht="15" x14ac:dyDescent="0.25">
      <c r="E2522"/>
      <c r="H2522"/>
    </row>
    <row r="2523" spans="5:8" ht="15" x14ac:dyDescent="0.25">
      <c r="E2523"/>
      <c r="H2523"/>
    </row>
    <row r="2524" spans="5:8" ht="15" x14ac:dyDescent="0.25">
      <c r="E2524"/>
      <c r="H2524"/>
    </row>
    <row r="2525" spans="5:8" ht="15" x14ac:dyDescent="0.25">
      <c r="E2525"/>
      <c r="H2525"/>
    </row>
    <row r="2526" spans="5:8" ht="15" x14ac:dyDescent="0.25">
      <c r="E2526"/>
      <c r="H2526"/>
    </row>
    <row r="2527" spans="5:8" ht="15" x14ac:dyDescent="0.25">
      <c r="E2527"/>
      <c r="H2527"/>
    </row>
    <row r="2528" spans="5:8" ht="15" x14ac:dyDescent="0.25">
      <c r="E2528"/>
      <c r="H2528"/>
    </row>
    <row r="2529" spans="5:8" ht="15" x14ac:dyDescent="0.25">
      <c r="E2529"/>
      <c r="H2529"/>
    </row>
    <row r="2530" spans="5:8" ht="15" x14ac:dyDescent="0.25">
      <c r="E2530"/>
      <c r="H2530"/>
    </row>
    <row r="2531" spans="5:8" ht="15" x14ac:dyDescent="0.25">
      <c r="E2531"/>
      <c r="H2531"/>
    </row>
    <row r="2532" spans="5:8" ht="15" x14ac:dyDescent="0.25">
      <c r="E2532"/>
      <c r="H2532"/>
    </row>
    <row r="2533" spans="5:8" ht="15" x14ac:dyDescent="0.25">
      <c r="E2533"/>
      <c r="H2533"/>
    </row>
    <row r="2534" spans="5:8" ht="15" x14ac:dyDescent="0.25">
      <c r="E2534"/>
      <c r="H2534"/>
    </row>
    <row r="2535" spans="5:8" ht="15" x14ac:dyDescent="0.25">
      <c r="E2535"/>
      <c r="H2535"/>
    </row>
    <row r="2536" spans="5:8" ht="15" x14ac:dyDescent="0.25">
      <c r="E2536"/>
      <c r="H2536"/>
    </row>
    <row r="2537" spans="5:8" ht="15" x14ac:dyDescent="0.25">
      <c r="E2537"/>
      <c r="H2537"/>
    </row>
    <row r="2538" spans="5:8" ht="15" x14ac:dyDescent="0.25">
      <c r="E2538"/>
      <c r="H2538"/>
    </row>
    <row r="2539" spans="5:8" ht="15" x14ac:dyDescent="0.25">
      <c r="E2539"/>
      <c r="H2539"/>
    </row>
    <row r="2540" spans="5:8" ht="15" x14ac:dyDescent="0.25">
      <c r="E2540"/>
      <c r="H2540"/>
    </row>
    <row r="2541" spans="5:8" ht="15" x14ac:dyDescent="0.25">
      <c r="E2541"/>
      <c r="H2541"/>
    </row>
    <row r="2542" spans="5:8" ht="15" x14ac:dyDescent="0.25">
      <c r="E2542"/>
      <c r="H2542"/>
    </row>
    <row r="2543" spans="5:8" ht="15" x14ac:dyDescent="0.25">
      <c r="E2543"/>
      <c r="H2543"/>
    </row>
    <row r="2544" spans="5:8" ht="15" x14ac:dyDescent="0.25">
      <c r="E2544"/>
      <c r="H2544"/>
    </row>
    <row r="2545" spans="5:8" ht="15" x14ac:dyDescent="0.25">
      <c r="E2545"/>
      <c r="H2545"/>
    </row>
    <row r="2546" spans="5:8" ht="15" x14ac:dyDescent="0.25">
      <c r="E2546"/>
      <c r="H2546"/>
    </row>
    <row r="2547" spans="5:8" ht="15" x14ac:dyDescent="0.25">
      <c r="E2547"/>
      <c r="H2547"/>
    </row>
    <row r="2548" spans="5:8" ht="15" x14ac:dyDescent="0.25">
      <c r="E2548"/>
      <c r="H2548"/>
    </row>
    <row r="2549" spans="5:8" ht="15" x14ac:dyDescent="0.25">
      <c r="E2549"/>
      <c r="H2549"/>
    </row>
    <row r="2550" spans="5:8" ht="15" x14ac:dyDescent="0.25">
      <c r="E2550"/>
      <c r="H2550"/>
    </row>
    <row r="2551" spans="5:8" ht="15" x14ac:dyDescent="0.25">
      <c r="E2551"/>
      <c r="H2551"/>
    </row>
    <row r="2552" spans="5:8" ht="15" x14ac:dyDescent="0.25">
      <c r="E2552"/>
      <c r="H2552"/>
    </row>
    <row r="2553" spans="5:8" ht="15" x14ac:dyDescent="0.25">
      <c r="E2553"/>
      <c r="H2553"/>
    </row>
    <row r="2554" spans="5:8" ht="15" x14ac:dyDescent="0.25">
      <c r="E2554"/>
      <c r="H2554"/>
    </row>
    <row r="2555" spans="5:8" ht="15" x14ac:dyDescent="0.25">
      <c r="E2555"/>
      <c r="H2555"/>
    </row>
    <row r="2556" spans="5:8" ht="15" x14ac:dyDescent="0.25">
      <c r="E2556"/>
      <c r="H2556"/>
    </row>
    <row r="2557" spans="5:8" ht="15" x14ac:dyDescent="0.25">
      <c r="E2557"/>
      <c r="H2557"/>
    </row>
    <row r="2558" spans="5:8" ht="15" x14ac:dyDescent="0.25">
      <c r="E2558"/>
      <c r="H2558"/>
    </row>
    <row r="2559" spans="5:8" ht="15" x14ac:dyDescent="0.25">
      <c r="E2559"/>
      <c r="H2559"/>
    </row>
    <row r="2560" spans="5:8" ht="15" x14ac:dyDescent="0.25">
      <c r="E2560"/>
      <c r="H2560"/>
    </row>
    <row r="2561" spans="5:8" ht="15" x14ac:dyDescent="0.25">
      <c r="E2561"/>
      <c r="H2561"/>
    </row>
    <row r="2562" spans="5:8" ht="15" x14ac:dyDescent="0.25">
      <c r="E2562"/>
      <c r="H2562"/>
    </row>
    <row r="2563" spans="5:8" ht="15" x14ac:dyDescent="0.25">
      <c r="E2563"/>
      <c r="H2563"/>
    </row>
    <row r="2564" spans="5:8" ht="15" x14ac:dyDescent="0.25">
      <c r="E2564"/>
      <c r="H2564"/>
    </row>
    <row r="2565" spans="5:8" ht="15" x14ac:dyDescent="0.25">
      <c r="E2565"/>
      <c r="H2565"/>
    </row>
    <row r="2566" spans="5:8" ht="15" x14ac:dyDescent="0.25">
      <c r="E2566"/>
      <c r="H2566"/>
    </row>
    <row r="2567" spans="5:8" ht="15" x14ac:dyDescent="0.25">
      <c r="E2567"/>
      <c r="H2567"/>
    </row>
    <row r="2568" spans="5:8" ht="15" x14ac:dyDescent="0.25">
      <c r="E2568"/>
      <c r="H2568"/>
    </row>
    <row r="2569" spans="5:8" ht="15" x14ac:dyDescent="0.25">
      <c r="E2569"/>
      <c r="H2569"/>
    </row>
    <row r="2570" spans="5:8" ht="15" x14ac:dyDescent="0.25">
      <c r="E2570"/>
      <c r="H2570"/>
    </row>
    <row r="2571" spans="5:8" ht="15" x14ac:dyDescent="0.25">
      <c r="E2571"/>
      <c r="H2571"/>
    </row>
    <row r="2572" spans="5:8" ht="15" x14ac:dyDescent="0.25">
      <c r="E2572"/>
      <c r="H2572"/>
    </row>
    <row r="2573" spans="5:8" ht="15" x14ac:dyDescent="0.25">
      <c r="E2573"/>
      <c r="H2573"/>
    </row>
    <row r="2574" spans="5:8" ht="15" x14ac:dyDescent="0.25">
      <c r="E2574"/>
      <c r="H2574"/>
    </row>
    <row r="2575" spans="5:8" ht="15" x14ac:dyDescent="0.25">
      <c r="E2575"/>
      <c r="H2575"/>
    </row>
    <row r="2576" spans="5:8" ht="15" x14ac:dyDescent="0.25">
      <c r="E2576"/>
      <c r="H2576"/>
    </row>
    <row r="2577" spans="5:8" ht="15" x14ac:dyDescent="0.25">
      <c r="E2577"/>
      <c r="H2577"/>
    </row>
    <row r="2578" spans="5:8" ht="15" x14ac:dyDescent="0.25">
      <c r="E2578"/>
      <c r="H2578"/>
    </row>
    <row r="2579" spans="5:8" ht="15" x14ac:dyDescent="0.25">
      <c r="E2579"/>
      <c r="H2579"/>
    </row>
    <row r="2580" spans="5:8" ht="15" x14ac:dyDescent="0.25">
      <c r="E2580"/>
      <c r="H2580"/>
    </row>
    <row r="2581" spans="5:8" ht="15" x14ac:dyDescent="0.25">
      <c r="E2581"/>
      <c r="H2581"/>
    </row>
    <row r="2582" spans="5:8" ht="15" x14ac:dyDescent="0.25">
      <c r="E2582"/>
      <c r="H2582"/>
    </row>
    <row r="2583" spans="5:8" ht="15" x14ac:dyDescent="0.25">
      <c r="E2583"/>
      <c r="H2583"/>
    </row>
    <row r="2584" spans="5:8" ht="15" x14ac:dyDescent="0.25">
      <c r="E2584"/>
      <c r="H2584"/>
    </row>
    <row r="2585" spans="5:8" ht="15" x14ac:dyDescent="0.25">
      <c r="E2585"/>
      <c r="H2585"/>
    </row>
    <row r="2586" spans="5:8" ht="15" x14ac:dyDescent="0.25">
      <c r="E2586"/>
      <c r="H2586"/>
    </row>
    <row r="2587" spans="5:8" ht="15" x14ac:dyDescent="0.25">
      <c r="E2587"/>
      <c r="H2587"/>
    </row>
    <row r="2588" spans="5:8" ht="15" x14ac:dyDescent="0.25">
      <c r="E2588"/>
      <c r="H2588"/>
    </row>
    <row r="2589" spans="5:8" ht="15" x14ac:dyDescent="0.25">
      <c r="E2589"/>
      <c r="H2589"/>
    </row>
    <row r="2590" spans="5:8" ht="15" x14ac:dyDescent="0.25">
      <c r="E2590"/>
      <c r="H2590"/>
    </row>
    <row r="2591" spans="5:8" ht="15" x14ac:dyDescent="0.25">
      <c r="E2591"/>
      <c r="H2591"/>
    </row>
    <row r="2592" spans="5:8" ht="15" x14ac:dyDescent="0.25">
      <c r="E2592"/>
      <c r="H2592"/>
    </row>
    <row r="2593" spans="5:8" ht="15" x14ac:dyDescent="0.25">
      <c r="E2593"/>
      <c r="H2593"/>
    </row>
    <row r="2594" spans="5:8" ht="15" x14ac:dyDescent="0.25">
      <c r="E2594"/>
      <c r="H2594"/>
    </row>
    <row r="2595" spans="5:8" ht="15" x14ac:dyDescent="0.25">
      <c r="E2595"/>
      <c r="H2595"/>
    </row>
    <row r="2596" spans="5:8" ht="15" x14ac:dyDescent="0.25">
      <c r="E2596"/>
      <c r="H2596"/>
    </row>
    <row r="2597" spans="5:8" ht="15" x14ac:dyDescent="0.25">
      <c r="E2597"/>
      <c r="H2597"/>
    </row>
    <row r="2598" spans="5:8" ht="15" x14ac:dyDescent="0.25">
      <c r="E2598"/>
      <c r="H2598"/>
    </row>
    <row r="2599" spans="5:8" ht="15" x14ac:dyDescent="0.25">
      <c r="E2599"/>
      <c r="H2599"/>
    </row>
    <row r="2600" spans="5:8" ht="15" x14ac:dyDescent="0.25">
      <c r="E2600"/>
      <c r="H2600"/>
    </row>
    <row r="2601" spans="5:8" ht="15" x14ac:dyDescent="0.25">
      <c r="E2601"/>
      <c r="H2601"/>
    </row>
    <row r="2602" spans="5:8" ht="15" x14ac:dyDescent="0.25">
      <c r="E2602"/>
      <c r="H2602"/>
    </row>
    <row r="2603" spans="5:8" ht="15" x14ac:dyDescent="0.25">
      <c r="E2603"/>
      <c r="H2603"/>
    </row>
    <row r="2604" spans="5:8" ht="15" x14ac:dyDescent="0.25">
      <c r="E2604"/>
      <c r="H2604"/>
    </row>
    <row r="2605" spans="5:8" ht="15" x14ac:dyDescent="0.25">
      <c r="E2605"/>
      <c r="H2605"/>
    </row>
    <row r="2606" spans="5:8" ht="15" x14ac:dyDescent="0.25">
      <c r="E2606"/>
      <c r="H2606"/>
    </row>
    <row r="2607" spans="5:8" ht="15" x14ac:dyDescent="0.25">
      <c r="E2607"/>
      <c r="H2607"/>
    </row>
    <row r="2608" spans="5:8" ht="15" x14ac:dyDescent="0.25">
      <c r="E2608"/>
      <c r="H2608"/>
    </row>
    <row r="2609" spans="5:8" ht="15" x14ac:dyDescent="0.25">
      <c r="E2609"/>
      <c r="H2609"/>
    </row>
    <row r="2610" spans="5:8" ht="15" x14ac:dyDescent="0.25">
      <c r="E2610"/>
      <c r="H2610"/>
    </row>
    <row r="2611" spans="5:8" ht="15" x14ac:dyDescent="0.25">
      <c r="E2611"/>
      <c r="H2611"/>
    </row>
    <row r="2612" spans="5:8" ht="15" x14ac:dyDescent="0.25">
      <c r="E2612"/>
      <c r="H2612"/>
    </row>
    <row r="2613" spans="5:8" ht="15" x14ac:dyDescent="0.25">
      <c r="E2613"/>
      <c r="H2613"/>
    </row>
    <row r="2614" spans="5:8" ht="15" x14ac:dyDescent="0.25">
      <c r="E2614"/>
      <c r="H2614"/>
    </row>
    <row r="2615" spans="5:8" ht="15" x14ac:dyDescent="0.25">
      <c r="E2615"/>
      <c r="H2615"/>
    </row>
    <row r="2616" spans="5:8" ht="15" x14ac:dyDescent="0.25">
      <c r="E2616"/>
      <c r="H2616"/>
    </row>
    <row r="2617" spans="5:8" ht="15" x14ac:dyDescent="0.25">
      <c r="E2617"/>
      <c r="H2617"/>
    </row>
    <row r="2618" spans="5:8" ht="15" x14ac:dyDescent="0.25">
      <c r="E2618"/>
      <c r="H2618"/>
    </row>
    <row r="2619" spans="5:8" ht="15" x14ac:dyDescent="0.25">
      <c r="E2619"/>
      <c r="H2619"/>
    </row>
    <row r="2620" spans="5:8" ht="15" x14ac:dyDescent="0.25">
      <c r="E2620"/>
      <c r="H2620"/>
    </row>
    <row r="2621" spans="5:8" ht="15" x14ac:dyDescent="0.25">
      <c r="E2621"/>
      <c r="H2621"/>
    </row>
    <row r="2622" spans="5:8" ht="15" x14ac:dyDescent="0.25">
      <c r="E2622"/>
      <c r="H2622"/>
    </row>
    <row r="2623" spans="5:8" ht="15" x14ac:dyDescent="0.25">
      <c r="E2623"/>
      <c r="H2623"/>
    </row>
    <row r="2624" spans="5:8" ht="15" x14ac:dyDescent="0.25">
      <c r="E2624"/>
      <c r="H2624"/>
    </row>
    <row r="2625" spans="5:8" ht="15" x14ac:dyDescent="0.25">
      <c r="E2625"/>
      <c r="H2625"/>
    </row>
    <row r="2626" spans="5:8" ht="15" x14ac:dyDescent="0.25">
      <c r="E2626"/>
      <c r="H2626"/>
    </row>
    <row r="2627" spans="5:8" ht="15" x14ac:dyDescent="0.25">
      <c r="E2627"/>
      <c r="H2627"/>
    </row>
    <row r="2628" spans="5:8" ht="15" x14ac:dyDescent="0.25">
      <c r="E2628"/>
      <c r="H2628"/>
    </row>
    <row r="2629" spans="5:8" ht="15" x14ac:dyDescent="0.25">
      <c r="E2629"/>
      <c r="H2629"/>
    </row>
    <row r="2630" spans="5:8" ht="15" x14ac:dyDescent="0.25">
      <c r="E2630"/>
      <c r="H2630"/>
    </row>
    <row r="2631" spans="5:8" ht="15" x14ac:dyDescent="0.25">
      <c r="E2631"/>
      <c r="H2631"/>
    </row>
    <row r="2632" spans="5:8" ht="15" x14ac:dyDescent="0.25">
      <c r="E2632"/>
      <c r="H2632"/>
    </row>
    <row r="2633" spans="5:8" ht="15" x14ac:dyDescent="0.25">
      <c r="E2633"/>
      <c r="H2633"/>
    </row>
    <row r="2634" spans="5:8" ht="15" x14ac:dyDescent="0.25">
      <c r="E2634"/>
      <c r="H2634"/>
    </row>
    <row r="2635" spans="5:8" ht="15" x14ac:dyDescent="0.25">
      <c r="E2635"/>
      <c r="H2635"/>
    </row>
    <row r="2636" spans="5:8" ht="15" x14ac:dyDescent="0.25">
      <c r="E2636"/>
      <c r="H2636"/>
    </row>
    <row r="2637" spans="5:8" ht="15" x14ac:dyDescent="0.25">
      <c r="E2637"/>
      <c r="H2637"/>
    </row>
    <row r="2638" spans="5:8" ht="15" x14ac:dyDescent="0.25">
      <c r="E2638"/>
      <c r="H2638"/>
    </row>
    <row r="2639" spans="5:8" ht="15" x14ac:dyDescent="0.25">
      <c r="E2639"/>
      <c r="H2639"/>
    </row>
    <row r="2640" spans="5:8" ht="15" x14ac:dyDescent="0.25">
      <c r="E2640"/>
      <c r="H2640"/>
    </row>
    <row r="2641" spans="5:8" ht="15" x14ac:dyDescent="0.25">
      <c r="E2641"/>
      <c r="H2641"/>
    </row>
    <row r="2642" spans="5:8" ht="15" x14ac:dyDescent="0.25">
      <c r="E2642"/>
      <c r="H2642"/>
    </row>
    <row r="2643" spans="5:8" ht="15" x14ac:dyDescent="0.25">
      <c r="E2643"/>
      <c r="H2643"/>
    </row>
    <row r="2644" spans="5:8" ht="15" x14ac:dyDescent="0.25">
      <c r="E2644"/>
      <c r="H2644"/>
    </row>
    <row r="2645" spans="5:8" ht="15" x14ac:dyDescent="0.25">
      <c r="E2645"/>
      <c r="H2645"/>
    </row>
    <row r="2646" spans="5:8" ht="15" x14ac:dyDescent="0.25">
      <c r="E2646"/>
      <c r="H2646"/>
    </row>
    <row r="2647" spans="5:8" ht="15" x14ac:dyDescent="0.25">
      <c r="E2647"/>
      <c r="H2647"/>
    </row>
    <row r="2648" spans="5:8" ht="15" x14ac:dyDescent="0.25">
      <c r="E2648"/>
      <c r="H2648"/>
    </row>
    <row r="2649" spans="5:8" ht="15" x14ac:dyDescent="0.25">
      <c r="E2649"/>
      <c r="H2649"/>
    </row>
    <row r="2650" spans="5:8" ht="15" x14ac:dyDescent="0.25">
      <c r="E2650"/>
      <c r="H2650"/>
    </row>
    <row r="2651" spans="5:8" ht="15" x14ac:dyDescent="0.25">
      <c r="E2651"/>
      <c r="H2651"/>
    </row>
    <row r="2652" spans="5:8" ht="15" x14ac:dyDescent="0.25">
      <c r="E2652"/>
      <c r="H2652"/>
    </row>
    <row r="2653" spans="5:8" ht="15" x14ac:dyDescent="0.25">
      <c r="E2653"/>
      <c r="H2653"/>
    </row>
    <row r="2654" spans="5:8" ht="15" x14ac:dyDescent="0.25">
      <c r="E2654"/>
      <c r="H2654"/>
    </row>
    <row r="2655" spans="5:8" ht="15" x14ac:dyDescent="0.25">
      <c r="E2655"/>
      <c r="H2655"/>
    </row>
    <row r="2656" spans="5:8" ht="15" x14ac:dyDescent="0.25">
      <c r="E2656"/>
      <c r="H2656"/>
    </row>
    <row r="2657" spans="5:8" ht="15" x14ac:dyDescent="0.25">
      <c r="E2657"/>
      <c r="H2657"/>
    </row>
    <row r="2658" spans="5:8" ht="15" x14ac:dyDescent="0.25">
      <c r="E2658"/>
      <c r="H2658"/>
    </row>
    <row r="2659" spans="5:8" ht="15" x14ac:dyDescent="0.25">
      <c r="E2659"/>
      <c r="H2659"/>
    </row>
    <row r="2660" spans="5:8" ht="15" x14ac:dyDescent="0.25">
      <c r="E2660"/>
      <c r="H2660"/>
    </row>
    <row r="2661" spans="5:8" ht="15" x14ac:dyDescent="0.25">
      <c r="E2661"/>
      <c r="H2661"/>
    </row>
    <row r="2662" spans="5:8" ht="15" x14ac:dyDescent="0.25">
      <c r="E2662"/>
      <c r="H2662"/>
    </row>
    <row r="2663" spans="5:8" ht="15" x14ac:dyDescent="0.25">
      <c r="E2663"/>
      <c r="H2663"/>
    </row>
    <row r="2664" spans="5:8" ht="15" x14ac:dyDescent="0.25">
      <c r="E2664"/>
      <c r="H2664"/>
    </row>
    <row r="2665" spans="5:8" ht="15" x14ac:dyDescent="0.25">
      <c r="E2665"/>
      <c r="H2665"/>
    </row>
    <row r="2666" spans="5:8" ht="15" x14ac:dyDescent="0.25">
      <c r="E2666"/>
      <c r="H2666"/>
    </row>
    <row r="2667" spans="5:8" ht="15" x14ac:dyDescent="0.25">
      <c r="E2667"/>
      <c r="H2667"/>
    </row>
    <row r="2668" spans="5:8" ht="15" x14ac:dyDescent="0.25">
      <c r="E2668"/>
      <c r="H2668"/>
    </row>
    <row r="2669" spans="5:8" ht="15" x14ac:dyDescent="0.25">
      <c r="E2669"/>
      <c r="H2669"/>
    </row>
    <row r="2670" spans="5:8" ht="15" x14ac:dyDescent="0.25">
      <c r="E2670"/>
      <c r="H2670"/>
    </row>
    <row r="2671" spans="5:8" ht="15" x14ac:dyDescent="0.25">
      <c r="E2671"/>
      <c r="H2671"/>
    </row>
    <row r="2672" spans="5:8" ht="15" x14ac:dyDescent="0.25">
      <c r="E2672"/>
      <c r="H2672"/>
    </row>
    <row r="2673" spans="5:8" ht="15" x14ac:dyDescent="0.25">
      <c r="E2673"/>
      <c r="H2673"/>
    </row>
    <row r="2674" spans="5:8" ht="15" x14ac:dyDescent="0.25">
      <c r="E2674"/>
      <c r="H2674"/>
    </row>
    <row r="2675" spans="5:8" ht="15" x14ac:dyDescent="0.25">
      <c r="E2675"/>
      <c r="H2675"/>
    </row>
    <row r="2676" spans="5:8" ht="15" x14ac:dyDescent="0.25">
      <c r="E2676"/>
      <c r="H2676"/>
    </row>
    <row r="2677" spans="5:8" ht="15" x14ac:dyDescent="0.25">
      <c r="E2677"/>
      <c r="H2677"/>
    </row>
    <row r="2678" spans="5:8" ht="15" x14ac:dyDescent="0.25">
      <c r="E2678"/>
      <c r="H2678"/>
    </row>
    <row r="2679" spans="5:8" ht="15" x14ac:dyDescent="0.25">
      <c r="E2679"/>
      <c r="H2679"/>
    </row>
    <row r="2680" spans="5:8" ht="15" x14ac:dyDescent="0.25">
      <c r="E2680"/>
      <c r="H2680"/>
    </row>
    <row r="2681" spans="5:8" ht="15" x14ac:dyDescent="0.25">
      <c r="E2681"/>
      <c r="H2681"/>
    </row>
    <row r="2682" spans="5:8" ht="15" x14ac:dyDescent="0.25">
      <c r="E2682"/>
      <c r="H2682"/>
    </row>
    <row r="2683" spans="5:8" ht="15" x14ac:dyDescent="0.25">
      <c r="E2683"/>
      <c r="H2683"/>
    </row>
    <row r="2684" spans="5:8" ht="15" x14ac:dyDescent="0.25">
      <c r="E2684"/>
      <c r="H2684"/>
    </row>
    <row r="2685" spans="5:8" ht="15" x14ac:dyDescent="0.25">
      <c r="E2685"/>
      <c r="H2685"/>
    </row>
    <row r="2686" spans="5:8" ht="15" x14ac:dyDescent="0.25">
      <c r="E2686"/>
      <c r="H2686"/>
    </row>
    <row r="2687" spans="5:8" ht="15" x14ac:dyDescent="0.25">
      <c r="E2687"/>
      <c r="H2687"/>
    </row>
    <row r="2688" spans="5:8" ht="15" x14ac:dyDescent="0.25">
      <c r="E2688"/>
      <c r="H2688"/>
    </row>
    <row r="2689" spans="5:8" ht="15" x14ac:dyDescent="0.25">
      <c r="E2689"/>
      <c r="H2689"/>
    </row>
    <row r="2690" spans="5:8" ht="15" x14ac:dyDescent="0.25">
      <c r="E2690"/>
      <c r="H2690"/>
    </row>
    <row r="2691" spans="5:8" ht="15" x14ac:dyDescent="0.25">
      <c r="E2691"/>
      <c r="H2691"/>
    </row>
    <row r="2692" spans="5:8" ht="15" x14ac:dyDescent="0.25">
      <c r="E2692"/>
      <c r="H2692"/>
    </row>
    <row r="2693" spans="5:8" ht="15" x14ac:dyDescent="0.25">
      <c r="E2693"/>
      <c r="H2693"/>
    </row>
    <row r="2694" spans="5:8" ht="15" x14ac:dyDescent="0.25">
      <c r="E2694"/>
      <c r="H2694"/>
    </row>
    <row r="2695" spans="5:8" ht="15" x14ac:dyDescent="0.25">
      <c r="E2695"/>
      <c r="H2695"/>
    </row>
    <row r="2696" spans="5:8" ht="15" x14ac:dyDescent="0.25">
      <c r="E2696"/>
      <c r="H2696"/>
    </row>
    <row r="2697" spans="5:8" ht="15" x14ac:dyDescent="0.25">
      <c r="E2697"/>
      <c r="H2697"/>
    </row>
    <row r="2698" spans="5:8" ht="15" x14ac:dyDescent="0.25">
      <c r="E2698"/>
      <c r="H2698"/>
    </row>
    <row r="2699" spans="5:8" ht="15" x14ac:dyDescent="0.25">
      <c r="E2699"/>
      <c r="H2699"/>
    </row>
    <row r="2700" spans="5:8" ht="15" x14ac:dyDescent="0.25">
      <c r="E2700"/>
      <c r="H2700"/>
    </row>
    <row r="2701" spans="5:8" ht="15" x14ac:dyDescent="0.25">
      <c r="E2701"/>
      <c r="H2701"/>
    </row>
    <row r="2702" spans="5:8" ht="15" x14ac:dyDescent="0.25">
      <c r="E2702"/>
      <c r="H2702"/>
    </row>
    <row r="2703" spans="5:8" ht="15" x14ac:dyDescent="0.25">
      <c r="E2703"/>
      <c r="H2703"/>
    </row>
    <row r="2704" spans="5:8" ht="15" x14ac:dyDescent="0.25">
      <c r="E2704"/>
      <c r="H2704"/>
    </row>
    <row r="2705" spans="5:8" ht="15" x14ac:dyDescent="0.25">
      <c r="E2705"/>
      <c r="H2705"/>
    </row>
    <row r="2706" spans="5:8" ht="15" x14ac:dyDescent="0.25">
      <c r="E2706"/>
      <c r="H2706"/>
    </row>
    <row r="2707" spans="5:8" ht="15" x14ac:dyDescent="0.25">
      <c r="E2707"/>
      <c r="H2707"/>
    </row>
    <row r="2708" spans="5:8" ht="15" x14ac:dyDescent="0.25">
      <c r="E2708"/>
      <c r="H2708"/>
    </row>
    <row r="2709" spans="5:8" ht="15" x14ac:dyDescent="0.25">
      <c r="E2709"/>
      <c r="H2709"/>
    </row>
    <row r="2710" spans="5:8" ht="15" x14ac:dyDescent="0.25">
      <c r="E2710"/>
      <c r="H2710"/>
    </row>
    <row r="2711" spans="5:8" ht="15" x14ac:dyDescent="0.25">
      <c r="E2711"/>
      <c r="H2711"/>
    </row>
    <row r="2712" spans="5:8" ht="15" x14ac:dyDescent="0.25">
      <c r="E2712"/>
      <c r="H2712"/>
    </row>
    <row r="2713" spans="5:8" ht="15" x14ac:dyDescent="0.25">
      <c r="E2713"/>
      <c r="H2713"/>
    </row>
    <row r="2714" spans="5:8" ht="15" x14ac:dyDescent="0.25">
      <c r="E2714"/>
      <c r="H2714"/>
    </row>
    <row r="2715" spans="5:8" ht="15" x14ac:dyDescent="0.25">
      <c r="E2715"/>
      <c r="H2715"/>
    </row>
    <row r="2716" spans="5:8" ht="15" x14ac:dyDescent="0.25">
      <c r="E2716"/>
      <c r="H2716"/>
    </row>
    <row r="2717" spans="5:8" ht="15" x14ac:dyDescent="0.25">
      <c r="E2717"/>
      <c r="H2717"/>
    </row>
    <row r="2718" spans="5:8" ht="15" x14ac:dyDescent="0.25">
      <c r="E2718"/>
      <c r="H2718"/>
    </row>
    <row r="2719" spans="5:8" ht="15" x14ac:dyDescent="0.25">
      <c r="E2719"/>
      <c r="H2719"/>
    </row>
    <row r="2720" spans="5:8" ht="15" x14ac:dyDescent="0.25">
      <c r="E2720"/>
      <c r="H2720"/>
    </row>
    <row r="2721" spans="5:8" ht="15" x14ac:dyDescent="0.25">
      <c r="E2721"/>
      <c r="H2721"/>
    </row>
    <row r="2722" spans="5:8" ht="15" x14ac:dyDescent="0.25">
      <c r="E2722"/>
      <c r="H2722"/>
    </row>
    <row r="2723" spans="5:8" ht="15" x14ac:dyDescent="0.25">
      <c r="E2723"/>
      <c r="H2723"/>
    </row>
    <row r="2724" spans="5:8" ht="15" x14ac:dyDescent="0.25">
      <c r="E2724"/>
      <c r="H2724"/>
    </row>
    <row r="2725" spans="5:8" ht="15" x14ac:dyDescent="0.25">
      <c r="E2725"/>
      <c r="H2725"/>
    </row>
    <row r="2726" spans="5:8" ht="15" x14ac:dyDescent="0.25">
      <c r="E2726"/>
      <c r="H2726"/>
    </row>
    <row r="2727" spans="5:8" ht="15" x14ac:dyDescent="0.25">
      <c r="E2727"/>
      <c r="H2727"/>
    </row>
    <row r="2728" spans="5:8" ht="15" x14ac:dyDescent="0.25">
      <c r="E2728"/>
      <c r="H2728"/>
    </row>
    <row r="2729" spans="5:8" ht="15" x14ac:dyDescent="0.25">
      <c r="E2729"/>
      <c r="H2729"/>
    </row>
    <row r="2730" spans="5:8" ht="15" x14ac:dyDescent="0.25">
      <c r="E2730"/>
      <c r="H2730"/>
    </row>
    <row r="2731" spans="5:8" ht="15" x14ac:dyDescent="0.25">
      <c r="E2731"/>
      <c r="H2731"/>
    </row>
    <row r="2732" spans="5:8" ht="15" x14ac:dyDescent="0.25">
      <c r="E2732"/>
      <c r="H2732"/>
    </row>
    <row r="2733" spans="5:8" ht="15" x14ac:dyDescent="0.25">
      <c r="E2733"/>
      <c r="H2733"/>
    </row>
    <row r="2734" spans="5:8" ht="15" x14ac:dyDescent="0.25">
      <c r="E2734"/>
      <c r="H2734"/>
    </row>
    <row r="2735" spans="5:8" ht="15" x14ac:dyDescent="0.25">
      <c r="E2735"/>
      <c r="H2735"/>
    </row>
    <row r="2736" spans="5:8" ht="15" x14ac:dyDescent="0.25">
      <c r="E2736"/>
      <c r="H2736"/>
    </row>
    <row r="2737" spans="5:8" ht="15" x14ac:dyDescent="0.25">
      <c r="E2737"/>
      <c r="H2737"/>
    </row>
    <row r="2738" spans="5:8" ht="15" x14ac:dyDescent="0.25">
      <c r="E2738"/>
      <c r="H2738"/>
    </row>
    <row r="2739" spans="5:8" ht="15" x14ac:dyDescent="0.25">
      <c r="E2739"/>
      <c r="H2739"/>
    </row>
    <row r="2740" spans="5:8" ht="15" x14ac:dyDescent="0.25">
      <c r="E2740"/>
      <c r="H2740"/>
    </row>
    <row r="2741" spans="5:8" ht="15" x14ac:dyDescent="0.25">
      <c r="E2741"/>
      <c r="H2741"/>
    </row>
    <row r="2742" spans="5:8" ht="15" x14ac:dyDescent="0.25">
      <c r="E2742"/>
      <c r="H2742"/>
    </row>
    <row r="2743" spans="5:8" ht="15" x14ac:dyDescent="0.25">
      <c r="E2743"/>
      <c r="H2743"/>
    </row>
    <row r="2744" spans="5:8" ht="15" x14ac:dyDescent="0.25">
      <c r="E2744"/>
      <c r="H2744"/>
    </row>
    <row r="2745" spans="5:8" ht="15" x14ac:dyDescent="0.25">
      <c r="E2745"/>
      <c r="H2745"/>
    </row>
    <row r="2746" spans="5:8" ht="15" x14ac:dyDescent="0.25">
      <c r="E2746"/>
      <c r="H2746"/>
    </row>
    <row r="2747" spans="5:8" ht="15" x14ac:dyDescent="0.25">
      <c r="E2747"/>
      <c r="H2747"/>
    </row>
    <row r="2748" spans="5:8" ht="15" x14ac:dyDescent="0.25">
      <c r="E2748"/>
      <c r="H2748"/>
    </row>
    <row r="2749" spans="5:8" ht="15" x14ac:dyDescent="0.25">
      <c r="E2749"/>
      <c r="H2749"/>
    </row>
    <row r="2750" spans="5:8" ht="15" x14ac:dyDescent="0.25">
      <c r="E2750"/>
      <c r="H2750"/>
    </row>
    <row r="2751" spans="5:8" ht="15" x14ac:dyDescent="0.25">
      <c r="E2751"/>
      <c r="H2751"/>
    </row>
    <row r="2752" spans="5:8" ht="15" x14ac:dyDescent="0.25">
      <c r="E2752"/>
      <c r="H2752"/>
    </row>
    <row r="2753" spans="5:8" ht="15" x14ac:dyDescent="0.25">
      <c r="E2753"/>
      <c r="H2753"/>
    </row>
    <row r="2754" spans="5:8" ht="15" x14ac:dyDescent="0.25">
      <c r="E2754"/>
      <c r="H2754"/>
    </row>
    <row r="2755" spans="5:8" ht="15" x14ac:dyDescent="0.25">
      <c r="E2755"/>
      <c r="H2755"/>
    </row>
    <row r="2756" spans="5:8" ht="15" x14ac:dyDescent="0.25">
      <c r="E2756"/>
      <c r="H2756"/>
    </row>
    <row r="2757" spans="5:8" ht="15" x14ac:dyDescent="0.25">
      <c r="E2757"/>
      <c r="H2757"/>
    </row>
    <row r="2758" spans="5:8" ht="15" x14ac:dyDescent="0.25">
      <c r="E2758"/>
      <c r="H2758"/>
    </row>
    <row r="2759" spans="5:8" ht="15" x14ac:dyDescent="0.25">
      <c r="E2759"/>
      <c r="H2759"/>
    </row>
    <row r="2760" spans="5:8" ht="15" x14ac:dyDescent="0.25">
      <c r="E2760"/>
      <c r="H2760"/>
    </row>
    <row r="2761" spans="5:8" ht="15" x14ac:dyDescent="0.25">
      <c r="E2761"/>
      <c r="H2761"/>
    </row>
    <row r="2762" spans="5:8" ht="15" x14ac:dyDescent="0.25">
      <c r="E2762"/>
      <c r="H2762"/>
    </row>
    <row r="2763" spans="5:8" ht="15" x14ac:dyDescent="0.25">
      <c r="E2763"/>
      <c r="H2763"/>
    </row>
    <row r="2764" spans="5:8" ht="15" x14ac:dyDescent="0.25">
      <c r="E2764"/>
      <c r="H2764"/>
    </row>
    <row r="2765" spans="5:8" ht="15" x14ac:dyDescent="0.25">
      <c r="E2765"/>
      <c r="H2765"/>
    </row>
    <row r="2766" spans="5:8" ht="15" x14ac:dyDescent="0.25">
      <c r="E2766"/>
      <c r="H2766"/>
    </row>
    <row r="2767" spans="5:8" ht="15" x14ac:dyDescent="0.25">
      <c r="E2767"/>
      <c r="H2767"/>
    </row>
    <row r="2768" spans="5:8" ht="15" x14ac:dyDescent="0.25">
      <c r="E2768"/>
      <c r="H2768"/>
    </row>
    <row r="2769" spans="5:8" ht="15" x14ac:dyDescent="0.25">
      <c r="E2769"/>
      <c r="H2769"/>
    </row>
    <row r="2770" spans="5:8" ht="15" x14ac:dyDescent="0.25">
      <c r="E2770"/>
      <c r="H2770"/>
    </row>
    <row r="2771" spans="5:8" ht="15" x14ac:dyDescent="0.25">
      <c r="E2771"/>
      <c r="H2771"/>
    </row>
    <row r="2772" spans="5:8" ht="15" x14ac:dyDescent="0.25">
      <c r="E2772"/>
      <c r="H2772"/>
    </row>
    <row r="2773" spans="5:8" ht="15" x14ac:dyDescent="0.25">
      <c r="E2773"/>
      <c r="H2773"/>
    </row>
    <row r="2774" spans="5:8" ht="15" x14ac:dyDescent="0.25">
      <c r="E2774"/>
      <c r="H2774"/>
    </row>
    <row r="2775" spans="5:8" ht="15" x14ac:dyDescent="0.25">
      <c r="E2775"/>
      <c r="H2775"/>
    </row>
    <row r="2776" spans="5:8" ht="15" x14ac:dyDescent="0.25">
      <c r="E2776"/>
      <c r="H2776"/>
    </row>
    <row r="2777" spans="5:8" ht="15" x14ac:dyDescent="0.25">
      <c r="E2777"/>
      <c r="H2777"/>
    </row>
    <row r="2778" spans="5:8" ht="15" x14ac:dyDescent="0.25">
      <c r="E2778"/>
      <c r="H2778"/>
    </row>
    <row r="2779" spans="5:8" ht="15" x14ac:dyDescent="0.25">
      <c r="E2779"/>
      <c r="H2779"/>
    </row>
    <row r="2780" spans="5:8" ht="15" x14ac:dyDescent="0.25">
      <c r="E2780"/>
      <c r="H2780"/>
    </row>
    <row r="2781" spans="5:8" ht="15" x14ac:dyDescent="0.25">
      <c r="E2781"/>
      <c r="H2781"/>
    </row>
    <row r="2782" spans="5:8" ht="15" x14ac:dyDescent="0.25">
      <c r="E2782"/>
      <c r="H2782"/>
    </row>
    <row r="2783" spans="5:8" ht="15" x14ac:dyDescent="0.25">
      <c r="E2783"/>
      <c r="H2783"/>
    </row>
    <row r="2784" spans="5:8" ht="15" x14ac:dyDescent="0.25">
      <c r="E2784"/>
      <c r="H2784"/>
    </row>
    <row r="2785" spans="5:8" ht="15" x14ac:dyDescent="0.25">
      <c r="E2785"/>
      <c r="H2785"/>
    </row>
    <row r="2786" spans="5:8" ht="15" x14ac:dyDescent="0.25">
      <c r="E2786"/>
      <c r="H2786"/>
    </row>
    <row r="2787" spans="5:8" ht="15" x14ac:dyDescent="0.25">
      <c r="E2787"/>
      <c r="H2787"/>
    </row>
    <row r="2788" spans="5:8" ht="15" x14ac:dyDescent="0.25">
      <c r="E2788"/>
      <c r="H2788"/>
    </row>
    <row r="2789" spans="5:8" ht="15" x14ac:dyDescent="0.25">
      <c r="E2789"/>
      <c r="H2789"/>
    </row>
    <row r="2790" spans="5:8" ht="15" x14ac:dyDescent="0.25">
      <c r="E2790"/>
      <c r="H2790"/>
    </row>
    <row r="2791" spans="5:8" ht="15" x14ac:dyDescent="0.25">
      <c r="E2791"/>
      <c r="H2791"/>
    </row>
    <row r="2792" spans="5:8" ht="15" x14ac:dyDescent="0.25">
      <c r="E2792"/>
      <c r="H2792"/>
    </row>
    <row r="2793" spans="5:8" ht="15" x14ac:dyDescent="0.25">
      <c r="E2793"/>
      <c r="H2793"/>
    </row>
    <row r="2794" spans="5:8" ht="15" x14ac:dyDescent="0.25">
      <c r="E2794"/>
      <c r="H2794"/>
    </row>
    <row r="2795" spans="5:8" ht="15" x14ac:dyDescent="0.25">
      <c r="E2795"/>
      <c r="H2795"/>
    </row>
    <row r="2796" spans="5:8" ht="15" x14ac:dyDescent="0.25">
      <c r="E2796"/>
      <c r="H2796"/>
    </row>
    <row r="2797" spans="5:8" ht="15" x14ac:dyDescent="0.25">
      <c r="E2797"/>
      <c r="H2797"/>
    </row>
    <row r="2798" spans="5:8" ht="15" x14ac:dyDescent="0.25">
      <c r="E2798"/>
      <c r="H2798"/>
    </row>
    <row r="2799" spans="5:8" ht="15" x14ac:dyDescent="0.25">
      <c r="E2799"/>
      <c r="H2799"/>
    </row>
    <row r="2800" spans="5:8" ht="15" x14ac:dyDescent="0.25">
      <c r="E2800"/>
      <c r="H2800"/>
    </row>
    <row r="2801" spans="5:8" ht="15" x14ac:dyDescent="0.25">
      <c r="E2801"/>
      <c r="H2801"/>
    </row>
    <row r="2802" spans="5:8" ht="15" x14ac:dyDescent="0.25">
      <c r="E2802"/>
      <c r="H2802"/>
    </row>
    <row r="2803" spans="5:8" ht="15" x14ac:dyDescent="0.25">
      <c r="E2803"/>
      <c r="H2803"/>
    </row>
    <row r="2804" spans="5:8" ht="15" x14ac:dyDescent="0.25">
      <c r="E2804"/>
      <c r="H2804"/>
    </row>
    <row r="2805" spans="5:8" ht="15" x14ac:dyDescent="0.25">
      <c r="E2805"/>
      <c r="H2805"/>
    </row>
    <row r="2806" spans="5:8" ht="15" x14ac:dyDescent="0.25">
      <c r="E2806"/>
      <c r="H2806"/>
    </row>
    <row r="2807" spans="5:8" ht="15" x14ac:dyDescent="0.25">
      <c r="E2807"/>
      <c r="H2807"/>
    </row>
    <row r="2808" spans="5:8" ht="15" x14ac:dyDescent="0.25">
      <c r="E2808"/>
      <c r="H2808"/>
    </row>
    <row r="2809" spans="5:8" ht="15" x14ac:dyDescent="0.25">
      <c r="E2809"/>
      <c r="H2809"/>
    </row>
    <row r="2810" spans="5:8" ht="15" x14ac:dyDescent="0.25">
      <c r="E2810"/>
      <c r="H2810"/>
    </row>
    <row r="2811" spans="5:8" ht="15" x14ac:dyDescent="0.25">
      <c r="E2811"/>
      <c r="H2811"/>
    </row>
    <row r="2812" spans="5:8" ht="15" x14ac:dyDescent="0.25">
      <c r="E2812"/>
      <c r="H2812"/>
    </row>
    <row r="2813" spans="5:8" ht="15" x14ac:dyDescent="0.25">
      <c r="E2813"/>
      <c r="H2813"/>
    </row>
    <row r="2814" spans="5:8" ht="15" x14ac:dyDescent="0.25">
      <c r="E2814"/>
      <c r="H2814"/>
    </row>
    <row r="2815" spans="5:8" ht="15" x14ac:dyDescent="0.25">
      <c r="E2815"/>
      <c r="H2815"/>
    </row>
    <row r="2816" spans="5:8" ht="15" x14ac:dyDescent="0.25">
      <c r="E2816"/>
      <c r="H2816"/>
    </row>
    <row r="2817" spans="5:8" ht="15" x14ac:dyDescent="0.25">
      <c r="E2817"/>
      <c r="H2817"/>
    </row>
    <row r="2818" spans="5:8" ht="15" x14ac:dyDescent="0.25">
      <c r="E2818"/>
      <c r="H2818"/>
    </row>
    <row r="2819" spans="5:8" ht="15" x14ac:dyDescent="0.25">
      <c r="E2819"/>
      <c r="H2819"/>
    </row>
    <row r="2820" spans="5:8" ht="15" x14ac:dyDescent="0.25">
      <c r="E2820"/>
      <c r="H2820"/>
    </row>
    <row r="2821" spans="5:8" ht="15" x14ac:dyDescent="0.25">
      <c r="E2821"/>
      <c r="H2821"/>
    </row>
    <row r="2822" spans="5:8" ht="15" x14ac:dyDescent="0.25">
      <c r="E2822"/>
      <c r="H2822"/>
    </row>
    <row r="2823" spans="5:8" ht="15" x14ac:dyDescent="0.25">
      <c r="E2823"/>
      <c r="H2823"/>
    </row>
    <row r="2824" spans="5:8" ht="15" x14ac:dyDescent="0.25">
      <c r="E2824"/>
      <c r="H2824"/>
    </row>
    <row r="2825" spans="5:8" ht="15" x14ac:dyDescent="0.25">
      <c r="E2825"/>
      <c r="H2825"/>
    </row>
    <row r="2826" spans="5:8" ht="15" x14ac:dyDescent="0.25">
      <c r="E2826"/>
      <c r="H2826"/>
    </row>
    <row r="2827" spans="5:8" ht="15" x14ac:dyDescent="0.25">
      <c r="E2827"/>
      <c r="H2827"/>
    </row>
    <row r="2828" spans="5:8" ht="15" x14ac:dyDescent="0.25">
      <c r="E2828"/>
      <c r="H2828"/>
    </row>
    <row r="2829" spans="5:8" ht="15" x14ac:dyDescent="0.25">
      <c r="E2829"/>
      <c r="H2829"/>
    </row>
    <row r="2830" spans="5:8" ht="15" x14ac:dyDescent="0.25">
      <c r="E2830"/>
      <c r="H2830"/>
    </row>
    <row r="2831" spans="5:8" ht="15" x14ac:dyDescent="0.25">
      <c r="E2831"/>
      <c r="H2831"/>
    </row>
    <row r="2832" spans="5:8" ht="15" x14ac:dyDescent="0.25">
      <c r="E2832"/>
      <c r="H2832"/>
    </row>
    <row r="2833" spans="5:8" ht="15" x14ac:dyDescent="0.25">
      <c r="E2833"/>
      <c r="H2833"/>
    </row>
    <row r="2834" spans="5:8" ht="15" x14ac:dyDescent="0.25">
      <c r="E2834"/>
      <c r="H2834"/>
    </row>
    <row r="2835" spans="5:8" ht="15" x14ac:dyDescent="0.25">
      <c r="E2835"/>
      <c r="H2835"/>
    </row>
    <row r="2836" spans="5:8" ht="15" x14ac:dyDescent="0.25">
      <c r="E2836"/>
      <c r="H2836"/>
    </row>
    <row r="2837" spans="5:8" ht="15" x14ac:dyDescent="0.25">
      <c r="E2837"/>
      <c r="H2837"/>
    </row>
    <row r="2838" spans="5:8" ht="15" x14ac:dyDescent="0.25">
      <c r="E2838"/>
      <c r="H2838"/>
    </row>
    <row r="2839" spans="5:8" ht="15" x14ac:dyDescent="0.25">
      <c r="E2839"/>
      <c r="H2839"/>
    </row>
    <row r="2840" spans="5:8" ht="15" x14ac:dyDescent="0.25">
      <c r="E2840"/>
      <c r="H2840"/>
    </row>
    <row r="2841" spans="5:8" ht="15" x14ac:dyDescent="0.25">
      <c r="E2841"/>
      <c r="H2841"/>
    </row>
    <row r="2842" spans="5:8" ht="15" x14ac:dyDescent="0.25">
      <c r="E2842"/>
      <c r="H2842"/>
    </row>
    <row r="2843" spans="5:8" ht="15" x14ac:dyDescent="0.25">
      <c r="E2843"/>
      <c r="H2843"/>
    </row>
    <row r="2844" spans="5:8" ht="15" x14ac:dyDescent="0.25">
      <c r="E2844"/>
      <c r="H2844"/>
    </row>
    <row r="2845" spans="5:8" ht="15" x14ac:dyDescent="0.25">
      <c r="E2845"/>
      <c r="H2845"/>
    </row>
    <row r="2846" spans="5:8" ht="15" x14ac:dyDescent="0.25">
      <c r="E2846"/>
      <c r="H2846"/>
    </row>
    <row r="2847" spans="5:8" ht="15" x14ac:dyDescent="0.25">
      <c r="E2847"/>
      <c r="H2847"/>
    </row>
    <row r="2848" spans="5:8" ht="15" x14ac:dyDescent="0.25">
      <c r="E2848"/>
      <c r="H2848"/>
    </row>
    <row r="2849" spans="5:8" ht="15" x14ac:dyDescent="0.25">
      <c r="E2849"/>
      <c r="H2849"/>
    </row>
    <row r="2850" spans="5:8" ht="15" x14ac:dyDescent="0.25">
      <c r="E2850"/>
      <c r="H2850"/>
    </row>
    <row r="2851" spans="5:8" ht="15" x14ac:dyDescent="0.25">
      <c r="E2851"/>
      <c r="H2851"/>
    </row>
    <row r="2852" spans="5:8" ht="15" x14ac:dyDescent="0.25">
      <c r="E2852"/>
      <c r="H2852"/>
    </row>
    <row r="2853" spans="5:8" ht="15" x14ac:dyDescent="0.25">
      <c r="E2853"/>
      <c r="H2853"/>
    </row>
    <row r="2854" spans="5:8" ht="15" x14ac:dyDescent="0.25">
      <c r="E2854"/>
      <c r="H2854"/>
    </row>
    <row r="2855" spans="5:8" ht="15" x14ac:dyDescent="0.25">
      <c r="E2855"/>
      <c r="H2855"/>
    </row>
    <row r="2856" spans="5:8" ht="15" x14ac:dyDescent="0.25">
      <c r="E2856"/>
      <c r="H2856"/>
    </row>
    <row r="2857" spans="5:8" ht="15" x14ac:dyDescent="0.25">
      <c r="E2857"/>
      <c r="H2857"/>
    </row>
    <row r="2858" spans="5:8" ht="15" x14ac:dyDescent="0.25">
      <c r="E2858"/>
      <c r="H2858"/>
    </row>
    <row r="2859" spans="5:8" ht="15" x14ac:dyDescent="0.25">
      <c r="E2859"/>
      <c r="H2859"/>
    </row>
    <row r="2860" spans="5:8" ht="15" x14ac:dyDescent="0.25">
      <c r="E2860"/>
      <c r="H2860"/>
    </row>
    <row r="2861" spans="5:8" ht="15" x14ac:dyDescent="0.25">
      <c r="E2861"/>
      <c r="H2861"/>
    </row>
    <row r="2862" spans="5:8" ht="15" x14ac:dyDescent="0.25">
      <c r="E2862"/>
      <c r="H2862"/>
    </row>
    <row r="2863" spans="5:8" ht="15" x14ac:dyDescent="0.25">
      <c r="E2863"/>
      <c r="H2863"/>
    </row>
    <row r="2864" spans="5:8" ht="15" x14ac:dyDescent="0.25">
      <c r="E2864"/>
      <c r="H2864"/>
    </row>
    <row r="2865" spans="5:8" ht="15" x14ac:dyDescent="0.25">
      <c r="E2865"/>
      <c r="H2865"/>
    </row>
    <row r="2866" spans="5:8" ht="15" x14ac:dyDescent="0.25">
      <c r="E2866"/>
      <c r="H2866"/>
    </row>
    <row r="2867" spans="5:8" ht="15" x14ac:dyDescent="0.25">
      <c r="E2867"/>
      <c r="H2867"/>
    </row>
    <row r="2868" spans="5:8" ht="15" x14ac:dyDescent="0.25">
      <c r="E2868"/>
      <c r="H2868"/>
    </row>
    <row r="2869" spans="5:8" ht="15" x14ac:dyDescent="0.25">
      <c r="E2869"/>
      <c r="H2869"/>
    </row>
    <row r="2870" spans="5:8" ht="15" x14ac:dyDescent="0.25">
      <c r="E2870"/>
      <c r="H2870"/>
    </row>
    <row r="2871" spans="5:8" ht="15" x14ac:dyDescent="0.25">
      <c r="E2871"/>
      <c r="H2871"/>
    </row>
    <row r="2872" spans="5:8" ht="15" x14ac:dyDescent="0.25">
      <c r="E2872"/>
      <c r="H2872"/>
    </row>
    <row r="2873" spans="5:8" ht="15" x14ac:dyDescent="0.25">
      <c r="E2873"/>
      <c r="H2873"/>
    </row>
    <row r="2874" spans="5:8" ht="15" x14ac:dyDescent="0.25">
      <c r="E2874"/>
      <c r="H2874"/>
    </row>
    <row r="2875" spans="5:8" ht="15" x14ac:dyDescent="0.25">
      <c r="E2875"/>
      <c r="H2875"/>
    </row>
    <row r="2876" spans="5:8" ht="15" x14ac:dyDescent="0.25">
      <c r="E2876"/>
      <c r="H2876"/>
    </row>
    <row r="2877" spans="5:8" ht="15" x14ac:dyDescent="0.25">
      <c r="E2877"/>
      <c r="H2877"/>
    </row>
    <row r="2878" spans="5:8" ht="15" x14ac:dyDescent="0.25">
      <c r="E2878"/>
      <c r="H2878"/>
    </row>
    <row r="2879" spans="5:8" ht="15" x14ac:dyDescent="0.25">
      <c r="E2879"/>
      <c r="H2879"/>
    </row>
    <row r="2880" spans="5:8" ht="15" x14ac:dyDescent="0.25">
      <c r="E2880"/>
      <c r="H2880"/>
    </row>
    <row r="2881" spans="5:8" ht="15" x14ac:dyDescent="0.25">
      <c r="E2881"/>
      <c r="H2881"/>
    </row>
    <row r="2882" spans="5:8" ht="15" x14ac:dyDescent="0.25">
      <c r="E2882"/>
      <c r="H2882"/>
    </row>
    <row r="2883" spans="5:8" ht="15" x14ac:dyDescent="0.25">
      <c r="E2883"/>
      <c r="H2883"/>
    </row>
    <row r="2884" spans="5:8" ht="15" x14ac:dyDescent="0.25">
      <c r="E2884"/>
      <c r="H2884"/>
    </row>
    <row r="2885" spans="5:8" ht="15" x14ac:dyDescent="0.25">
      <c r="E2885"/>
      <c r="H2885"/>
    </row>
    <row r="2886" spans="5:8" ht="15" x14ac:dyDescent="0.25">
      <c r="E2886"/>
      <c r="H2886"/>
    </row>
    <row r="2887" spans="5:8" ht="15" x14ac:dyDescent="0.25">
      <c r="E2887"/>
      <c r="H2887"/>
    </row>
    <row r="2888" spans="5:8" ht="15" x14ac:dyDescent="0.25">
      <c r="E2888"/>
      <c r="H2888"/>
    </row>
    <row r="2889" spans="5:8" ht="15" x14ac:dyDescent="0.25">
      <c r="E2889"/>
      <c r="H2889"/>
    </row>
    <row r="2890" spans="5:8" ht="15" x14ac:dyDescent="0.25">
      <c r="E2890"/>
      <c r="H2890"/>
    </row>
    <row r="2891" spans="5:8" ht="15" x14ac:dyDescent="0.25">
      <c r="E2891"/>
      <c r="H2891"/>
    </row>
    <row r="2892" spans="5:8" ht="15" x14ac:dyDescent="0.25">
      <c r="E2892"/>
      <c r="H2892"/>
    </row>
    <row r="2893" spans="5:8" ht="15" x14ac:dyDescent="0.25">
      <c r="E2893"/>
      <c r="H2893"/>
    </row>
    <row r="2894" spans="5:8" ht="15" x14ac:dyDescent="0.25">
      <c r="E2894"/>
      <c r="H2894"/>
    </row>
    <row r="2895" spans="5:8" ht="15" x14ac:dyDescent="0.25">
      <c r="E2895"/>
      <c r="H2895"/>
    </row>
    <row r="2896" spans="5:8" ht="15" x14ac:dyDescent="0.25">
      <c r="E2896"/>
      <c r="H2896"/>
    </row>
    <row r="2897" spans="5:8" ht="15" x14ac:dyDescent="0.25">
      <c r="E2897"/>
      <c r="H2897"/>
    </row>
    <row r="2898" spans="5:8" ht="15" x14ac:dyDescent="0.25">
      <c r="E2898"/>
      <c r="H2898"/>
    </row>
    <row r="2899" spans="5:8" ht="15" x14ac:dyDescent="0.25">
      <c r="E2899"/>
      <c r="H2899"/>
    </row>
    <row r="2900" spans="5:8" ht="15" x14ac:dyDescent="0.25">
      <c r="E2900"/>
      <c r="H2900"/>
    </row>
    <row r="2901" spans="5:8" ht="15" x14ac:dyDescent="0.25">
      <c r="E2901"/>
      <c r="H2901"/>
    </row>
    <row r="2902" spans="5:8" ht="15" x14ac:dyDescent="0.25">
      <c r="E2902"/>
      <c r="H2902"/>
    </row>
    <row r="2903" spans="5:8" ht="15" x14ac:dyDescent="0.25">
      <c r="E2903"/>
      <c r="H2903"/>
    </row>
    <row r="2904" spans="5:8" ht="15" x14ac:dyDescent="0.25">
      <c r="E2904"/>
      <c r="H2904"/>
    </row>
    <row r="2905" spans="5:8" ht="15" x14ac:dyDescent="0.25">
      <c r="E2905"/>
      <c r="H2905"/>
    </row>
    <row r="2906" spans="5:8" ht="15" x14ac:dyDescent="0.25">
      <c r="E2906"/>
      <c r="H2906"/>
    </row>
    <row r="2907" spans="5:8" ht="15" x14ac:dyDescent="0.25">
      <c r="E2907"/>
      <c r="H2907"/>
    </row>
    <row r="2908" spans="5:8" ht="15" x14ac:dyDescent="0.25">
      <c r="E2908"/>
      <c r="H2908"/>
    </row>
    <row r="2909" spans="5:8" ht="15" x14ac:dyDescent="0.25">
      <c r="E2909"/>
      <c r="H2909"/>
    </row>
    <row r="2910" spans="5:8" ht="15" x14ac:dyDescent="0.25">
      <c r="E2910"/>
      <c r="H2910"/>
    </row>
    <row r="2911" spans="5:8" ht="15" x14ac:dyDescent="0.25">
      <c r="E2911"/>
      <c r="H2911"/>
    </row>
    <row r="2912" spans="5:8" ht="15" x14ac:dyDescent="0.25">
      <c r="E2912"/>
      <c r="H2912"/>
    </row>
    <row r="2913" spans="5:8" ht="15" x14ac:dyDescent="0.25">
      <c r="E2913"/>
      <c r="H2913"/>
    </row>
    <row r="2914" spans="5:8" ht="15" x14ac:dyDescent="0.25">
      <c r="E2914"/>
      <c r="H2914"/>
    </row>
    <row r="2915" spans="5:8" ht="15" x14ac:dyDescent="0.25">
      <c r="E2915"/>
      <c r="H2915"/>
    </row>
    <row r="2916" spans="5:8" ht="15" x14ac:dyDescent="0.25">
      <c r="E2916"/>
      <c r="H2916"/>
    </row>
    <row r="2917" spans="5:8" ht="15" x14ac:dyDescent="0.25">
      <c r="E2917"/>
      <c r="H2917"/>
    </row>
    <row r="2918" spans="5:8" ht="15" x14ac:dyDescent="0.25">
      <c r="E2918"/>
      <c r="H2918"/>
    </row>
    <row r="2919" spans="5:8" ht="15" x14ac:dyDescent="0.25">
      <c r="E2919"/>
      <c r="H2919"/>
    </row>
    <row r="2920" spans="5:8" ht="15" x14ac:dyDescent="0.25">
      <c r="E2920"/>
      <c r="H2920"/>
    </row>
    <row r="2921" spans="5:8" ht="15" x14ac:dyDescent="0.25">
      <c r="E2921"/>
      <c r="H2921"/>
    </row>
    <row r="2922" spans="5:8" ht="15" x14ac:dyDescent="0.25">
      <c r="E2922"/>
      <c r="H2922"/>
    </row>
    <row r="2923" spans="5:8" ht="15" x14ac:dyDescent="0.25">
      <c r="E2923"/>
      <c r="H2923"/>
    </row>
    <row r="2924" spans="5:8" ht="15" x14ac:dyDescent="0.25">
      <c r="E2924"/>
      <c r="H2924"/>
    </row>
    <row r="2925" spans="5:8" ht="15" x14ac:dyDescent="0.25">
      <c r="E2925"/>
      <c r="H2925"/>
    </row>
    <row r="2926" spans="5:8" ht="15" x14ac:dyDescent="0.25">
      <c r="E2926"/>
      <c r="H2926"/>
    </row>
    <row r="2927" spans="5:8" ht="15" x14ac:dyDescent="0.25">
      <c r="E2927"/>
      <c r="H2927"/>
    </row>
    <row r="2928" spans="5:8" ht="15" x14ac:dyDescent="0.25">
      <c r="E2928"/>
      <c r="H2928"/>
    </row>
    <row r="2929" spans="5:8" ht="15" x14ac:dyDescent="0.25">
      <c r="E2929"/>
      <c r="H2929"/>
    </row>
    <row r="2930" spans="5:8" ht="15" x14ac:dyDescent="0.25">
      <c r="E2930"/>
      <c r="H2930"/>
    </row>
    <row r="2931" spans="5:8" ht="15" x14ac:dyDescent="0.25">
      <c r="E2931"/>
      <c r="H2931"/>
    </row>
    <row r="2932" spans="5:8" ht="15" x14ac:dyDescent="0.25">
      <c r="E2932"/>
      <c r="H2932"/>
    </row>
    <row r="2933" spans="5:8" ht="15" x14ac:dyDescent="0.25">
      <c r="E2933"/>
      <c r="H2933"/>
    </row>
    <row r="2934" spans="5:8" ht="15" x14ac:dyDescent="0.25">
      <c r="E2934"/>
      <c r="H2934"/>
    </row>
    <row r="2935" spans="5:8" ht="15" x14ac:dyDescent="0.25">
      <c r="E2935"/>
      <c r="H2935"/>
    </row>
    <row r="2936" spans="5:8" ht="15" x14ac:dyDescent="0.25">
      <c r="E2936"/>
      <c r="H2936"/>
    </row>
    <row r="2937" spans="5:8" ht="15" x14ac:dyDescent="0.25">
      <c r="E2937"/>
      <c r="H2937"/>
    </row>
    <row r="2938" spans="5:8" ht="15" x14ac:dyDescent="0.25">
      <c r="E2938"/>
      <c r="H2938"/>
    </row>
    <row r="2939" spans="5:8" ht="15" x14ac:dyDescent="0.25">
      <c r="E2939"/>
      <c r="H2939"/>
    </row>
    <row r="2940" spans="5:8" ht="15" x14ac:dyDescent="0.25">
      <c r="E2940"/>
      <c r="H2940"/>
    </row>
    <row r="2941" spans="5:8" ht="15" x14ac:dyDescent="0.25">
      <c r="E2941"/>
      <c r="H2941"/>
    </row>
    <row r="2942" spans="5:8" ht="15" x14ac:dyDescent="0.25">
      <c r="E2942"/>
      <c r="H2942"/>
    </row>
    <row r="2943" spans="5:8" ht="15" x14ac:dyDescent="0.25">
      <c r="E2943"/>
      <c r="H2943"/>
    </row>
    <row r="2944" spans="5:8" ht="15" x14ac:dyDescent="0.25">
      <c r="E2944"/>
      <c r="H2944"/>
    </row>
    <row r="2945" spans="5:8" ht="15" x14ac:dyDescent="0.25">
      <c r="E2945"/>
      <c r="H2945"/>
    </row>
    <row r="2946" spans="5:8" ht="15" x14ac:dyDescent="0.25">
      <c r="E2946"/>
      <c r="H2946"/>
    </row>
    <row r="2947" spans="5:8" ht="15" x14ac:dyDescent="0.25">
      <c r="E2947"/>
      <c r="H2947"/>
    </row>
    <row r="2948" spans="5:8" ht="15" x14ac:dyDescent="0.25">
      <c r="E2948"/>
      <c r="H2948"/>
    </row>
    <row r="2949" spans="5:8" ht="15" x14ac:dyDescent="0.25">
      <c r="E2949"/>
      <c r="H2949"/>
    </row>
    <row r="2950" spans="5:8" ht="15" x14ac:dyDescent="0.25">
      <c r="E2950"/>
      <c r="H2950"/>
    </row>
    <row r="2951" spans="5:8" ht="15" x14ac:dyDescent="0.25">
      <c r="E2951"/>
      <c r="H2951"/>
    </row>
    <row r="2952" spans="5:8" ht="15" x14ac:dyDescent="0.25">
      <c r="E2952"/>
      <c r="H2952"/>
    </row>
    <row r="2953" spans="5:8" ht="15" x14ac:dyDescent="0.25">
      <c r="E2953"/>
      <c r="H2953"/>
    </row>
    <row r="2954" spans="5:8" ht="15" x14ac:dyDescent="0.25">
      <c r="E2954"/>
      <c r="H2954"/>
    </row>
    <row r="2955" spans="5:8" ht="15" x14ac:dyDescent="0.25">
      <c r="E2955"/>
      <c r="H2955"/>
    </row>
    <row r="2956" spans="5:8" ht="15" x14ac:dyDescent="0.25">
      <c r="E2956"/>
      <c r="H2956"/>
    </row>
    <row r="2957" spans="5:8" ht="15" x14ac:dyDescent="0.25">
      <c r="E2957"/>
      <c r="H2957"/>
    </row>
    <row r="2958" spans="5:8" ht="15" x14ac:dyDescent="0.25">
      <c r="E2958"/>
      <c r="H2958"/>
    </row>
    <row r="2959" spans="5:8" ht="15" x14ac:dyDescent="0.25">
      <c r="E2959"/>
      <c r="H2959"/>
    </row>
    <row r="2960" spans="5:8" ht="15" x14ac:dyDescent="0.25">
      <c r="E2960"/>
      <c r="H2960"/>
    </row>
    <row r="2961" spans="5:8" ht="15" x14ac:dyDescent="0.25">
      <c r="E2961"/>
      <c r="H2961"/>
    </row>
    <row r="2962" spans="5:8" ht="15" x14ac:dyDescent="0.25">
      <c r="E2962"/>
      <c r="H2962"/>
    </row>
    <row r="2963" spans="5:8" ht="15" x14ac:dyDescent="0.25">
      <c r="E2963"/>
      <c r="H2963"/>
    </row>
    <row r="2964" spans="5:8" ht="15" x14ac:dyDescent="0.25">
      <c r="E2964"/>
      <c r="H2964"/>
    </row>
    <row r="2965" spans="5:8" ht="15" x14ac:dyDescent="0.25">
      <c r="E2965"/>
      <c r="H2965"/>
    </row>
    <row r="2966" spans="5:8" ht="15" x14ac:dyDescent="0.25">
      <c r="E2966"/>
      <c r="H2966"/>
    </row>
    <row r="2967" spans="5:8" ht="15" x14ac:dyDescent="0.25">
      <c r="E2967"/>
      <c r="H2967"/>
    </row>
    <row r="2968" spans="5:8" ht="15" x14ac:dyDescent="0.25">
      <c r="E2968"/>
      <c r="H2968"/>
    </row>
    <row r="2969" spans="5:8" ht="15" x14ac:dyDescent="0.25">
      <c r="E2969"/>
      <c r="H2969"/>
    </row>
    <row r="2970" spans="5:8" ht="15" x14ac:dyDescent="0.25">
      <c r="E2970"/>
      <c r="H2970"/>
    </row>
    <row r="2971" spans="5:8" ht="15" x14ac:dyDescent="0.25">
      <c r="E2971"/>
      <c r="H2971"/>
    </row>
    <row r="2972" spans="5:8" ht="15" x14ac:dyDescent="0.25">
      <c r="E2972"/>
      <c r="H2972"/>
    </row>
    <row r="2973" spans="5:8" ht="15" x14ac:dyDescent="0.25">
      <c r="E2973"/>
      <c r="H2973"/>
    </row>
    <row r="2974" spans="5:8" ht="15" x14ac:dyDescent="0.25">
      <c r="E2974"/>
      <c r="H2974"/>
    </row>
    <row r="2975" spans="5:8" ht="15" x14ac:dyDescent="0.25">
      <c r="E2975"/>
      <c r="H2975"/>
    </row>
    <row r="2976" spans="5:8" ht="15" x14ac:dyDescent="0.25">
      <c r="E2976"/>
      <c r="H2976"/>
    </row>
    <row r="2977" spans="5:8" ht="15" x14ac:dyDescent="0.25">
      <c r="E2977"/>
      <c r="H2977"/>
    </row>
    <row r="2978" spans="5:8" ht="15" x14ac:dyDescent="0.25">
      <c r="E2978"/>
      <c r="H2978"/>
    </row>
    <row r="2979" spans="5:8" ht="15" x14ac:dyDescent="0.25">
      <c r="E2979"/>
      <c r="H2979"/>
    </row>
    <row r="2980" spans="5:8" ht="15" x14ac:dyDescent="0.25">
      <c r="E2980"/>
      <c r="H2980"/>
    </row>
    <row r="2981" spans="5:8" ht="15" x14ac:dyDescent="0.25">
      <c r="E2981"/>
      <c r="H2981"/>
    </row>
    <row r="2982" spans="5:8" ht="15" x14ac:dyDescent="0.25">
      <c r="E2982"/>
      <c r="H2982"/>
    </row>
    <row r="2983" spans="5:8" ht="15" x14ac:dyDescent="0.25">
      <c r="E2983"/>
      <c r="H2983"/>
    </row>
    <row r="2984" spans="5:8" ht="15" x14ac:dyDescent="0.25">
      <c r="E2984"/>
      <c r="H2984"/>
    </row>
    <row r="2985" spans="5:8" ht="15" x14ac:dyDescent="0.25">
      <c r="E2985"/>
      <c r="H2985"/>
    </row>
    <row r="2986" spans="5:8" ht="15" x14ac:dyDescent="0.25">
      <c r="E2986"/>
      <c r="H2986"/>
    </row>
    <row r="2987" spans="5:8" ht="15" x14ac:dyDescent="0.25">
      <c r="E2987"/>
      <c r="H2987"/>
    </row>
    <row r="2988" spans="5:8" ht="15" x14ac:dyDescent="0.25">
      <c r="E2988"/>
      <c r="H2988"/>
    </row>
    <row r="2989" spans="5:8" ht="15" x14ac:dyDescent="0.25">
      <c r="E2989"/>
      <c r="H2989"/>
    </row>
    <row r="2990" spans="5:8" ht="15" x14ac:dyDescent="0.25">
      <c r="E2990"/>
      <c r="H2990"/>
    </row>
    <row r="2991" spans="5:8" ht="15" x14ac:dyDescent="0.25">
      <c r="E2991"/>
      <c r="H2991"/>
    </row>
    <row r="2992" spans="5:8" ht="15" x14ac:dyDescent="0.25">
      <c r="E2992"/>
      <c r="H2992"/>
    </row>
    <row r="2993" spans="5:8" ht="15" x14ac:dyDescent="0.25">
      <c r="E2993"/>
      <c r="H2993"/>
    </row>
    <row r="2994" spans="5:8" ht="15" x14ac:dyDescent="0.25">
      <c r="E2994"/>
      <c r="H2994"/>
    </row>
    <row r="2995" spans="5:8" ht="15" x14ac:dyDescent="0.25">
      <c r="E2995"/>
      <c r="H2995"/>
    </row>
    <row r="2996" spans="5:8" ht="15" x14ac:dyDescent="0.25">
      <c r="E2996"/>
      <c r="H2996"/>
    </row>
    <row r="2997" spans="5:8" ht="15" x14ac:dyDescent="0.25">
      <c r="E2997"/>
      <c r="H2997"/>
    </row>
    <row r="2998" spans="5:8" ht="15" x14ac:dyDescent="0.25">
      <c r="E2998"/>
      <c r="H2998"/>
    </row>
    <row r="2999" spans="5:8" ht="15" x14ac:dyDescent="0.25">
      <c r="E2999"/>
      <c r="H2999"/>
    </row>
    <row r="3000" spans="5:8" ht="15" x14ac:dyDescent="0.25">
      <c r="E3000"/>
      <c r="H3000"/>
    </row>
    <row r="3001" spans="5:8" ht="15" x14ac:dyDescent="0.25">
      <c r="E3001"/>
      <c r="H3001"/>
    </row>
    <row r="3002" spans="5:8" ht="15" x14ac:dyDescent="0.25">
      <c r="E3002"/>
      <c r="H3002"/>
    </row>
    <row r="3003" spans="5:8" ht="15" x14ac:dyDescent="0.25">
      <c r="E3003"/>
      <c r="H3003"/>
    </row>
    <row r="3004" spans="5:8" ht="15" x14ac:dyDescent="0.25">
      <c r="E3004"/>
      <c r="H3004"/>
    </row>
    <row r="3005" spans="5:8" ht="15" x14ac:dyDescent="0.25">
      <c r="E3005"/>
      <c r="H3005"/>
    </row>
    <row r="3006" spans="5:8" ht="15" x14ac:dyDescent="0.25">
      <c r="E3006"/>
      <c r="H3006"/>
    </row>
    <row r="3007" spans="5:8" ht="15" x14ac:dyDescent="0.25">
      <c r="E3007"/>
      <c r="H3007"/>
    </row>
    <row r="3008" spans="5:8" ht="15" x14ac:dyDescent="0.25">
      <c r="E3008"/>
      <c r="H3008"/>
    </row>
    <row r="3009" spans="5:8" ht="15" x14ac:dyDescent="0.25">
      <c r="E3009"/>
      <c r="H3009"/>
    </row>
    <row r="3010" spans="5:8" ht="15" x14ac:dyDescent="0.25">
      <c r="E3010"/>
      <c r="H3010"/>
    </row>
    <row r="3011" spans="5:8" ht="15" x14ac:dyDescent="0.25">
      <c r="E3011"/>
      <c r="H3011"/>
    </row>
    <row r="3012" spans="5:8" ht="15" x14ac:dyDescent="0.25">
      <c r="E3012"/>
      <c r="H3012"/>
    </row>
    <row r="3013" spans="5:8" ht="15" x14ac:dyDescent="0.25">
      <c r="E3013"/>
      <c r="H3013"/>
    </row>
    <row r="3014" spans="5:8" ht="15" x14ac:dyDescent="0.25">
      <c r="E3014"/>
      <c r="H3014"/>
    </row>
    <row r="3015" spans="5:8" ht="15" x14ac:dyDescent="0.25">
      <c r="E3015"/>
      <c r="H3015"/>
    </row>
    <row r="3016" spans="5:8" ht="15" x14ac:dyDescent="0.25">
      <c r="E3016"/>
      <c r="H3016"/>
    </row>
    <row r="3017" spans="5:8" ht="15" x14ac:dyDescent="0.25">
      <c r="E3017"/>
      <c r="H3017"/>
    </row>
    <row r="3018" spans="5:8" ht="15" x14ac:dyDescent="0.25">
      <c r="E3018"/>
      <c r="H3018"/>
    </row>
    <row r="3019" spans="5:8" ht="15" x14ac:dyDescent="0.25">
      <c r="E3019"/>
      <c r="H3019"/>
    </row>
    <row r="3020" spans="5:8" ht="15" x14ac:dyDescent="0.25">
      <c r="E3020"/>
      <c r="H3020"/>
    </row>
    <row r="3021" spans="5:8" ht="15" x14ac:dyDescent="0.25">
      <c r="E3021"/>
      <c r="H3021"/>
    </row>
    <row r="3022" spans="5:8" ht="15" x14ac:dyDescent="0.25">
      <c r="E3022"/>
      <c r="H3022"/>
    </row>
    <row r="3023" spans="5:8" ht="15" x14ac:dyDescent="0.25">
      <c r="E3023"/>
      <c r="H3023"/>
    </row>
    <row r="3024" spans="5:8" ht="15" x14ac:dyDescent="0.25">
      <c r="E3024"/>
      <c r="H3024"/>
    </row>
    <row r="3025" spans="5:8" ht="15" x14ac:dyDescent="0.25">
      <c r="E3025"/>
      <c r="H3025"/>
    </row>
    <row r="3026" spans="5:8" ht="15" x14ac:dyDescent="0.25">
      <c r="E3026"/>
      <c r="H3026"/>
    </row>
    <row r="3027" spans="5:8" ht="15" x14ac:dyDescent="0.25">
      <c r="E3027"/>
      <c r="H3027"/>
    </row>
    <row r="3028" spans="5:8" ht="15" x14ac:dyDescent="0.25">
      <c r="E3028"/>
      <c r="H3028"/>
    </row>
    <row r="3029" spans="5:8" ht="15" x14ac:dyDescent="0.25">
      <c r="E3029"/>
      <c r="H3029"/>
    </row>
    <row r="3030" spans="5:8" ht="15" x14ac:dyDescent="0.25">
      <c r="E3030"/>
      <c r="H3030"/>
    </row>
    <row r="3031" spans="5:8" ht="15" x14ac:dyDescent="0.25">
      <c r="E3031"/>
      <c r="H3031"/>
    </row>
    <row r="3032" spans="5:8" ht="15" x14ac:dyDescent="0.25">
      <c r="E3032"/>
      <c r="H3032"/>
    </row>
    <row r="3033" spans="5:8" ht="15" x14ac:dyDescent="0.25">
      <c r="E3033"/>
      <c r="H3033"/>
    </row>
    <row r="3034" spans="5:8" ht="15" x14ac:dyDescent="0.25">
      <c r="E3034"/>
      <c r="H3034"/>
    </row>
    <row r="3035" spans="5:8" ht="15" x14ac:dyDescent="0.25">
      <c r="E3035"/>
      <c r="H3035"/>
    </row>
    <row r="3036" spans="5:8" ht="15" x14ac:dyDescent="0.25">
      <c r="E3036"/>
      <c r="H3036"/>
    </row>
    <row r="3037" spans="5:8" ht="15" x14ac:dyDescent="0.25">
      <c r="E3037"/>
      <c r="H3037"/>
    </row>
    <row r="3038" spans="5:8" ht="15" x14ac:dyDescent="0.25">
      <c r="E3038"/>
      <c r="H3038"/>
    </row>
    <row r="3039" spans="5:8" ht="15" x14ac:dyDescent="0.25">
      <c r="E3039"/>
      <c r="H3039"/>
    </row>
    <row r="3040" spans="5:8" ht="15" x14ac:dyDescent="0.25">
      <c r="E3040"/>
      <c r="H3040"/>
    </row>
    <row r="3041" spans="5:8" ht="15" x14ac:dyDescent="0.25">
      <c r="E3041"/>
      <c r="H3041"/>
    </row>
    <row r="3042" spans="5:8" ht="15" x14ac:dyDescent="0.25">
      <c r="E3042"/>
      <c r="H3042"/>
    </row>
    <row r="3043" spans="5:8" ht="15" x14ac:dyDescent="0.25">
      <c r="E3043"/>
      <c r="H3043"/>
    </row>
    <row r="3044" spans="5:8" ht="15" x14ac:dyDescent="0.25">
      <c r="E3044"/>
      <c r="H3044"/>
    </row>
    <row r="3045" spans="5:8" ht="15" x14ac:dyDescent="0.25">
      <c r="E3045"/>
      <c r="H3045"/>
    </row>
    <row r="3046" spans="5:8" ht="15" x14ac:dyDescent="0.25">
      <c r="E3046"/>
      <c r="H3046"/>
    </row>
    <row r="3047" spans="5:8" ht="15" x14ac:dyDescent="0.25">
      <c r="E3047"/>
      <c r="H3047"/>
    </row>
    <row r="3048" spans="5:8" ht="15" x14ac:dyDescent="0.25">
      <c r="E3048"/>
      <c r="H3048"/>
    </row>
    <row r="3049" spans="5:8" ht="15" x14ac:dyDescent="0.25">
      <c r="E3049"/>
      <c r="H3049"/>
    </row>
    <row r="3050" spans="5:8" ht="15" x14ac:dyDescent="0.25">
      <c r="E3050"/>
      <c r="H3050"/>
    </row>
    <row r="3051" spans="5:8" ht="15" x14ac:dyDescent="0.25">
      <c r="E3051"/>
      <c r="H3051"/>
    </row>
    <row r="3052" spans="5:8" ht="15" x14ac:dyDescent="0.25">
      <c r="E3052"/>
      <c r="H3052"/>
    </row>
    <row r="3053" spans="5:8" ht="15" x14ac:dyDescent="0.25">
      <c r="E3053"/>
      <c r="H3053"/>
    </row>
    <row r="3054" spans="5:8" ht="15" x14ac:dyDescent="0.25">
      <c r="E3054"/>
      <c r="H3054"/>
    </row>
    <row r="3055" spans="5:8" ht="15" x14ac:dyDescent="0.25">
      <c r="E3055"/>
      <c r="H3055"/>
    </row>
    <row r="3056" spans="5:8" ht="15" x14ac:dyDescent="0.25">
      <c r="E3056"/>
      <c r="H3056"/>
    </row>
    <row r="3057" spans="5:8" ht="15" x14ac:dyDescent="0.25">
      <c r="E3057"/>
      <c r="H3057"/>
    </row>
    <row r="3058" spans="5:8" ht="15" x14ac:dyDescent="0.25">
      <c r="E3058"/>
      <c r="H3058"/>
    </row>
    <row r="3059" spans="5:8" ht="15" x14ac:dyDescent="0.25">
      <c r="E3059"/>
      <c r="H3059"/>
    </row>
    <row r="3060" spans="5:8" ht="15" x14ac:dyDescent="0.25">
      <c r="E3060"/>
      <c r="H3060"/>
    </row>
    <row r="3061" spans="5:8" ht="15" x14ac:dyDescent="0.25">
      <c r="E3061"/>
      <c r="H3061"/>
    </row>
    <row r="3062" spans="5:8" ht="15" x14ac:dyDescent="0.25">
      <c r="E3062"/>
      <c r="H3062"/>
    </row>
    <row r="3063" spans="5:8" ht="15" x14ac:dyDescent="0.25">
      <c r="E3063"/>
      <c r="H3063"/>
    </row>
    <row r="3064" spans="5:8" ht="15" x14ac:dyDescent="0.25">
      <c r="E3064"/>
      <c r="H3064"/>
    </row>
    <row r="3065" spans="5:8" ht="15" x14ac:dyDescent="0.25">
      <c r="E3065"/>
      <c r="H3065"/>
    </row>
    <row r="3066" spans="5:8" ht="15" x14ac:dyDescent="0.25">
      <c r="E3066"/>
      <c r="H3066"/>
    </row>
    <row r="3067" spans="5:8" ht="15" x14ac:dyDescent="0.25">
      <c r="E3067"/>
      <c r="H3067"/>
    </row>
    <row r="3068" spans="5:8" ht="15" x14ac:dyDescent="0.25">
      <c r="E3068"/>
      <c r="H3068"/>
    </row>
    <row r="3069" spans="5:8" ht="15" x14ac:dyDescent="0.25">
      <c r="E3069"/>
      <c r="H3069"/>
    </row>
    <row r="3070" spans="5:8" ht="15" x14ac:dyDescent="0.25">
      <c r="E3070"/>
      <c r="H3070"/>
    </row>
    <row r="3071" spans="5:8" ht="15" x14ac:dyDescent="0.25">
      <c r="E3071"/>
      <c r="H3071"/>
    </row>
    <row r="3072" spans="5:8" ht="15" x14ac:dyDescent="0.25">
      <c r="E3072"/>
      <c r="H3072"/>
    </row>
    <row r="3073" spans="5:8" ht="15" x14ac:dyDescent="0.25">
      <c r="E3073"/>
      <c r="H3073"/>
    </row>
    <row r="3074" spans="5:8" ht="15" x14ac:dyDescent="0.25">
      <c r="E3074"/>
      <c r="H3074"/>
    </row>
    <row r="3075" spans="5:8" ht="15" x14ac:dyDescent="0.25">
      <c r="E3075"/>
      <c r="H3075"/>
    </row>
    <row r="3076" spans="5:8" ht="15" x14ac:dyDescent="0.25">
      <c r="E3076"/>
      <c r="H3076"/>
    </row>
    <row r="3077" spans="5:8" ht="15" x14ac:dyDescent="0.25">
      <c r="E3077"/>
      <c r="H3077"/>
    </row>
    <row r="3078" spans="5:8" ht="15" x14ac:dyDescent="0.25">
      <c r="E3078"/>
      <c r="H3078"/>
    </row>
    <row r="3079" spans="5:8" ht="15" x14ac:dyDescent="0.25">
      <c r="E3079"/>
      <c r="H3079"/>
    </row>
    <row r="3080" spans="5:8" ht="15" x14ac:dyDescent="0.25">
      <c r="E3080"/>
      <c r="H3080"/>
    </row>
    <row r="3081" spans="5:8" ht="15" x14ac:dyDescent="0.25">
      <c r="E3081"/>
      <c r="H3081"/>
    </row>
    <row r="3082" spans="5:8" ht="15" x14ac:dyDescent="0.25">
      <c r="E3082"/>
      <c r="H3082"/>
    </row>
    <row r="3083" spans="5:8" ht="15" x14ac:dyDescent="0.25">
      <c r="E3083"/>
      <c r="H3083"/>
    </row>
    <row r="3084" spans="5:8" ht="15" x14ac:dyDescent="0.25">
      <c r="E3084"/>
      <c r="H3084"/>
    </row>
    <row r="3085" spans="5:8" ht="15" x14ac:dyDescent="0.25">
      <c r="E3085"/>
      <c r="H3085"/>
    </row>
    <row r="3086" spans="5:8" ht="15" x14ac:dyDescent="0.25">
      <c r="E3086"/>
      <c r="H3086"/>
    </row>
    <row r="3087" spans="5:8" ht="15" x14ac:dyDescent="0.25">
      <c r="E3087"/>
      <c r="H3087"/>
    </row>
    <row r="3088" spans="5:8" ht="15" x14ac:dyDescent="0.25">
      <c r="E3088"/>
      <c r="H3088"/>
    </row>
    <row r="3089" spans="5:8" ht="15" x14ac:dyDescent="0.25">
      <c r="E3089"/>
      <c r="H3089"/>
    </row>
    <row r="3090" spans="5:8" ht="15" x14ac:dyDescent="0.25">
      <c r="E3090"/>
      <c r="H3090"/>
    </row>
    <row r="3091" spans="5:8" ht="15" x14ac:dyDescent="0.25">
      <c r="E3091"/>
      <c r="H3091"/>
    </row>
    <row r="3092" spans="5:8" ht="15" x14ac:dyDescent="0.25">
      <c r="E3092"/>
      <c r="H3092"/>
    </row>
    <row r="3093" spans="5:8" ht="15" x14ac:dyDescent="0.25">
      <c r="E3093"/>
      <c r="H3093"/>
    </row>
    <row r="3094" spans="5:8" ht="15" x14ac:dyDescent="0.25">
      <c r="E3094"/>
      <c r="H3094"/>
    </row>
    <row r="3095" spans="5:8" ht="15" x14ac:dyDescent="0.25">
      <c r="E3095"/>
      <c r="H3095"/>
    </row>
    <row r="3096" spans="5:8" ht="15" x14ac:dyDescent="0.25">
      <c r="E3096"/>
      <c r="H3096"/>
    </row>
    <row r="3097" spans="5:8" ht="15" x14ac:dyDescent="0.25">
      <c r="E3097"/>
      <c r="H3097"/>
    </row>
    <row r="3098" spans="5:8" ht="15" x14ac:dyDescent="0.25">
      <c r="E3098"/>
      <c r="H3098"/>
    </row>
    <row r="3099" spans="5:8" ht="15" x14ac:dyDescent="0.25">
      <c r="E3099"/>
      <c r="H3099"/>
    </row>
    <row r="3100" spans="5:8" ht="15" x14ac:dyDescent="0.25">
      <c r="E3100"/>
      <c r="H3100"/>
    </row>
    <row r="3101" spans="5:8" ht="15" x14ac:dyDescent="0.25">
      <c r="E3101"/>
      <c r="H3101"/>
    </row>
    <row r="3102" spans="5:8" ht="15" x14ac:dyDescent="0.25">
      <c r="E3102"/>
      <c r="H3102"/>
    </row>
    <row r="3103" spans="5:8" ht="15" x14ac:dyDescent="0.25">
      <c r="E3103"/>
      <c r="H3103"/>
    </row>
    <row r="3104" spans="5:8" ht="15" x14ac:dyDescent="0.25">
      <c r="E3104"/>
      <c r="H3104"/>
    </row>
    <row r="3105" spans="5:8" ht="15" x14ac:dyDescent="0.25">
      <c r="E3105"/>
      <c r="H3105"/>
    </row>
    <row r="3106" spans="5:8" ht="15" x14ac:dyDescent="0.25">
      <c r="E3106"/>
      <c r="H3106"/>
    </row>
    <row r="3107" spans="5:8" ht="15" x14ac:dyDescent="0.25">
      <c r="E3107"/>
      <c r="H3107"/>
    </row>
    <row r="3108" spans="5:8" ht="15" x14ac:dyDescent="0.25">
      <c r="E3108"/>
      <c r="H3108"/>
    </row>
    <row r="3109" spans="5:8" ht="15" x14ac:dyDescent="0.25">
      <c r="E3109"/>
      <c r="H3109"/>
    </row>
    <row r="3110" spans="5:8" ht="15" x14ac:dyDescent="0.25">
      <c r="E3110"/>
      <c r="H3110"/>
    </row>
    <row r="3111" spans="5:8" ht="15" x14ac:dyDescent="0.25">
      <c r="E3111"/>
      <c r="H3111"/>
    </row>
    <row r="3112" spans="5:8" ht="15" x14ac:dyDescent="0.25">
      <c r="E3112"/>
      <c r="H3112"/>
    </row>
    <row r="3113" spans="5:8" ht="15" x14ac:dyDescent="0.25">
      <c r="E3113"/>
      <c r="H3113"/>
    </row>
    <row r="3114" spans="5:8" ht="15" x14ac:dyDescent="0.25">
      <c r="E3114"/>
      <c r="H3114"/>
    </row>
    <row r="3115" spans="5:8" ht="15" x14ac:dyDescent="0.25">
      <c r="E3115"/>
      <c r="H3115"/>
    </row>
    <row r="3116" spans="5:8" ht="15" x14ac:dyDescent="0.25">
      <c r="E3116"/>
      <c r="H3116"/>
    </row>
    <row r="3117" spans="5:8" ht="15" x14ac:dyDescent="0.25">
      <c r="E3117"/>
      <c r="H3117"/>
    </row>
    <row r="3118" spans="5:8" ht="15" x14ac:dyDescent="0.25">
      <c r="E3118"/>
      <c r="H3118"/>
    </row>
    <row r="3119" spans="5:8" ht="15" x14ac:dyDescent="0.25">
      <c r="E3119"/>
      <c r="H3119"/>
    </row>
    <row r="3120" spans="5:8" ht="15" x14ac:dyDescent="0.25">
      <c r="E3120"/>
      <c r="H3120"/>
    </row>
    <row r="3121" spans="5:8" ht="15" x14ac:dyDescent="0.25">
      <c r="E3121"/>
      <c r="H3121"/>
    </row>
    <row r="3122" spans="5:8" ht="15" x14ac:dyDescent="0.25">
      <c r="E3122"/>
      <c r="H3122"/>
    </row>
    <row r="3123" spans="5:8" ht="15" x14ac:dyDescent="0.25">
      <c r="E3123"/>
      <c r="H3123"/>
    </row>
    <row r="3124" spans="5:8" ht="15" x14ac:dyDescent="0.25">
      <c r="E3124"/>
      <c r="H3124"/>
    </row>
    <row r="3125" spans="5:8" ht="15" x14ac:dyDescent="0.25">
      <c r="E3125"/>
      <c r="H3125"/>
    </row>
    <row r="3126" spans="5:8" ht="15" x14ac:dyDescent="0.25">
      <c r="E3126"/>
      <c r="H3126"/>
    </row>
    <row r="3127" spans="5:8" ht="15" x14ac:dyDescent="0.25">
      <c r="E3127"/>
      <c r="H3127"/>
    </row>
    <row r="3128" spans="5:8" ht="15" x14ac:dyDescent="0.25">
      <c r="E3128"/>
      <c r="H3128"/>
    </row>
    <row r="3129" spans="5:8" ht="15" x14ac:dyDescent="0.25">
      <c r="E3129"/>
      <c r="H3129"/>
    </row>
    <row r="3130" spans="5:8" ht="15" x14ac:dyDescent="0.25">
      <c r="E3130"/>
      <c r="H3130"/>
    </row>
    <row r="3131" spans="5:8" ht="15" x14ac:dyDescent="0.25">
      <c r="E3131"/>
      <c r="H3131"/>
    </row>
    <row r="3132" spans="5:8" ht="15" x14ac:dyDescent="0.25">
      <c r="E3132"/>
      <c r="H3132"/>
    </row>
    <row r="3133" spans="5:8" ht="15" x14ac:dyDescent="0.25">
      <c r="E3133"/>
      <c r="H3133"/>
    </row>
    <row r="3134" spans="5:8" ht="15" x14ac:dyDescent="0.25">
      <c r="E3134"/>
      <c r="H3134"/>
    </row>
    <row r="3135" spans="5:8" ht="15" x14ac:dyDescent="0.25">
      <c r="E3135"/>
      <c r="H3135"/>
    </row>
    <row r="3136" spans="5:8" ht="15" x14ac:dyDescent="0.25">
      <c r="E3136"/>
      <c r="H3136"/>
    </row>
    <row r="3137" spans="5:8" ht="15" x14ac:dyDescent="0.25">
      <c r="E3137"/>
      <c r="H3137"/>
    </row>
    <row r="3138" spans="5:8" ht="15" x14ac:dyDescent="0.25">
      <c r="E3138"/>
      <c r="H3138"/>
    </row>
    <row r="3139" spans="5:8" ht="15" x14ac:dyDescent="0.25">
      <c r="E3139"/>
      <c r="H3139"/>
    </row>
    <row r="3140" spans="5:8" ht="15" x14ac:dyDescent="0.25">
      <c r="E3140"/>
      <c r="H3140"/>
    </row>
    <row r="3141" spans="5:8" ht="15" x14ac:dyDescent="0.25">
      <c r="E3141"/>
      <c r="H3141"/>
    </row>
    <row r="3142" spans="5:8" ht="15" x14ac:dyDescent="0.25">
      <c r="E3142"/>
      <c r="H3142"/>
    </row>
    <row r="3143" spans="5:8" ht="15" x14ac:dyDescent="0.25">
      <c r="E3143"/>
      <c r="H3143"/>
    </row>
    <row r="3144" spans="5:8" ht="15" x14ac:dyDescent="0.25">
      <c r="E3144"/>
      <c r="H3144"/>
    </row>
    <row r="3145" spans="5:8" ht="15" x14ac:dyDescent="0.25">
      <c r="E3145"/>
      <c r="H3145"/>
    </row>
    <row r="3146" spans="5:8" ht="15" x14ac:dyDescent="0.25">
      <c r="E3146"/>
      <c r="H3146"/>
    </row>
    <row r="3147" spans="5:8" ht="15" x14ac:dyDescent="0.25">
      <c r="E3147"/>
      <c r="H3147"/>
    </row>
    <row r="3148" spans="5:8" ht="15" x14ac:dyDescent="0.25">
      <c r="E3148"/>
      <c r="H3148"/>
    </row>
    <row r="3149" spans="5:8" ht="15" x14ac:dyDescent="0.25">
      <c r="E3149"/>
      <c r="H3149"/>
    </row>
    <row r="3150" spans="5:8" ht="15" x14ac:dyDescent="0.25">
      <c r="E3150"/>
      <c r="H3150"/>
    </row>
    <row r="3151" spans="5:8" ht="15" x14ac:dyDescent="0.25">
      <c r="E3151"/>
      <c r="H3151"/>
    </row>
    <row r="3152" spans="5:8" ht="15" x14ac:dyDescent="0.25">
      <c r="E3152"/>
      <c r="H3152"/>
    </row>
    <row r="3153" spans="5:8" ht="15" x14ac:dyDescent="0.25">
      <c r="E3153"/>
      <c r="H3153"/>
    </row>
    <row r="3154" spans="5:8" ht="15" x14ac:dyDescent="0.25">
      <c r="E3154"/>
      <c r="H3154"/>
    </row>
    <row r="3155" spans="5:8" ht="15" x14ac:dyDescent="0.25">
      <c r="E3155"/>
      <c r="H3155"/>
    </row>
    <row r="3156" spans="5:8" ht="15" x14ac:dyDescent="0.25">
      <c r="E3156"/>
      <c r="H3156"/>
    </row>
    <row r="3157" spans="5:8" ht="15" x14ac:dyDescent="0.25">
      <c r="E3157"/>
      <c r="H3157"/>
    </row>
    <row r="3158" spans="5:8" ht="15" x14ac:dyDescent="0.25">
      <c r="E3158"/>
      <c r="H3158"/>
    </row>
    <row r="3159" spans="5:8" ht="15" x14ac:dyDescent="0.25">
      <c r="E3159"/>
      <c r="H3159"/>
    </row>
    <row r="3160" spans="5:8" ht="15" x14ac:dyDescent="0.25">
      <c r="E3160"/>
      <c r="H3160"/>
    </row>
    <row r="3161" spans="5:8" ht="15" x14ac:dyDescent="0.25">
      <c r="E3161"/>
      <c r="H3161"/>
    </row>
    <row r="3162" spans="5:8" ht="15" x14ac:dyDescent="0.25">
      <c r="E3162"/>
      <c r="H3162"/>
    </row>
    <row r="3163" spans="5:8" ht="15" x14ac:dyDescent="0.25">
      <c r="E3163"/>
      <c r="H3163"/>
    </row>
    <row r="3164" spans="5:8" ht="15" x14ac:dyDescent="0.25">
      <c r="E3164"/>
      <c r="H3164"/>
    </row>
    <row r="3165" spans="5:8" ht="15" x14ac:dyDescent="0.25">
      <c r="E3165"/>
      <c r="H3165"/>
    </row>
    <row r="3166" spans="5:8" ht="15" x14ac:dyDescent="0.25">
      <c r="E3166"/>
      <c r="H3166"/>
    </row>
    <row r="3167" spans="5:8" ht="15" x14ac:dyDescent="0.25">
      <c r="E3167"/>
      <c r="H3167"/>
    </row>
    <row r="3168" spans="5:8" ht="15" x14ac:dyDescent="0.25">
      <c r="E3168"/>
      <c r="H3168"/>
    </row>
    <row r="3169" spans="5:8" ht="15" x14ac:dyDescent="0.25">
      <c r="E3169"/>
      <c r="H3169"/>
    </row>
    <row r="3170" spans="5:8" ht="15" x14ac:dyDescent="0.25">
      <c r="E3170"/>
      <c r="H3170"/>
    </row>
    <row r="3171" spans="5:8" ht="15" x14ac:dyDescent="0.25">
      <c r="E3171"/>
      <c r="H3171"/>
    </row>
    <row r="3172" spans="5:8" ht="15" x14ac:dyDescent="0.25">
      <c r="E3172"/>
      <c r="H3172"/>
    </row>
    <row r="3173" spans="5:8" ht="15" x14ac:dyDescent="0.25">
      <c r="E3173"/>
      <c r="H3173"/>
    </row>
    <row r="3174" spans="5:8" ht="15" x14ac:dyDescent="0.25">
      <c r="E3174"/>
      <c r="H3174"/>
    </row>
    <row r="3175" spans="5:8" ht="15" x14ac:dyDescent="0.25">
      <c r="E3175"/>
      <c r="H3175"/>
    </row>
    <row r="3176" spans="5:8" ht="15" x14ac:dyDescent="0.25">
      <c r="E3176"/>
      <c r="H3176"/>
    </row>
    <row r="3177" spans="5:8" ht="15" x14ac:dyDescent="0.25">
      <c r="E3177"/>
      <c r="H3177"/>
    </row>
    <row r="3178" spans="5:8" ht="15" x14ac:dyDescent="0.25">
      <c r="E3178"/>
      <c r="H3178"/>
    </row>
    <row r="3179" spans="5:8" ht="15" x14ac:dyDescent="0.25">
      <c r="E3179"/>
      <c r="H3179"/>
    </row>
    <row r="3180" spans="5:8" ht="15" x14ac:dyDescent="0.25">
      <c r="E3180"/>
      <c r="H3180"/>
    </row>
    <row r="3181" spans="5:8" ht="15" x14ac:dyDescent="0.25">
      <c r="E3181"/>
      <c r="H3181"/>
    </row>
    <row r="3182" spans="5:8" ht="15" x14ac:dyDescent="0.25">
      <c r="E3182"/>
      <c r="H3182"/>
    </row>
    <row r="3183" spans="5:8" ht="15" x14ac:dyDescent="0.25">
      <c r="E3183"/>
      <c r="H3183"/>
    </row>
    <row r="3184" spans="5:8" ht="15" x14ac:dyDescent="0.25">
      <c r="E3184"/>
      <c r="H3184"/>
    </row>
    <row r="3185" spans="5:8" ht="15" x14ac:dyDescent="0.25">
      <c r="E3185"/>
      <c r="H3185"/>
    </row>
    <row r="3186" spans="5:8" ht="15" x14ac:dyDescent="0.25">
      <c r="E3186"/>
      <c r="H3186"/>
    </row>
    <row r="3187" spans="5:8" ht="15" x14ac:dyDescent="0.25">
      <c r="E3187"/>
      <c r="H3187"/>
    </row>
    <row r="3188" spans="5:8" ht="15" x14ac:dyDescent="0.25">
      <c r="E3188"/>
      <c r="H3188"/>
    </row>
    <row r="3189" spans="5:8" ht="15" x14ac:dyDescent="0.25">
      <c r="E3189"/>
      <c r="H3189"/>
    </row>
    <row r="3190" spans="5:8" ht="15" x14ac:dyDescent="0.25">
      <c r="E3190"/>
      <c r="H3190"/>
    </row>
    <row r="3191" spans="5:8" ht="15" x14ac:dyDescent="0.25">
      <c r="E3191"/>
      <c r="H3191"/>
    </row>
    <row r="3192" spans="5:8" ht="15" x14ac:dyDescent="0.25">
      <c r="E3192"/>
      <c r="H3192"/>
    </row>
    <row r="3193" spans="5:8" ht="15" x14ac:dyDescent="0.25">
      <c r="E3193"/>
      <c r="H3193"/>
    </row>
    <row r="3194" spans="5:8" ht="15" x14ac:dyDescent="0.25">
      <c r="E3194"/>
      <c r="H3194"/>
    </row>
    <row r="3195" spans="5:8" ht="15" x14ac:dyDescent="0.25">
      <c r="E3195"/>
      <c r="H3195"/>
    </row>
    <row r="3196" spans="5:8" ht="15" x14ac:dyDescent="0.25">
      <c r="E3196"/>
      <c r="H3196"/>
    </row>
    <row r="3197" spans="5:8" ht="15" x14ac:dyDescent="0.25">
      <c r="E3197"/>
      <c r="H3197"/>
    </row>
    <row r="3198" spans="5:8" ht="15" x14ac:dyDescent="0.25">
      <c r="E3198"/>
      <c r="H3198"/>
    </row>
    <row r="3199" spans="5:8" ht="15" x14ac:dyDescent="0.25">
      <c r="E3199"/>
      <c r="H3199"/>
    </row>
    <row r="3200" spans="5:8" ht="15" x14ac:dyDescent="0.25">
      <c r="E3200"/>
      <c r="H3200"/>
    </row>
    <row r="3201" spans="5:8" ht="15" x14ac:dyDescent="0.25">
      <c r="E3201"/>
      <c r="H3201"/>
    </row>
    <row r="3202" spans="5:8" ht="15" x14ac:dyDescent="0.25">
      <c r="E3202"/>
      <c r="H3202"/>
    </row>
    <row r="3203" spans="5:8" ht="15" x14ac:dyDescent="0.25">
      <c r="E3203"/>
      <c r="H3203"/>
    </row>
    <row r="3204" spans="5:8" ht="15" x14ac:dyDescent="0.25">
      <c r="E3204"/>
      <c r="H3204"/>
    </row>
    <row r="3205" spans="5:8" ht="15" x14ac:dyDescent="0.25">
      <c r="E3205"/>
      <c r="H3205"/>
    </row>
    <row r="3206" spans="5:8" ht="15" x14ac:dyDescent="0.25">
      <c r="E3206"/>
      <c r="H3206"/>
    </row>
    <row r="3207" spans="5:8" ht="15" x14ac:dyDescent="0.25">
      <c r="E3207"/>
      <c r="H3207"/>
    </row>
    <row r="3208" spans="5:8" ht="15" x14ac:dyDescent="0.25">
      <c r="E3208"/>
      <c r="H3208"/>
    </row>
    <row r="3209" spans="5:8" ht="15" x14ac:dyDescent="0.25">
      <c r="E3209"/>
      <c r="H3209"/>
    </row>
    <row r="3210" spans="5:8" ht="15" x14ac:dyDescent="0.25">
      <c r="E3210"/>
      <c r="H3210"/>
    </row>
    <row r="3211" spans="5:8" ht="15" x14ac:dyDescent="0.25">
      <c r="E3211"/>
      <c r="H3211"/>
    </row>
    <row r="3212" spans="5:8" ht="15" x14ac:dyDescent="0.25">
      <c r="E3212"/>
      <c r="H3212"/>
    </row>
    <row r="3213" spans="5:8" ht="15" x14ac:dyDescent="0.25">
      <c r="E3213"/>
      <c r="H3213"/>
    </row>
    <row r="3214" spans="5:8" ht="15" x14ac:dyDescent="0.25">
      <c r="E3214"/>
      <c r="H3214"/>
    </row>
    <row r="3215" spans="5:8" ht="15" x14ac:dyDescent="0.25">
      <c r="E3215"/>
      <c r="H3215"/>
    </row>
    <row r="3216" spans="5:8" ht="15" x14ac:dyDescent="0.25">
      <c r="E3216"/>
      <c r="H3216"/>
    </row>
    <row r="3217" spans="5:8" ht="15" x14ac:dyDescent="0.25">
      <c r="E3217"/>
      <c r="H3217"/>
    </row>
    <row r="3218" spans="5:8" ht="15" x14ac:dyDescent="0.25">
      <c r="E3218"/>
      <c r="H3218"/>
    </row>
    <row r="3219" spans="5:8" ht="15" x14ac:dyDescent="0.25">
      <c r="E3219"/>
      <c r="H3219"/>
    </row>
    <row r="3220" spans="5:8" ht="15" x14ac:dyDescent="0.25">
      <c r="E3220"/>
      <c r="H3220"/>
    </row>
    <row r="3221" spans="5:8" ht="15" x14ac:dyDescent="0.25">
      <c r="E3221"/>
      <c r="H3221"/>
    </row>
    <row r="3222" spans="5:8" ht="15" x14ac:dyDescent="0.25">
      <c r="E3222"/>
      <c r="H3222"/>
    </row>
    <row r="3223" spans="5:8" ht="15" x14ac:dyDescent="0.25">
      <c r="E3223"/>
      <c r="H3223"/>
    </row>
    <row r="3224" spans="5:8" ht="15" x14ac:dyDescent="0.25">
      <c r="E3224"/>
      <c r="H3224"/>
    </row>
    <row r="3225" spans="5:8" ht="15" x14ac:dyDescent="0.25">
      <c r="E3225"/>
      <c r="H3225"/>
    </row>
    <row r="3226" spans="5:8" ht="15" x14ac:dyDescent="0.25">
      <c r="E3226"/>
      <c r="H3226"/>
    </row>
    <row r="3227" spans="5:8" ht="15" x14ac:dyDescent="0.25">
      <c r="E3227"/>
      <c r="H3227"/>
    </row>
    <row r="3228" spans="5:8" ht="15" x14ac:dyDescent="0.25">
      <c r="E3228"/>
      <c r="H3228"/>
    </row>
    <row r="3229" spans="5:8" ht="15" x14ac:dyDescent="0.25">
      <c r="E3229"/>
      <c r="H3229"/>
    </row>
    <row r="3230" spans="5:8" ht="15" x14ac:dyDescent="0.25">
      <c r="E3230"/>
      <c r="H3230"/>
    </row>
    <row r="3231" spans="5:8" ht="15" x14ac:dyDescent="0.25">
      <c r="E3231"/>
      <c r="H3231"/>
    </row>
    <row r="3232" spans="5:8" ht="15" x14ac:dyDescent="0.25">
      <c r="E3232"/>
      <c r="H3232"/>
    </row>
    <row r="3233" spans="5:8" ht="15" x14ac:dyDescent="0.25">
      <c r="E3233"/>
      <c r="H3233"/>
    </row>
    <row r="3234" spans="5:8" ht="15" x14ac:dyDescent="0.25">
      <c r="E3234"/>
      <c r="H3234"/>
    </row>
    <row r="3235" spans="5:8" ht="15" x14ac:dyDescent="0.25">
      <c r="E3235"/>
      <c r="H3235"/>
    </row>
    <row r="3236" spans="5:8" ht="15" x14ac:dyDescent="0.25">
      <c r="E3236"/>
      <c r="H3236"/>
    </row>
    <row r="3237" spans="5:8" ht="15" x14ac:dyDescent="0.25">
      <c r="E3237"/>
      <c r="H3237"/>
    </row>
    <row r="3238" spans="5:8" ht="15" x14ac:dyDescent="0.25">
      <c r="E3238"/>
      <c r="H3238"/>
    </row>
    <row r="3239" spans="5:8" ht="15" x14ac:dyDescent="0.25">
      <c r="E3239"/>
      <c r="H3239"/>
    </row>
    <row r="3240" spans="5:8" ht="15" x14ac:dyDescent="0.25">
      <c r="E3240"/>
      <c r="H3240"/>
    </row>
    <row r="3241" spans="5:8" ht="15" x14ac:dyDescent="0.25">
      <c r="E3241"/>
      <c r="H3241"/>
    </row>
    <row r="3242" spans="5:8" ht="15" x14ac:dyDescent="0.25">
      <c r="E3242"/>
      <c r="H3242"/>
    </row>
    <row r="3243" spans="5:8" ht="15" x14ac:dyDescent="0.25">
      <c r="E3243"/>
      <c r="H3243"/>
    </row>
    <row r="3244" spans="5:8" ht="15" x14ac:dyDescent="0.25">
      <c r="E3244"/>
      <c r="H3244"/>
    </row>
    <row r="3245" spans="5:8" ht="15" x14ac:dyDescent="0.25">
      <c r="E3245"/>
      <c r="H3245"/>
    </row>
    <row r="3246" spans="5:8" ht="15" x14ac:dyDescent="0.25">
      <c r="E3246"/>
      <c r="H3246"/>
    </row>
    <row r="3247" spans="5:8" ht="15" x14ac:dyDescent="0.25">
      <c r="E3247"/>
      <c r="H3247"/>
    </row>
    <row r="3248" spans="5:8" ht="15" x14ac:dyDescent="0.25">
      <c r="E3248"/>
      <c r="H3248"/>
    </row>
    <row r="3249" spans="5:8" ht="15" x14ac:dyDescent="0.25">
      <c r="E3249"/>
      <c r="H3249"/>
    </row>
    <row r="3250" spans="5:8" ht="15" x14ac:dyDescent="0.25">
      <c r="E3250"/>
      <c r="H3250"/>
    </row>
    <row r="3251" spans="5:8" ht="15" x14ac:dyDescent="0.25">
      <c r="E3251"/>
      <c r="H3251"/>
    </row>
    <row r="3252" spans="5:8" ht="15" x14ac:dyDescent="0.25">
      <c r="E3252"/>
      <c r="H3252"/>
    </row>
    <row r="3253" spans="5:8" ht="15" x14ac:dyDescent="0.25">
      <c r="E3253"/>
      <c r="H3253"/>
    </row>
    <row r="3254" spans="5:8" ht="15" x14ac:dyDescent="0.25">
      <c r="E3254"/>
      <c r="H3254"/>
    </row>
    <row r="3255" spans="5:8" ht="15" x14ac:dyDescent="0.25">
      <c r="E3255"/>
      <c r="H3255"/>
    </row>
    <row r="3256" spans="5:8" ht="15" x14ac:dyDescent="0.25">
      <c r="E3256"/>
      <c r="H3256"/>
    </row>
    <row r="3257" spans="5:8" ht="15" x14ac:dyDescent="0.25">
      <c r="E3257"/>
      <c r="H3257"/>
    </row>
    <row r="3258" spans="5:8" ht="15" x14ac:dyDescent="0.25">
      <c r="E3258"/>
      <c r="H3258"/>
    </row>
    <row r="3259" spans="5:8" ht="15" x14ac:dyDescent="0.25">
      <c r="E3259"/>
      <c r="H3259"/>
    </row>
    <row r="3260" spans="5:8" ht="15" x14ac:dyDescent="0.25">
      <c r="E3260"/>
      <c r="H3260"/>
    </row>
    <row r="3261" spans="5:8" ht="15" x14ac:dyDescent="0.25">
      <c r="E3261"/>
      <c r="H3261"/>
    </row>
    <row r="3262" spans="5:8" ht="15" x14ac:dyDescent="0.25">
      <c r="E3262"/>
      <c r="H3262"/>
    </row>
    <row r="3263" spans="5:8" ht="15" x14ac:dyDescent="0.25">
      <c r="E3263"/>
      <c r="H3263"/>
    </row>
    <row r="3264" spans="5:8" ht="15" x14ac:dyDescent="0.25">
      <c r="E3264"/>
      <c r="H3264"/>
    </row>
    <row r="3265" spans="5:8" ht="15" x14ac:dyDescent="0.25">
      <c r="E3265"/>
      <c r="H3265"/>
    </row>
    <row r="3266" spans="5:8" ht="15" x14ac:dyDescent="0.25">
      <c r="E3266"/>
      <c r="H3266"/>
    </row>
    <row r="3267" spans="5:8" ht="15" x14ac:dyDescent="0.25">
      <c r="E3267"/>
      <c r="H3267"/>
    </row>
    <row r="3268" spans="5:8" ht="15" x14ac:dyDescent="0.25">
      <c r="E3268"/>
      <c r="H3268"/>
    </row>
    <row r="3269" spans="5:8" ht="15" x14ac:dyDescent="0.25">
      <c r="E3269"/>
      <c r="H3269"/>
    </row>
    <row r="3270" spans="5:8" ht="15" x14ac:dyDescent="0.25">
      <c r="E3270"/>
      <c r="H3270"/>
    </row>
    <row r="3271" spans="5:8" ht="15" x14ac:dyDescent="0.25">
      <c r="E3271"/>
      <c r="H3271"/>
    </row>
    <row r="3272" spans="5:8" ht="15" x14ac:dyDescent="0.25">
      <c r="E3272"/>
      <c r="H3272"/>
    </row>
    <row r="3273" spans="5:8" ht="15" x14ac:dyDescent="0.25">
      <c r="E3273"/>
      <c r="H3273"/>
    </row>
    <row r="3274" spans="5:8" ht="15" x14ac:dyDescent="0.25">
      <c r="E3274"/>
      <c r="H3274"/>
    </row>
    <row r="3275" spans="5:8" ht="15" x14ac:dyDescent="0.25">
      <c r="E3275"/>
      <c r="H3275"/>
    </row>
    <row r="3276" spans="5:8" ht="15" x14ac:dyDescent="0.25">
      <c r="E3276"/>
      <c r="H3276"/>
    </row>
    <row r="3277" spans="5:8" ht="15" x14ac:dyDescent="0.25">
      <c r="E3277"/>
      <c r="H3277"/>
    </row>
    <row r="3278" spans="5:8" ht="15" x14ac:dyDescent="0.25">
      <c r="E3278"/>
      <c r="H3278"/>
    </row>
    <row r="3279" spans="5:8" ht="15" x14ac:dyDescent="0.25">
      <c r="E3279"/>
      <c r="H3279"/>
    </row>
    <row r="3280" spans="5:8" ht="15" x14ac:dyDescent="0.25">
      <c r="E3280"/>
      <c r="H3280"/>
    </row>
    <row r="3281" spans="5:8" ht="15" x14ac:dyDescent="0.25">
      <c r="E3281"/>
      <c r="H3281"/>
    </row>
    <row r="3282" spans="5:8" ht="15" x14ac:dyDescent="0.25">
      <c r="E3282"/>
      <c r="H3282"/>
    </row>
    <row r="3283" spans="5:8" ht="15" x14ac:dyDescent="0.25">
      <c r="E3283"/>
      <c r="H3283"/>
    </row>
    <row r="3284" spans="5:8" ht="15" x14ac:dyDescent="0.25">
      <c r="E3284"/>
      <c r="H3284"/>
    </row>
    <row r="3285" spans="5:8" ht="15" x14ac:dyDescent="0.25">
      <c r="E3285"/>
      <c r="H3285"/>
    </row>
    <row r="3286" spans="5:8" ht="15" x14ac:dyDescent="0.25">
      <c r="E3286"/>
      <c r="H3286"/>
    </row>
    <row r="3287" spans="5:8" ht="15" x14ac:dyDescent="0.25">
      <c r="E3287"/>
      <c r="H3287"/>
    </row>
    <row r="3288" spans="5:8" ht="15" x14ac:dyDescent="0.25">
      <c r="E3288"/>
      <c r="H3288"/>
    </row>
    <row r="3289" spans="5:8" ht="15" x14ac:dyDescent="0.25">
      <c r="E3289"/>
      <c r="H3289"/>
    </row>
    <row r="3290" spans="5:8" ht="15" x14ac:dyDescent="0.25">
      <c r="E3290"/>
      <c r="H3290"/>
    </row>
    <row r="3291" spans="5:8" ht="15" x14ac:dyDescent="0.25">
      <c r="E3291"/>
      <c r="H3291"/>
    </row>
    <row r="3292" spans="5:8" ht="15" x14ac:dyDescent="0.25">
      <c r="E3292"/>
      <c r="H3292"/>
    </row>
    <row r="3293" spans="5:8" ht="15" x14ac:dyDescent="0.25">
      <c r="E3293"/>
      <c r="H3293"/>
    </row>
    <row r="3294" spans="5:8" ht="15" x14ac:dyDescent="0.25">
      <c r="E3294"/>
      <c r="H3294"/>
    </row>
    <row r="3295" spans="5:8" ht="15" x14ac:dyDescent="0.25">
      <c r="E3295"/>
      <c r="H3295"/>
    </row>
    <row r="3296" spans="5:8" ht="15" x14ac:dyDescent="0.25">
      <c r="E3296"/>
      <c r="H3296"/>
    </row>
    <row r="3297" spans="5:8" ht="15" x14ac:dyDescent="0.25">
      <c r="E3297"/>
      <c r="H3297"/>
    </row>
    <row r="3298" spans="5:8" ht="15" x14ac:dyDescent="0.25">
      <c r="E3298"/>
      <c r="H3298"/>
    </row>
    <row r="3299" spans="5:8" ht="15" x14ac:dyDescent="0.25">
      <c r="E3299"/>
      <c r="H3299"/>
    </row>
    <row r="3300" spans="5:8" ht="15" x14ac:dyDescent="0.25">
      <c r="E3300"/>
      <c r="H3300"/>
    </row>
    <row r="3301" spans="5:8" ht="15" x14ac:dyDescent="0.25">
      <c r="E3301"/>
      <c r="H3301"/>
    </row>
    <row r="3302" spans="5:8" ht="15" x14ac:dyDescent="0.25">
      <c r="E3302"/>
      <c r="H3302"/>
    </row>
    <row r="3303" spans="5:8" ht="15" x14ac:dyDescent="0.25">
      <c r="E3303"/>
      <c r="H3303"/>
    </row>
    <row r="3304" spans="5:8" ht="15" x14ac:dyDescent="0.25">
      <c r="E3304"/>
      <c r="H3304"/>
    </row>
    <row r="3305" spans="5:8" ht="15" x14ac:dyDescent="0.25">
      <c r="E3305"/>
      <c r="H3305"/>
    </row>
    <row r="3306" spans="5:8" ht="15" x14ac:dyDescent="0.25">
      <c r="E3306"/>
      <c r="H3306"/>
    </row>
    <row r="3307" spans="5:8" ht="15" x14ac:dyDescent="0.25">
      <c r="E3307"/>
      <c r="H3307"/>
    </row>
    <row r="3308" spans="5:8" ht="15" x14ac:dyDescent="0.25">
      <c r="E3308"/>
      <c r="H3308"/>
    </row>
    <row r="3309" spans="5:8" ht="15" x14ac:dyDescent="0.25">
      <c r="E3309"/>
      <c r="H3309"/>
    </row>
    <row r="3310" spans="5:8" ht="15" x14ac:dyDescent="0.25">
      <c r="E3310"/>
      <c r="H3310"/>
    </row>
    <row r="3311" spans="5:8" ht="15" x14ac:dyDescent="0.25">
      <c r="E3311"/>
      <c r="H3311"/>
    </row>
    <row r="3312" spans="5:8" ht="15" x14ac:dyDescent="0.25">
      <c r="E3312"/>
      <c r="H3312"/>
    </row>
    <row r="3313" spans="5:8" ht="15" x14ac:dyDescent="0.25">
      <c r="E3313"/>
      <c r="H3313"/>
    </row>
    <row r="3314" spans="5:8" ht="15" x14ac:dyDescent="0.25">
      <c r="E3314"/>
      <c r="H3314"/>
    </row>
    <row r="3315" spans="5:8" ht="15" x14ac:dyDescent="0.25">
      <c r="E3315"/>
      <c r="H3315"/>
    </row>
    <row r="3316" spans="5:8" ht="15" x14ac:dyDescent="0.25">
      <c r="E3316"/>
      <c r="H3316"/>
    </row>
    <row r="3317" spans="5:8" ht="15" x14ac:dyDescent="0.25">
      <c r="E3317"/>
      <c r="H3317"/>
    </row>
    <row r="3318" spans="5:8" ht="15" x14ac:dyDescent="0.25">
      <c r="E3318"/>
      <c r="H3318"/>
    </row>
    <row r="3319" spans="5:8" ht="15" x14ac:dyDescent="0.25">
      <c r="E3319"/>
      <c r="H3319"/>
    </row>
    <row r="3320" spans="5:8" ht="15" x14ac:dyDescent="0.25">
      <c r="E3320"/>
      <c r="H3320"/>
    </row>
    <row r="3321" spans="5:8" ht="15" x14ac:dyDescent="0.25">
      <c r="E3321"/>
      <c r="H3321"/>
    </row>
    <row r="3322" spans="5:8" ht="15" x14ac:dyDescent="0.25">
      <c r="E3322"/>
      <c r="H3322"/>
    </row>
    <row r="3323" spans="5:8" ht="15" x14ac:dyDescent="0.25">
      <c r="E3323"/>
      <c r="H3323"/>
    </row>
    <row r="3324" spans="5:8" ht="15" x14ac:dyDescent="0.25">
      <c r="E3324"/>
      <c r="H3324"/>
    </row>
    <row r="3325" spans="5:8" ht="15" x14ac:dyDescent="0.25">
      <c r="E3325"/>
      <c r="H3325"/>
    </row>
    <row r="3326" spans="5:8" ht="15" x14ac:dyDescent="0.25">
      <c r="E3326"/>
      <c r="H3326"/>
    </row>
    <row r="3327" spans="5:8" ht="15" x14ac:dyDescent="0.25">
      <c r="E3327"/>
      <c r="H3327"/>
    </row>
    <row r="3328" spans="5:8" ht="15" x14ac:dyDescent="0.25">
      <c r="E3328"/>
      <c r="H3328"/>
    </row>
    <row r="3329" spans="5:8" ht="15" x14ac:dyDescent="0.25">
      <c r="E3329"/>
      <c r="H3329"/>
    </row>
    <row r="3330" spans="5:8" ht="15" x14ac:dyDescent="0.25">
      <c r="E3330"/>
      <c r="H3330"/>
    </row>
    <row r="3331" spans="5:8" ht="15" x14ac:dyDescent="0.25">
      <c r="E3331"/>
      <c r="H3331"/>
    </row>
    <row r="3332" spans="5:8" ht="15" x14ac:dyDescent="0.25">
      <c r="E3332"/>
      <c r="H3332"/>
    </row>
    <row r="3333" spans="5:8" ht="15" x14ac:dyDescent="0.25">
      <c r="E3333"/>
      <c r="H3333"/>
    </row>
    <row r="3334" spans="5:8" ht="15" x14ac:dyDescent="0.25">
      <c r="E3334"/>
      <c r="H3334"/>
    </row>
    <row r="3335" spans="5:8" ht="15" x14ac:dyDescent="0.25">
      <c r="E3335"/>
      <c r="H3335"/>
    </row>
    <row r="3336" spans="5:8" ht="15" x14ac:dyDescent="0.25">
      <c r="E3336"/>
      <c r="H3336"/>
    </row>
    <row r="3337" spans="5:8" ht="15" x14ac:dyDescent="0.25">
      <c r="E3337"/>
      <c r="H3337"/>
    </row>
    <row r="3338" spans="5:8" ht="15" x14ac:dyDescent="0.25">
      <c r="E3338"/>
      <c r="H3338"/>
    </row>
    <row r="3339" spans="5:8" ht="15" x14ac:dyDescent="0.25">
      <c r="E3339"/>
      <c r="H3339"/>
    </row>
    <row r="3340" spans="5:8" ht="15" x14ac:dyDescent="0.25">
      <c r="E3340"/>
      <c r="H3340"/>
    </row>
    <row r="3341" spans="5:8" ht="15" x14ac:dyDescent="0.25">
      <c r="E3341"/>
      <c r="H3341"/>
    </row>
    <row r="3342" spans="5:8" ht="15" x14ac:dyDescent="0.25">
      <c r="E3342"/>
      <c r="H3342"/>
    </row>
    <row r="3343" spans="5:8" ht="15" x14ac:dyDescent="0.25">
      <c r="E3343"/>
      <c r="H3343"/>
    </row>
    <row r="3344" spans="5:8" ht="15" x14ac:dyDescent="0.25">
      <c r="E3344"/>
      <c r="H3344"/>
    </row>
    <row r="3345" spans="5:8" ht="15" x14ac:dyDescent="0.25">
      <c r="E3345"/>
      <c r="H3345"/>
    </row>
    <row r="3346" spans="5:8" ht="15" x14ac:dyDescent="0.25">
      <c r="E3346"/>
      <c r="H3346"/>
    </row>
    <row r="3347" spans="5:8" ht="15" x14ac:dyDescent="0.25">
      <c r="E3347"/>
      <c r="H3347"/>
    </row>
    <row r="3348" spans="5:8" ht="15" x14ac:dyDescent="0.25">
      <c r="E3348"/>
      <c r="H3348"/>
    </row>
    <row r="3349" spans="5:8" ht="15" x14ac:dyDescent="0.25">
      <c r="E3349"/>
      <c r="H3349"/>
    </row>
    <row r="3350" spans="5:8" ht="15" x14ac:dyDescent="0.25">
      <c r="E3350"/>
      <c r="H3350"/>
    </row>
    <row r="3351" spans="5:8" ht="15" x14ac:dyDescent="0.25">
      <c r="E3351"/>
      <c r="H3351"/>
    </row>
    <row r="3352" spans="5:8" ht="15" x14ac:dyDescent="0.25">
      <c r="E3352"/>
      <c r="H3352"/>
    </row>
    <row r="3353" spans="5:8" ht="15" x14ac:dyDescent="0.25">
      <c r="E3353"/>
      <c r="H3353"/>
    </row>
    <row r="3354" spans="5:8" ht="15" x14ac:dyDescent="0.25">
      <c r="E3354"/>
      <c r="H3354"/>
    </row>
    <row r="3355" spans="5:8" ht="15" x14ac:dyDescent="0.25">
      <c r="E3355"/>
      <c r="H3355"/>
    </row>
    <row r="3356" spans="5:8" ht="15" x14ac:dyDescent="0.25">
      <c r="E3356"/>
      <c r="H3356"/>
    </row>
    <row r="3357" spans="5:8" ht="15" x14ac:dyDescent="0.25">
      <c r="E3357"/>
      <c r="H3357"/>
    </row>
    <row r="3358" spans="5:8" ht="15" x14ac:dyDescent="0.25">
      <c r="E3358"/>
      <c r="H3358"/>
    </row>
    <row r="3359" spans="5:8" ht="15" x14ac:dyDescent="0.25">
      <c r="E3359"/>
      <c r="H3359"/>
    </row>
    <row r="3360" spans="5:8" ht="15" x14ac:dyDescent="0.25">
      <c r="E3360"/>
      <c r="H3360"/>
    </row>
    <row r="3361" spans="5:8" ht="15" x14ac:dyDescent="0.25">
      <c r="E3361"/>
      <c r="H3361"/>
    </row>
    <row r="3362" spans="5:8" ht="15" x14ac:dyDescent="0.25">
      <c r="E3362"/>
      <c r="H3362"/>
    </row>
    <row r="3363" spans="5:8" ht="15" x14ac:dyDescent="0.25">
      <c r="E3363"/>
      <c r="H3363"/>
    </row>
    <row r="3364" spans="5:8" ht="15" x14ac:dyDescent="0.25">
      <c r="E3364"/>
      <c r="H3364"/>
    </row>
    <row r="3365" spans="5:8" ht="15" x14ac:dyDescent="0.25">
      <c r="E3365"/>
      <c r="H3365"/>
    </row>
    <row r="3366" spans="5:8" ht="15" x14ac:dyDescent="0.25">
      <c r="E3366"/>
      <c r="H3366"/>
    </row>
    <row r="3367" spans="5:8" ht="15" x14ac:dyDescent="0.25">
      <c r="E3367"/>
      <c r="H3367"/>
    </row>
    <row r="3368" spans="5:8" ht="15" x14ac:dyDescent="0.25">
      <c r="E3368"/>
      <c r="H3368"/>
    </row>
    <row r="3369" spans="5:8" ht="15" x14ac:dyDescent="0.25">
      <c r="E3369"/>
      <c r="H3369"/>
    </row>
    <row r="3370" spans="5:8" ht="15" x14ac:dyDescent="0.25">
      <c r="E3370"/>
      <c r="H3370"/>
    </row>
    <row r="3371" spans="5:8" ht="15" x14ac:dyDescent="0.25">
      <c r="E3371"/>
      <c r="H3371"/>
    </row>
    <row r="3372" spans="5:8" ht="15" x14ac:dyDescent="0.25">
      <c r="E3372"/>
      <c r="H3372"/>
    </row>
    <row r="3373" spans="5:8" ht="15" x14ac:dyDescent="0.25">
      <c r="E3373"/>
      <c r="H3373"/>
    </row>
    <row r="3374" spans="5:8" ht="15" x14ac:dyDescent="0.25">
      <c r="E3374"/>
      <c r="H3374"/>
    </row>
    <row r="3375" spans="5:8" ht="15" x14ac:dyDescent="0.25">
      <c r="E3375"/>
      <c r="H3375"/>
    </row>
    <row r="3376" spans="5:8" ht="15" x14ac:dyDescent="0.25">
      <c r="E3376"/>
      <c r="H3376"/>
    </row>
    <row r="3377" spans="5:8" ht="15" x14ac:dyDescent="0.25">
      <c r="E3377"/>
      <c r="H3377"/>
    </row>
    <row r="3378" spans="5:8" ht="15" x14ac:dyDescent="0.25">
      <c r="E3378"/>
      <c r="H3378"/>
    </row>
    <row r="3379" spans="5:8" ht="15" x14ac:dyDescent="0.25">
      <c r="E3379"/>
      <c r="H3379"/>
    </row>
    <row r="3380" spans="5:8" ht="15" x14ac:dyDescent="0.25">
      <c r="E3380"/>
      <c r="H3380"/>
    </row>
    <row r="3381" spans="5:8" ht="15" x14ac:dyDescent="0.25">
      <c r="E3381"/>
      <c r="H3381"/>
    </row>
    <row r="3382" spans="5:8" ht="15" x14ac:dyDescent="0.25">
      <c r="E3382"/>
      <c r="H3382"/>
    </row>
    <row r="3383" spans="5:8" ht="15" x14ac:dyDescent="0.25">
      <c r="E3383"/>
      <c r="H3383"/>
    </row>
    <row r="3384" spans="5:8" ht="15" x14ac:dyDescent="0.25">
      <c r="E3384"/>
      <c r="H3384"/>
    </row>
    <row r="3385" spans="5:8" ht="15" x14ac:dyDescent="0.25">
      <c r="E3385"/>
      <c r="H3385"/>
    </row>
    <row r="3386" spans="5:8" ht="15" x14ac:dyDescent="0.25">
      <c r="E3386"/>
      <c r="H3386"/>
    </row>
    <row r="3387" spans="5:8" ht="15" x14ac:dyDescent="0.25">
      <c r="E3387"/>
      <c r="H3387"/>
    </row>
    <row r="3388" spans="5:8" ht="15" x14ac:dyDescent="0.25">
      <c r="E3388"/>
      <c r="H3388"/>
    </row>
    <row r="3389" spans="5:8" ht="15" x14ac:dyDescent="0.25">
      <c r="E3389"/>
      <c r="H3389"/>
    </row>
    <row r="3390" spans="5:8" ht="15" x14ac:dyDescent="0.25">
      <c r="E3390"/>
      <c r="H3390"/>
    </row>
    <row r="3391" spans="5:8" ht="15" x14ac:dyDescent="0.25">
      <c r="E3391"/>
      <c r="H3391"/>
    </row>
    <row r="3392" spans="5:8" ht="15" x14ac:dyDescent="0.25">
      <c r="E3392"/>
      <c r="H3392"/>
    </row>
    <row r="3393" spans="5:8" ht="15" x14ac:dyDescent="0.25">
      <c r="E3393"/>
      <c r="H3393"/>
    </row>
    <row r="3394" spans="5:8" ht="15" x14ac:dyDescent="0.25">
      <c r="E3394"/>
      <c r="H3394"/>
    </row>
    <row r="3395" spans="5:8" ht="15" x14ac:dyDescent="0.25">
      <c r="E3395"/>
      <c r="H3395"/>
    </row>
    <row r="3396" spans="5:8" ht="15" x14ac:dyDescent="0.25">
      <c r="E3396"/>
      <c r="H3396"/>
    </row>
    <row r="3397" spans="5:8" ht="15" x14ac:dyDescent="0.25">
      <c r="E3397"/>
      <c r="H3397"/>
    </row>
    <row r="3398" spans="5:8" ht="15" x14ac:dyDescent="0.25">
      <c r="E3398"/>
      <c r="H3398"/>
    </row>
    <row r="3399" spans="5:8" ht="15" x14ac:dyDescent="0.25">
      <c r="E3399"/>
      <c r="H3399"/>
    </row>
    <row r="3400" spans="5:8" ht="15" x14ac:dyDescent="0.25">
      <c r="E3400"/>
      <c r="H3400"/>
    </row>
    <row r="3401" spans="5:8" ht="15" x14ac:dyDescent="0.25">
      <c r="E3401"/>
      <c r="H3401"/>
    </row>
    <row r="3402" spans="5:8" ht="15" x14ac:dyDescent="0.25">
      <c r="E3402"/>
      <c r="H3402"/>
    </row>
    <row r="3403" spans="5:8" ht="15" x14ac:dyDescent="0.25">
      <c r="E3403"/>
      <c r="H3403"/>
    </row>
    <row r="3404" spans="5:8" ht="15" x14ac:dyDescent="0.25">
      <c r="E3404"/>
      <c r="H3404"/>
    </row>
    <row r="3405" spans="5:8" ht="15" x14ac:dyDescent="0.25">
      <c r="E3405"/>
      <c r="H3405"/>
    </row>
    <row r="3406" spans="5:8" ht="15" x14ac:dyDescent="0.25">
      <c r="E3406"/>
      <c r="H3406"/>
    </row>
    <row r="3407" spans="5:8" ht="15" x14ac:dyDescent="0.25">
      <c r="E3407"/>
      <c r="H3407"/>
    </row>
    <row r="3408" spans="5:8" ht="15" x14ac:dyDescent="0.25">
      <c r="E3408"/>
      <c r="H3408"/>
    </row>
    <row r="3409" spans="5:8" ht="15" x14ac:dyDescent="0.25">
      <c r="E3409"/>
      <c r="H3409"/>
    </row>
    <row r="3410" spans="5:8" ht="15" x14ac:dyDescent="0.25">
      <c r="E3410"/>
      <c r="H3410"/>
    </row>
    <row r="3411" spans="5:8" ht="15" x14ac:dyDescent="0.25">
      <c r="E3411"/>
      <c r="H3411"/>
    </row>
    <row r="3412" spans="5:8" ht="15" x14ac:dyDescent="0.25">
      <c r="E3412"/>
      <c r="H3412"/>
    </row>
    <row r="3413" spans="5:8" ht="15" x14ac:dyDescent="0.25">
      <c r="E3413"/>
      <c r="H3413"/>
    </row>
    <row r="3414" spans="5:8" ht="15" x14ac:dyDescent="0.25">
      <c r="E3414"/>
      <c r="H3414"/>
    </row>
    <row r="3415" spans="5:8" ht="15" x14ac:dyDescent="0.25">
      <c r="E3415"/>
      <c r="H3415"/>
    </row>
    <row r="3416" spans="5:8" ht="15" x14ac:dyDescent="0.25">
      <c r="E3416"/>
      <c r="H3416"/>
    </row>
    <row r="3417" spans="5:8" ht="15" x14ac:dyDescent="0.25">
      <c r="E3417"/>
      <c r="H3417"/>
    </row>
    <row r="3418" spans="5:8" ht="15" x14ac:dyDescent="0.25">
      <c r="E3418"/>
      <c r="H3418"/>
    </row>
    <row r="3419" spans="5:8" ht="15" x14ac:dyDescent="0.25">
      <c r="E3419"/>
      <c r="H3419"/>
    </row>
    <row r="3420" spans="5:8" ht="15" x14ac:dyDescent="0.25">
      <c r="E3420"/>
      <c r="H3420"/>
    </row>
    <row r="3421" spans="5:8" ht="15" x14ac:dyDescent="0.25">
      <c r="E3421"/>
      <c r="H3421"/>
    </row>
    <row r="3422" spans="5:8" ht="15" x14ac:dyDescent="0.25">
      <c r="E3422"/>
      <c r="H3422"/>
    </row>
    <row r="3423" spans="5:8" ht="15" x14ac:dyDescent="0.25">
      <c r="E3423"/>
      <c r="H3423"/>
    </row>
    <row r="3424" spans="5:8" ht="15" x14ac:dyDescent="0.25">
      <c r="E3424"/>
      <c r="H3424"/>
    </row>
    <row r="3425" spans="5:8" ht="15" x14ac:dyDescent="0.25">
      <c r="E3425"/>
      <c r="H3425"/>
    </row>
    <row r="3426" spans="5:8" ht="15" x14ac:dyDescent="0.25">
      <c r="E3426"/>
      <c r="H3426"/>
    </row>
    <row r="3427" spans="5:8" ht="15" x14ac:dyDescent="0.25">
      <c r="E3427"/>
      <c r="H3427"/>
    </row>
    <row r="3428" spans="5:8" ht="15" x14ac:dyDescent="0.25">
      <c r="E3428"/>
      <c r="H3428"/>
    </row>
    <row r="3429" spans="5:8" ht="15" x14ac:dyDescent="0.25">
      <c r="E3429"/>
      <c r="H3429"/>
    </row>
    <row r="3430" spans="5:8" ht="15" x14ac:dyDescent="0.25">
      <c r="E3430"/>
      <c r="H3430"/>
    </row>
    <row r="3431" spans="5:8" ht="15" x14ac:dyDescent="0.25">
      <c r="E3431"/>
      <c r="H3431"/>
    </row>
    <row r="3432" spans="5:8" ht="15" x14ac:dyDescent="0.25">
      <c r="E3432"/>
      <c r="H3432"/>
    </row>
    <row r="3433" spans="5:8" ht="15" x14ac:dyDescent="0.25">
      <c r="E3433"/>
      <c r="H3433"/>
    </row>
    <row r="3434" spans="5:8" ht="15" x14ac:dyDescent="0.25">
      <c r="E3434"/>
      <c r="H3434"/>
    </row>
    <row r="3435" spans="5:8" ht="15" x14ac:dyDescent="0.25">
      <c r="E3435"/>
      <c r="H3435"/>
    </row>
    <row r="3436" spans="5:8" ht="15" x14ac:dyDescent="0.25">
      <c r="E3436"/>
      <c r="H3436"/>
    </row>
    <row r="3437" spans="5:8" ht="15" x14ac:dyDescent="0.25">
      <c r="E3437"/>
      <c r="H3437"/>
    </row>
    <row r="3438" spans="5:8" ht="15" x14ac:dyDescent="0.25">
      <c r="E3438"/>
      <c r="H3438"/>
    </row>
    <row r="3439" spans="5:8" ht="15" x14ac:dyDescent="0.25">
      <c r="E3439"/>
      <c r="H3439"/>
    </row>
    <row r="3440" spans="5:8" ht="15" x14ac:dyDescent="0.25">
      <c r="E3440"/>
      <c r="H3440"/>
    </row>
    <row r="3441" spans="5:8" ht="15" x14ac:dyDescent="0.25">
      <c r="E3441"/>
      <c r="H3441"/>
    </row>
    <row r="3442" spans="5:8" ht="15" x14ac:dyDescent="0.25">
      <c r="E3442"/>
      <c r="H3442"/>
    </row>
    <row r="3443" spans="5:8" ht="15" x14ac:dyDescent="0.25">
      <c r="E3443"/>
      <c r="H3443"/>
    </row>
    <row r="3444" spans="5:8" ht="15" x14ac:dyDescent="0.25">
      <c r="E3444"/>
      <c r="H3444"/>
    </row>
    <row r="3445" spans="5:8" ht="15" x14ac:dyDescent="0.25">
      <c r="E3445"/>
      <c r="H3445"/>
    </row>
    <row r="3446" spans="5:8" ht="15" x14ac:dyDescent="0.25">
      <c r="E3446"/>
      <c r="H3446"/>
    </row>
    <row r="3447" spans="5:8" ht="15" x14ac:dyDescent="0.25">
      <c r="E3447"/>
      <c r="H3447"/>
    </row>
    <row r="3448" spans="5:8" ht="15" x14ac:dyDescent="0.25">
      <c r="E3448"/>
      <c r="H3448"/>
    </row>
    <row r="3449" spans="5:8" ht="15" x14ac:dyDescent="0.25">
      <c r="E3449"/>
      <c r="H3449"/>
    </row>
    <row r="3450" spans="5:8" ht="15" x14ac:dyDescent="0.25">
      <c r="E3450"/>
      <c r="H3450"/>
    </row>
    <row r="3451" spans="5:8" ht="15" x14ac:dyDescent="0.25">
      <c r="E3451"/>
      <c r="H3451"/>
    </row>
    <row r="3452" spans="5:8" ht="15" x14ac:dyDescent="0.25">
      <c r="E3452"/>
      <c r="H3452"/>
    </row>
    <row r="3453" spans="5:8" ht="15" x14ac:dyDescent="0.25">
      <c r="E3453"/>
      <c r="H3453"/>
    </row>
    <row r="3454" spans="5:8" ht="15" x14ac:dyDescent="0.25">
      <c r="E3454"/>
      <c r="H3454"/>
    </row>
    <row r="3455" spans="5:8" ht="15" x14ac:dyDescent="0.25">
      <c r="E3455"/>
      <c r="H3455"/>
    </row>
    <row r="3456" spans="5:8" ht="15" x14ac:dyDescent="0.25">
      <c r="E3456"/>
      <c r="H3456"/>
    </row>
    <row r="3457" spans="5:8" ht="15" x14ac:dyDescent="0.25">
      <c r="E3457"/>
      <c r="H3457"/>
    </row>
    <row r="3458" spans="5:8" ht="15" x14ac:dyDescent="0.25">
      <c r="E3458"/>
      <c r="H3458"/>
    </row>
    <row r="3459" spans="5:8" ht="15" x14ac:dyDescent="0.25">
      <c r="E3459"/>
      <c r="H3459"/>
    </row>
    <row r="3460" spans="5:8" ht="15" x14ac:dyDescent="0.25">
      <c r="E3460"/>
      <c r="H3460"/>
    </row>
    <row r="3461" spans="5:8" ht="15" x14ac:dyDescent="0.25">
      <c r="E3461"/>
      <c r="H3461"/>
    </row>
    <row r="3462" spans="5:8" ht="15" x14ac:dyDescent="0.25">
      <c r="E3462"/>
      <c r="H3462"/>
    </row>
    <row r="3463" spans="5:8" ht="15" x14ac:dyDescent="0.25">
      <c r="E3463"/>
      <c r="H3463"/>
    </row>
    <row r="3464" spans="5:8" ht="15" x14ac:dyDescent="0.25">
      <c r="E3464"/>
      <c r="H3464"/>
    </row>
    <row r="3465" spans="5:8" ht="15" x14ac:dyDescent="0.25">
      <c r="E3465"/>
      <c r="H3465"/>
    </row>
    <row r="3466" spans="5:8" ht="15" x14ac:dyDescent="0.25">
      <c r="E3466"/>
      <c r="H3466"/>
    </row>
    <row r="3467" spans="5:8" ht="15" x14ac:dyDescent="0.25">
      <c r="E3467"/>
      <c r="H3467"/>
    </row>
    <row r="3468" spans="5:8" ht="15" x14ac:dyDescent="0.25">
      <c r="E3468"/>
      <c r="H3468"/>
    </row>
    <row r="3469" spans="5:8" ht="15" x14ac:dyDescent="0.25">
      <c r="E3469"/>
      <c r="H3469"/>
    </row>
    <row r="3470" spans="5:8" ht="15" x14ac:dyDescent="0.25">
      <c r="E3470"/>
      <c r="H3470"/>
    </row>
    <row r="3471" spans="5:8" ht="15" x14ac:dyDescent="0.25">
      <c r="E3471"/>
      <c r="H3471"/>
    </row>
    <row r="3472" spans="5:8" ht="15" x14ac:dyDescent="0.25">
      <c r="E3472"/>
      <c r="H3472"/>
    </row>
  </sheetData>
  <sortState xmlns:xlrd2="http://schemas.microsoft.com/office/spreadsheetml/2017/richdata2" ref="E4:E15">
    <sortCondition ref="E4"/>
  </sortState>
  <mergeCells count="1">
    <mergeCell ref="B2:C2"/>
  </mergeCells>
  <conditionalFormatting sqref="E4:E9">
    <cfRule type="cellIs" dxfId="1" priority="39" operator="equal">
      <formula>"&lt;0"</formula>
    </cfRule>
    <cfRule type="containsText" dxfId="0" priority="40" operator="containsText" text="&quot; &quot;">
      <formula>NOT(ISERROR(SEARCH(""" """,E4)))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5533F6-24D5-42F1-B2C6-3906CD096B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Import</vt:lpstr>
      <vt:lpstr>RawData</vt:lpstr>
      <vt:lpstr>Formatted Data</vt:lpstr>
      <vt:lpstr>Headline Data</vt:lpstr>
      <vt:lpstr>Week Overview</vt:lpstr>
      <vt:lpstr>Summary</vt:lpstr>
      <vt:lpstr>Lists</vt:lpstr>
      <vt:lpstr>avgResp</vt:lpstr>
      <vt:lpstr>Summary!avgTime</vt:lpstr>
      <vt:lpstr>componentCount</vt:lpstr>
      <vt:lpstr>dayCount</vt:lpstr>
      <vt:lpstr>earliestDate</vt:lpstr>
      <vt:lpstr>fileCount</vt:lpstr>
      <vt:lpstr>FileName</vt:lpstr>
      <vt:lpstr>latestDate</vt:lpstr>
      <vt:lpstr>LatestFileName</vt:lpstr>
      <vt:lpstr>LatestSheetName</vt:lpstr>
      <vt:lpstr>listofFiles</vt:lpstr>
      <vt:lpstr>RequestsReceived</vt:lpstr>
      <vt:lpstr>Summary!requestsRejected</vt:lpstr>
      <vt:lpstr>Summary!totalTime</vt:lpstr>
      <vt:lpstr>totHrs</vt:lpstr>
      <vt:lpstr>Summary!totReq</vt:lpstr>
      <vt:lpstr>totReq</vt:lpstr>
      <vt:lpstr>TraderCount</vt:lpstr>
      <vt:lpstr>TraderNames</vt:lpstr>
      <vt:lpstr>TraderUsernames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Capel</dc:creator>
  <cp:lastModifiedBy>Thomas Capel</cp:lastModifiedBy>
  <dcterms:created xsi:type="dcterms:W3CDTF">2020-08-26T17:08:16Z</dcterms:created>
  <dcterms:modified xsi:type="dcterms:W3CDTF">2021-12-15T12:34:25Z</dcterms:modified>
</cp:coreProperties>
</file>